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fgrace_uiowa_edu/Documents/!!Teaching/ERM/ERM Book/second_ed/rscripts/chapter1/jnj_tylenol/"/>
    </mc:Choice>
  </mc:AlternateContent>
  <xr:revisionPtr revIDLastSave="0" documentId="8_{E54D7A11-EC89-4FC0-80B9-B8D570ABBE22}" xr6:coauthVersionLast="47" xr6:coauthVersionMax="47" xr10:uidLastSave="{00000000-0000-0000-0000-000000000000}"/>
  <bookViews>
    <workbookView xWindow="750" yWindow="2595" windowWidth="21600" windowHeight="11385" activeTab="1" xr2:uid="{00000000-000D-0000-FFFF-FFFF00000000}"/>
  </bookViews>
  <sheets>
    <sheet name="JNJ" sheetId="1" r:id="rId1"/>
    <sheet name="S&amp;P500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02" i="2" l="1"/>
  <c r="A2802" i="2"/>
  <c r="B2801" i="2"/>
  <c r="A2801" i="2"/>
  <c r="B2800" i="2"/>
  <c r="A2800" i="2"/>
  <c r="B2799" i="2"/>
  <c r="A2799" i="2"/>
  <c r="B2798" i="2"/>
  <c r="A2798" i="2"/>
  <c r="B2797" i="2"/>
  <c r="A2797" i="2"/>
  <c r="B2796" i="2"/>
  <c r="A2796" i="2"/>
  <c r="B2795" i="2"/>
  <c r="A2795" i="2"/>
  <c r="B2794" i="2"/>
  <c r="A2794" i="2"/>
  <c r="B2793" i="2"/>
  <c r="A2793" i="2"/>
  <c r="B2792" i="2"/>
  <c r="A2792" i="2"/>
  <c r="B2791" i="2"/>
  <c r="A2791" i="2"/>
  <c r="B2790" i="2"/>
  <c r="A2790" i="2"/>
  <c r="B2789" i="2"/>
  <c r="A2789" i="2"/>
  <c r="B2788" i="2"/>
  <c r="A2788" i="2"/>
  <c r="B2787" i="2"/>
  <c r="A2787" i="2"/>
  <c r="B2786" i="2"/>
  <c r="A2786" i="2"/>
  <c r="B2785" i="2"/>
  <c r="A2785" i="2"/>
  <c r="B2784" i="2"/>
  <c r="A2784" i="2"/>
  <c r="B2783" i="2"/>
  <c r="A2783" i="2"/>
  <c r="B2782" i="2"/>
  <c r="A2782" i="2"/>
  <c r="B2781" i="2"/>
  <c r="A2781" i="2"/>
  <c r="B2780" i="2"/>
  <c r="A2780" i="2"/>
  <c r="B2779" i="2"/>
  <c r="A2779" i="2"/>
  <c r="B2778" i="2"/>
  <c r="A2778" i="2"/>
  <c r="B2777" i="2"/>
  <c r="A2777" i="2"/>
  <c r="B2776" i="2"/>
  <c r="A2776" i="2"/>
  <c r="B2775" i="2"/>
  <c r="A2775" i="2"/>
  <c r="B2774" i="2"/>
  <c r="A2774" i="2"/>
  <c r="B2773" i="2"/>
  <c r="A2773" i="2"/>
  <c r="B2772" i="2"/>
  <c r="A2772" i="2"/>
  <c r="B2771" i="2"/>
  <c r="A2771" i="2"/>
  <c r="B2770" i="2"/>
  <c r="A2770" i="2"/>
  <c r="B2769" i="2"/>
  <c r="A2769" i="2"/>
  <c r="B2768" i="2"/>
  <c r="A2768" i="2"/>
  <c r="B2767" i="2"/>
  <c r="A2767" i="2"/>
  <c r="B2766" i="2"/>
  <c r="A2766" i="2"/>
  <c r="B2765" i="2"/>
  <c r="A2765" i="2"/>
  <c r="B2764" i="2"/>
  <c r="A2764" i="2"/>
  <c r="B2763" i="2"/>
  <c r="A2763" i="2"/>
  <c r="B2762" i="2"/>
  <c r="A2762" i="2"/>
  <c r="B2761" i="2"/>
  <c r="A2761" i="2"/>
  <c r="B2760" i="2"/>
  <c r="A2760" i="2"/>
  <c r="B2759" i="2"/>
  <c r="A2759" i="2"/>
  <c r="B2758" i="2"/>
  <c r="A2758" i="2"/>
  <c r="B2757" i="2"/>
  <c r="A2757" i="2"/>
  <c r="B2756" i="2"/>
  <c r="A2756" i="2"/>
  <c r="B2755" i="2"/>
  <c r="A2755" i="2"/>
  <c r="B2754" i="2"/>
  <c r="A2754" i="2"/>
  <c r="B2753" i="2"/>
  <c r="A2753" i="2"/>
  <c r="B2752" i="2"/>
  <c r="A2752" i="2"/>
  <c r="B2751" i="2"/>
  <c r="A2751" i="2"/>
  <c r="B2750" i="2"/>
  <c r="A2750" i="2"/>
  <c r="B2749" i="2"/>
  <c r="A2749" i="2"/>
  <c r="B2748" i="2"/>
  <c r="A2748" i="2"/>
  <c r="B2747" i="2"/>
  <c r="A2747" i="2"/>
  <c r="B2746" i="2"/>
  <c r="A2746" i="2"/>
  <c r="B2745" i="2"/>
  <c r="A2745" i="2"/>
  <c r="B2744" i="2"/>
  <c r="A2744" i="2"/>
  <c r="B2743" i="2"/>
  <c r="A2743" i="2"/>
  <c r="B2742" i="2"/>
  <c r="A2742" i="2"/>
  <c r="B2741" i="2"/>
  <c r="A2741" i="2"/>
  <c r="B2740" i="2"/>
  <c r="A2740" i="2"/>
  <c r="B2739" i="2"/>
  <c r="A2739" i="2"/>
  <c r="B2738" i="2"/>
  <c r="A2738" i="2"/>
  <c r="B2737" i="2"/>
  <c r="A2737" i="2"/>
  <c r="B2736" i="2"/>
  <c r="A2736" i="2"/>
  <c r="B2735" i="2"/>
  <c r="A2735" i="2"/>
  <c r="B2734" i="2"/>
  <c r="A2734" i="2"/>
  <c r="B2733" i="2"/>
  <c r="A2733" i="2"/>
  <c r="B2732" i="2"/>
  <c r="A2732" i="2"/>
  <c r="B2731" i="2"/>
  <c r="A2731" i="2"/>
  <c r="B2730" i="2"/>
  <c r="A2730" i="2"/>
  <c r="B2729" i="2"/>
  <c r="A2729" i="2"/>
  <c r="B2728" i="2"/>
  <c r="A2728" i="2"/>
  <c r="B2727" i="2"/>
  <c r="A2727" i="2"/>
  <c r="B2726" i="2"/>
  <c r="A2726" i="2"/>
  <c r="B2725" i="2"/>
  <c r="A2725" i="2"/>
  <c r="B2724" i="2"/>
  <c r="A2724" i="2"/>
  <c r="B2723" i="2"/>
  <c r="A2723" i="2"/>
  <c r="B2722" i="2"/>
  <c r="A2722" i="2"/>
  <c r="B2721" i="2"/>
  <c r="A2721" i="2"/>
  <c r="B2720" i="2"/>
  <c r="A2720" i="2"/>
  <c r="B2719" i="2"/>
  <c r="A2719" i="2"/>
  <c r="B2718" i="2"/>
  <c r="A2718" i="2"/>
  <c r="B2717" i="2"/>
  <c r="A2717" i="2"/>
  <c r="B2716" i="2"/>
  <c r="A2716" i="2"/>
  <c r="B2715" i="2"/>
  <c r="A2715" i="2"/>
  <c r="B2714" i="2"/>
  <c r="A2714" i="2"/>
  <c r="B2713" i="2"/>
  <c r="A2713" i="2"/>
  <c r="B2712" i="2"/>
  <c r="A2712" i="2"/>
  <c r="B2711" i="2"/>
  <c r="A2711" i="2"/>
  <c r="B2710" i="2"/>
  <c r="A2710" i="2"/>
  <c r="B2709" i="2"/>
  <c r="A2709" i="2"/>
  <c r="B2708" i="2"/>
  <c r="A2708" i="2"/>
  <c r="B2707" i="2"/>
  <c r="A2707" i="2"/>
  <c r="B2706" i="2"/>
  <c r="A2706" i="2"/>
  <c r="B2705" i="2"/>
  <c r="A2705" i="2"/>
  <c r="B2704" i="2"/>
  <c r="A2704" i="2"/>
  <c r="B2703" i="2"/>
  <c r="A2703" i="2"/>
  <c r="B2702" i="2"/>
  <c r="A2702" i="2"/>
  <c r="B2701" i="2"/>
  <c r="A2701" i="2"/>
  <c r="B2700" i="2"/>
  <c r="A2700" i="2"/>
  <c r="B2699" i="2"/>
  <c r="A2699" i="2"/>
  <c r="B2698" i="2"/>
  <c r="A2698" i="2"/>
  <c r="B2697" i="2"/>
  <c r="A2697" i="2"/>
  <c r="B2696" i="2"/>
  <c r="A2696" i="2"/>
  <c r="B2695" i="2"/>
  <c r="A2695" i="2"/>
  <c r="B2694" i="2"/>
  <c r="A2694" i="2"/>
  <c r="B2693" i="2"/>
  <c r="A2693" i="2"/>
  <c r="B2692" i="2"/>
  <c r="A2692" i="2"/>
  <c r="B2691" i="2"/>
  <c r="A2691" i="2"/>
  <c r="B2690" i="2"/>
  <c r="A2690" i="2"/>
  <c r="B2689" i="2"/>
  <c r="A2689" i="2"/>
  <c r="B2688" i="2"/>
  <c r="A2688" i="2"/>
  <c r="B2687" i="2"/>
  <c r="A2687" i="2"/>
  <c r="B2686" i="2"/>
  <c r="A2686" i="2"/>
  <c r="B2685" i="2"/>
  <c r="A2685" i="2"/>
  <c r="B2684" i="2"/>
  <c r="A2684" i="2"/>
  <c r="B2683" i="2"/>
  <c r="A2683" i="2"/>
  <c r="B2682" i="2"/>
  <c r="A2682" i="2"/>
  <c r="B2681" i="2"/>
  <c r="A2681" i="2"/>
  <c r="B2680" i="2"/>
  <c r="A2680" i="2"/>
  <c r="B2679" i="2"/>
  <c r="A2679" i="2"/>
  <c r="B2678" i="2"/>
  <c r="A2678" i="2"/>
  <c r="B2677" i="2"/>
  <c r="A2677" i="2"/>
  <c r="B2676" i="2"/>
  <c r="A2676" i="2"/>
  <c r="B2675" i="2"/>
  <c r="A2675" i="2"/>
  <c r="B2674" i="2"/>
  <c r="A2674" i="2"/>
  <c r="B2673" i="2"/>
  <c r="A2673" i="2"/>
  <c r="B2672" i="2"/>
  <c r="A2672" i="2"/>
  <c r="B2671" i="2"/>
  <c r="A2671" i="2"/>
  <c r="B2670" i="2"/>
  <c r="A2670" i="2"/>
  <c r="B2669" i="2"/>
  <c r="A2669" i="2"/>
  <c r="B2668" i="2"/>
  <c r="A2668" i="2"/>
  <c r="B2667" i="2"/>
  <c r="A2667" i="2"/>
  <c r="B2666" i="2"/>
  <c r="A2666" i="2"/>
  <c r="B2665" i="2"/>
  <c r="A2665" i="2"/>
  <c r="B2664" i="2"/>
  <c r="A2664" i="2"/>
  <c r="B2663" i="2"/>
  <c r="A2663" i="2"/>
  <c r="B2662" i="2"/>
  <c r="A2662" i="2"/>
  <c r="B2661" i="2"/>
  <c r="A2661" i="2"/>
  <c r="B2660" i="2"/>
  <c r="A2660" i="2"/>
  <c r="B2659" i="2"/>
  <c r="A2659" i="2"/>
  <c r="B2658" i="2"/>
  <c r="A2658" i="2"/>
  <c r="B2657" i="2"/>
  <c r="A2657" i="2"/>
  <c r="B2656" i="2"/>
  <c r="A2656" i="2"/>
  <c r="B2655" i="2"/>
  <c r="A2655" i="2"/>
  <c r="B2654" i="2"/>
  <c r="A2654" i="2"/>
  <c r="B2653" i="2"/>
  <c r="A2653" i="2"/>
  <c r="B2652" i="2"/>
  <c r="A2652" i="2"/>
  <c r="B2651" i="2"/>
  <c r="A2651" i="2"/>
  <c r="B2650" i="2"/>
  <c r="A2650" i="2"/>
  <c r="B2649" i="2"/>
  <c r="A2649" i="2"/>
  <c r="B2648" i="2"/>
  <c r="A2648" i="2"/>
  <c r="B2647" i="2"/>
  <c r="A2647" i="2"/>
  <c r="B2646" i="2"/>
  <c r="A2646" i="2"/>
  <c r="B2645" i="2"/>
  <c r="A2645" i="2"/>
  <c r="B2644" i="2"/>
  <c r="A2644" i="2"/>
  <c r="B2643" i="2"/>
  <c r="A2643" i="2"/>
  <c r="B2642" i="2"/>
  <c r="A2642" i="2"/>
  <c r="B2641" i="2"/>
  <c r="A2641" i="2"/>
  <c r="B2640" i="2"/>
  <c r="A2640" i="2"/>
  <c r="B2639" i="2"/>
  <c r="A2639" i="2"/>
  <c r="B2638" i="2"/>
  <c r="A2638" i="2"/>
  <c r="B2637" i="2"/>
  <c r="A2637" i="2"/>
  <c r="B2636" i="2"/>
  <c r="A2636" i="2"/>
  <c r="B2635" i="2"/>
  <c r="A2635" i="2"/>
  <c r="B2634" i="2"/>
  <c r="A2634" i="2"/>
  <c r="B2633" i="2"/>
  <c r="A2633" i="2"/>
  <c r="B2632" i="2"/>
  <c r="A2632" i="2"/>
  <c r="B2631" i="2"/>
  <c r="A2631" i="2"/>
  <c r="B2630" i="2"/>
  <c r="A2630" i="2"/>
  <c r="B2629" i="2"/>
  <c r="A2629" i="2"/>
  <c r="B2628" i="2"/>
  <c r="A2628" i="2"/>
  <c r="B2627" i="2"/>
  <c r="A2627" i="2"/>
  <c r="B2626" i="2"/>
  <c r="A2626" i="2"/>
  <c r="B2625" i="2"/>
  <c r="A2625" i="2"/>
  <c r="B2624" i="2"/>
  <c r="A2624" i="2"/>
  <c r="B2623" i="2"/>
  <c r="A2623" i="2"/>
  <c r="B2622" i="2"/>
  <c r="A2622" i="2"/>
  <c r="B2621" i="2"/>
  <c r="A2621" i="2"/>
  <c r="B2620" i="2"/>
  <c r="A2620" i="2"/>
  <c r="B2619" i="2"/>
  <c r="A2619" i="2"/>
  <c r="B2618" i="2"/>
  <c r="A2618" i="2"/>
  <c r="B2617" i="2"/>
  <c r="A2617" i="2"/>
  <c r="B2616" i="2"/>
  <c r="A2616" i="2"/>
  <c r="B2615" i="2"/>
  <c r="A2615" i="2"/>
  <c r="B2614" i="2"/>
  <c r="A2614" i="2"/>
  <c r="B2613" i="2"/>
  <c r="A2613" i="2"/>
  <c r="B2612" i="2"/>
  <c r="A2612" i="2"/>
  <c r="B2611" i="2"/>
  <c r="A2611" i="2"/>
  <c r="B2610" i="2"/>
  <c r="A2610" i="2"/>
  <c r="B2609" i="2"/>
  <c r="A2609" i="2"/>
  <c r="B2608" i="2"/>
  <c r="A2608" i="2"/>
  <c r="B2607" i="2"/>
  <c r="A2607" i="2"/>
  <c r="B2606" i="2"/>
  <c r="A2606" i="2"/>
  <c r="B2605" i="2"/>
  <c r="A2605" i="2"/>
  <c r="B2604" i="2"/>
  <c r="A2604" i="2"/>
  <c r="B2603" i="2"/>
  <c r="A2603" i="2"/>
  <c r="B2602" i="2"/>
  <c r="A2602" i="2"/>
  <c r="B2601" i="2"/>
  <c r="A2601" i="2"/>
  <c r="B2600" i="2"/>
  <c r="A2600" i="2"/>
  <c r="B2599" i="2"/>
  <c r="A2599" i="2"/>
  <c r="B2598" i="2"/>
  <c r="A2598" i="2"/>
  <c r="B2597" i="2"/>
  <c r="A2597" i="2"/>
  <c r="B2596" i="2"/>
  <c r="A2596" i="2"/>
  <c r="B2595" i="2"/>
  <c r="A2595" i="2"/>
  <c r="B2594" i="2"/>
  <c r="A2594" i="2"/>
  <c r="B2593" i="2"/>
  <c r="A2593" i="2"/>
  <c r="B2592" i="2"/>
  <c r="A2592" i="2"/>
  <c r="B2591" i="2"/>
  <c r="A2591" i="2"/>
  <c r="B2590" i="2"/>
  <c r="A2590" i="2"/>
  <c r="B2589" i="2"/>
  <c r="A2589" i="2"/>
  <c r="B2588" i="2"/>
  <c r="A2588" i="2"/>
  <c r="B2587" i="2"/>
  <c r="A2587" i="2"/>
  <c r="B2586" i="2"/>
  <c r="A2586" i="2"/>
  <c r="B2585" i="2"/>
  <c r="A2585" i="2"/>
  <c r="B2584" i="2"/>
  <c r="A2584" i="2"/>
  <c r="B2583" i="2"/>
  <c r="A2583" i="2"/>
  <c r="B2582" i="2"/>
  <c r="A2582" i="2"/>
  <c r="B2581" i="2"/>
  <c r="A2581" i="2"/>
  <c r="B2580" i="2"/>
  <c r="A2580" i="2"/>
  <c r="B2579" i="2"/>
  <c r="A2579" i="2"/>
  <c r="B2578" i="2"/>
  <c r="A2578" i="2"/>
  <c r="B2577" i="2"/>
  <c r="A2577" i="2"/>
  <c r="B2576" i="2"/>
  <c r="A2576" i="2"/>
  <c r="B2575" i="2"/>
  <c r="A2575" i="2"/>
  <c r="B2574" i="2"/>
  <c r="A2574" i="2"/>
  <c r="B2573" i="2"/>
  <c r="A2573" i="2"/>
  <c r="B2572" i="2"/>
  <c r="A2572" i="2"/>
  <c r="B2571" i="2"/>
  <c r="A2571" i="2"/>
  <c r="B2570" i="2"/>
  <c r="A2570" i="2"/>
  <c r="B2569" i="2"/>
  <c r="A2569" i="2"/>
  <c r="B2568" i="2"/>
  <c r="A2568" i="2"/>
  <c r="B2567" i="2"/>
  <c r="A2567" i="2"/>
  <c r="B2566" i="2"/>
  <c r="A2566" i="2"/>
  <c r="B2565" i="2"/>
  <c r="A2565" i="2"/>
  <c r="B2564" i="2"/>
  <c r="A2564" i="2"/>
  <c r="B2563" i="2"/>
  <c r="A2563" i="2"/>
  <c r="B2562" i="2"/>
  <c r="A2562" i="2"/>
  <c r="B2561" i="2"/>
  <c r="A2561" i="2"/>
  <c r="B2560" i="2"/>
  <c r="A2560" i="2"/>
  <c r="B2559" i="2"/>
  <c r="A2559" i="2"/>
  <c r="B2558" i="2"/>
  <c r="A2558" i="2"/>
  <c r="B2557" i="2"/>
  <c r="A2557" i="2"/>
  <c r="B2556" i="2"/>
  <c r="A2556" i="2"/>
  <c r="B2555" i="2"/>
  <c r="A2555" i="2"/>
  <c r="B2554" i="2"/>
  <c r="A2554" i="2"/>
  <c r="B2553" i="2"/>
  <c r="A2553" i="2"/>
  <c r="B2552" i="2"/>
  <c r="A2552" i="2"/>
  <c r="B2551" i="2"/>
  <c r="A2551" i="2"/>
  <c r="B2550" i="2"/>
  <c r="A2550" i="2"/>
  <c r="B2549" i="2"/>
  <c r="A2549" i="2"/>
  <c r="B2548" i="2"/>
  <c r="A2548" i="2"/>
  <c r="B2547" i="2"/>
  <c r="A2547" i="2"/>
  <c r="B2546" i="2"/>
  <c r="A2546" i="2"/>
  <c r="B2545" i="2"/>
  <c r="A2545" i="2"/>
  <c r="B2544" i="2"/>
  <c r="A2544" i="2"/>
  <c r="B2543" i="2"/>
  <c r="A2543" i="2"/>
  <c r="B2542" i="2"/>
  <c r="A2542" i="2"/>
  <c r="B2541" i="2"/>
  <c r="A2541" i="2"/>
  <c r="B2540" i="2"/>
  <c r="A2540" i="2"/>
  <c r="B2539" i="2"/>
  <c r="A2539" i="2"/>
  <c r="B2538" i="2"/>
  <c r="A2538" i="2"/>
  <c r="B2537" i="2"/>
  <c r="A2537" i="2"/>
  <c r="B2536" i="2"/>
  <c r="A2536" i="2"/>
  <c r="B2535" i="2"/>
  <c r="A2535" i="2"/>
  <c r="B2534" i="2"/>
  <c r="A2534" i="2"/>
  <c r="B2533" i="2"/>
  <c r="A2533" i="2"/>
  <c r="B2532" i="2"/>
  <c r="A2532" i="2"/>
  <c r="B2531" i="2"/>
  <c r="A2531" i="2"/>
  <c r="B2530" i="2"/>
  <c r="A2530" i="2"/>
  <c r="B2529" i="2"/>
  <c r="A2529" i="2"/>
  <c r="B2528" i="2"/>
  <c r="A2528" i="2"/>
  <c r="B2527" i="2"/>
  <c r="A2527" i="2"/>
  <c r="B2526" i="2"/>
  <c r="A2526" i="2"/>
  <c r="B2525" i="2"/>
  <c r="A2525" i="2"/>
  <c r="B2524" i="2"/>
  <c r="A2524" i="2"/>
  <c r="B2523" i="2"/>
  <c r="A2523" i="2"/>
  <c r="B2522" i="2"/>
  <c r="A2522" i="2"/>
  <c r="B2521" i="2"/>
  <c r="A2521" i="2"/>
  <c r="B2520" i="2"/>
  <c r="A2520" i="2"/>
  <c r="B2519" i="2"/>
  <c r="A2519" i="2"/>
  <c r="B2518" i="2"/>
  <c r="A2518" i="2"/>
  <c r="B2517" i="2"/>
  <c r="A2517" i="2"/>
  <c r="B2516" i="2"/>
  <c r="A2516" i="2"/>
  <c r="B2515" i="2"/>
  <c r="A2515" i="2"/>
  <c r="B2514" i="2"/>
  <c r="A2514" i="2"/>
  <c r="B2513" i="2"/>
  <c r="A2513" i="2"/>
  <c r="B2512" i="2"/>
  <c r="A2512" i="2"/>
  <c r="B2511" i="2"/>
  <c r="A2511" i="2"/>
  <c r="B2510" i="2"/>
  <c r="A2510" i="2"/>
  <c r="B2509" i="2"/>
  <c r="A2509" i="2"/>
  <c r="B2508" i="2"/>
  <c r="A2508" i="2"/>
  <c r="B2507" i="2"/>
  <c r="A2507" i="2"/>
  <c r="B2506" i="2"/>
  <c r="A2506" i="2"/>
  <c r="B2505" i="2"/>
  <c r="A2505" i="2"/>
  <c r="B2504" i="2"/>
  <c r="A2504" i="2"/>
  <c r="B2503" i="2"/>
  <c r="A2503" i="2"/>
  <c r="B2502" i="2"/>
  <c r="A2502" i="2"/>
  <c r="B2501" i="2"/>
  <c r="A2501" i="2"/>
  <c r="B2500" i="2"/>
  <c r="A2500" i="2"/>
  <c r="B2499" i="2"/>
  <c r="A2499" i="2"/>
  <c r="B2498" i="2"/>
  <c r="A2498" i="2"/>
  <c r="B2497" i="2"/>
  <c r="A2497" i="2"/>
  <c r="B2496" i="2"/>
  <c r="A2496" i="2"/>
  <c r="B2495" i="2"/>
  <c r="A2495" i="2"/>
  <c r="B2494" i="2"/>
  <c r="A2494" i="2"/>
  <c r="B2493" i="2"/>
  <c r="A2493" i="2"/>
  <c r="B2492" i="2"/>
  <c r="A2492" i="2"/>
  <c r="B2491" i="2"/>
  <c r="A2491" i="2"/>
  <c r="B2490" i="2"/>
  <c r="A2490" i="2"/>
  <c r="B2489" i="2"/>
  <c r="A2489" i="2"/>
  <c r="B2488" i="2"/>
  <c r="A2488" i="2"/>
  <c r="B2487" i="2"/>
  <c r="A2487" i="2"/>
  <c r="B2486" i="2"/>
  <c r="A2486" i="2"/>
  <c r="B2485" i="2"/>
  <c r="A2485" i="2"/>
  <c r="B2484" i="2"/>
  <c r="A2484" i="2"/>
  <c r="B2483" i="2"/>
  <c r="A2483" i="2"/>
  <c r="B2482" i="2"/>
  <c r="A2482" i="2"/>
  <c r="B2481" i="2"/>
  <c r="A2481" i="2"/>
  <c r="B2480" i="2"/>
  <c r="A2480" i="2"/>
  <c r="B2479" i="2"/>
  <c r="A2479" i="2"/>
  <c r="B2478" i="2"/>
  <c r="A2478" i="2"/>
  <c r="B2477" i="2"/>
  <c r="A2477" i="2"/>
  <c r="B2476" i="2"/>
  <c r="A2476" i="2"/>
  <c r="B2475" i="2"/>
  <c r="A2475" i="2"/>
  <c r="B2474" i="2"/>
  <c r="A2474" i="2"/>
  <c r="B2473" i="2"/>
  <c r="A2473" i="2"/>
  <c r="B2472" i="2"/>
  <c r="A2472" i="2"/>
  <c r="B2471" i="2"/>
  <c r="A2471" i="2"/>
  <c r="B2470" i="2"/>
  <c r="A2470" i="2"/>
  <c r="B2469" i="2"/>
  <c r="A2469" i="2"/>
  <c r="B2468" i="2"/>
  <c r="A2468" i="2"/>
  <c r="B2467" i="2"/>
  <c r="A2467" i="2"/>
  <c r="B2466" i="2"/>
  <c r="A2466" i="2"/>
  <c r="B2465" i="2"/>
  <c r="A2465" i="2"/>
  <c r="B2464" i="2"/>
  <c r="A2464" i="2"/>
  <c r="B2463" i="2"/>
  <c r="A2463" i="2"/>
  <c r="B2462" i="2"/>
  <c r="A2462" i="2"/>
  <c r="B2461" i="2"/>
  <c r="A2461" i="2"/>
  <c r="B2460" i="2"/>
  <c r="A2460" i="2"/>
  <c r="B2459" i="2"/>
  <c r="A2459" i="2"/>
  <c r="B2458" i="2"/>
  <c r="A2458" i="2"/>
  <c r="B2457" i="2"/>
  <c r="A2457" i="2"/>
  <c r="B2456" i="2"/>
  <c r="A2456" i="2"/>
  <c r="B2455" i="2"/>
  <c r="A2455" i="2"/>
  <c r="B2454" i="2"/>
  <c r="A2454" i="2"/>
  <c r="B2453" i="2"/>
  <c r="A2453" i="2"/>
  <c r="B2452" i="2"/>
  <c r="A2452" i="2"/>
  <c r="B2451" i="2"/>
  <c r="A2451" i="2"/>
  <c r="B2450" i="2"/>
  <c r="A2450" i="2"/>
  <c r="B2449" i="2"/>
  <c r="A2449" i="2"/>
  <c r="B2448" i="2"/>
  <c r="A2448" i="2"/>
  <c r="B2447" i="2"/>
  <c r="A2447" i="2"/>
  <c r="B2446" i="2"/>
  <c r="A2446" i="2"/>
  <c r="B2445" i="2"/>
  <c r="A2445" i="2"/>
  <c r="B2444" i="2"/>
  <c r="A2444" i="2"/>
  <c r="B2443" i="2"/>
  <c r="A2443" i="2"/>
  <c r="B2442" i="2"/>
  <c r="A2442" i="2"/>
  <c r="B2441" i="2"/>
  <c r="A2441" i="2"/>
  <c r="B2440" i="2"/>
  <c r="A2440" i="2"/>
  <c r="B2439" i="2"/>
  <c r="A2439" i="2"/>
  <c r="B2438" i="2"/>
  <c r="A2438" i="2"/>
  <c r="B2437" i="2"/>
  <c r="A2437" i="2"/>
  <c r="B2436" i="2"/>
  <c r="A2436" i="2"/>
  <c r="B2435" i="2"/>
  <c r="A2435" i="2"/>
  <c r="B2434" i="2"/>
  <c r="A2434" i="2"/>
  <c r="B2433" i="2"/>
  <c r="A2433" i="2"/>
  <c r="B2432" i="2"/>
  <c r="A2432" i="2"/>
  <c r="B2431" i="2"/>
  <c r="A2431" i="2"/>
  <c r="B2430" i="2"/>
  <c r="A2430" i="2"/>
  <c r="B2429" i="2"/>
  <c r="A2429" i="2"/>
  <c r="B2428" i="2"/>
  <c r="A2428" i="2"/>
  <c r="B2427" i="2"/>
  <c r="A2427" i="2"/>
  <c r="B2426" i="2"/>
  <c r="A2426" i="2"/>
  <c r="B2425" i="2"/>
  <c r="A2425" i="2"/>
  <c r="B2424" i="2"/>
  <c r="A2424" i="2"/>
  <c r="B2423" i="2"/>
  <c r="A2423" i="2"/>
  <c r="B2422" i="2"/>
  <c r="A2422" i="2"/>
  <c r="B2421" i="2"/>
  <c r="A2421" i="2"/>
  <c r="B2420" i="2"/>
  <c r="A2420" i="2"/>
  <c r="B2419" i="2"/>
  <c r="A2419" i="2"/>
  <c r="B2418" i="2"/>
  <c r="A2418" i="2"/>
  <c r="B2417" i="2"/>
  <c r="A2417" i="2"/>
  <c r="B2416" i="2"/>
  <c r="A2416" i="2"/>
  <c r="B2415" i="2"/>
  <c r="A2415" i="2"/>
  <c r="B2414" i="2"/>
  <c r="A2414" i="2"/>
  <c r="B2413" i="2"/>
  <c r="A2413" i="2"/>
  <c r="B2412" i="2"/>
  <c r="A2412" i="2"/>
  <c r="B2411" i="2"/>
  <c r="A2411" i="2"/>
  <c r="B2410" i="2"/>
  <c r="A2410" i="2"/>
  <c r="B2409" i="2"/>
  <c r="A2409" i="2"/>
  <c r="B2408" i="2"/>
  <c r="A2408" i="2"/>
  <c r="B2407" i="2"/>
  <c r="A2407" i="2"/>
  <c r="B2406" i="2"/>
  <c r="A2406" i="2"/>
  <c r="B2405" i="2"/>
  <c r="A2405" i="2"/>
  <c r="B2404" i="2"/>
  <c r="A2404" i="2"/>
  <c r="B2403" i="2"/>
  <c r="A2403" i="2"/>
  <c r="B2402" i="2"/>
  <c r="A2402" i="2"/>
  <c r="B2401" i="2"/>
  <c r="A2401" i="2"/>
  <c r="B2400" i="2"/>
  <c r="A2400" i="2"/>
  <c r="B2399" i="2"/>
  <c r="A2399" i="2"/>
  <c r="B2398" i="2"/>
  <c r="A2398" i="2"/>
  <c r="B2397" i="2"/>
  <c r="A2397" i="2"/>
  <c r="B2396" i="2"/>
  <c r="A2396" i="2"/>
  <c r="B2395" i="2"/>
  <c r="A2395" i="2"/>
  <c r="B2394" i="2"/>
  <c r="A2394" i="2"/>
  <c r="B2393" i="2"/>
  <c r="A2393" i="2"/>
  <c r="B2392" i="2"/>
  <c r="A2392" i="2"/>
  <c r="B2391" i="2"/>
  <c r="A2391" i="2"/>
  <c r="B2390" i="2"/>
  <c r="A2390" i="2"/>
  <c r="B2389" i="2"/>
  <c r="A2389" i="2"/>
  <c r="B2388" i="2"/>
  <c r="A2388" i="2"/>
  <c r="B2387" i="2"/>
  <c r="A2387" i="2"/>
  <c r="B2386" i="2"/>
  <c r="A2386" i="2"/>
  <c r="B2385" i="2"/>
  <c r="A2385" i="2"/>
  <c r="B2384" i="2"/>
  <c r="A2384" i="2"/>
  <c r="B2383" i="2"/>
  <c r="A2383" i="2"/>
  <c r="B2382" i="2"/>
  <c r="A2382" i="2"/>
  <c r="B2381" i="2"/>
  <c r="A2381" i="2"/>
  <c r="B2380" i="2"/>
  <c r="A2380" i="2"/>
  <c r="B2379" i="2"/>
  <c r="A2379" i="2"/>
  <c r="B2378" i="2"/>
  <c r="A2378" i="2"/>
  <c r="B2377" i="2"/>
  <c r="A2377" i="2"/>
  <c r="B2376" i="2"/>
  <c r="A2376" i="2"/>
  <c r="B2375" i="2"/>
  <c r="A2375" i="2"/>
  <c r="B2374" i="2"/>
  <c r="A2374" i="2"/>
  <c r="B2373" i="2"/>
  <c r="A2373" i="2"/>
  <c r="B2372" i="2"/>
  <c r="A2372" i="2"/>
  <c r="B2371" i="2"/>
  <c r="A2371" i="2"/>
  <c r="B2370" i="2"/>
  <c r="A2370" i="2"/>
  <c r="B2369" i="2"/>
  <c r="A2369" i="2"/>
  <c r="B2368" i="2"/>
  <c r="A2368" i="2"/>
  <c r="B2367" i="2"/>
  <c r="A2367" i="2"/>
  <c r="B2366" i="2"/>
  <c r="A2366" i="2"/>
  <c r="B2365" i="2"/>
  <c r="A2365" i="2"/>
  <c r="B2364" i="2"/>
  <c r="A2364" i="2"/>
  <c r="B2363" i="2"/>
  <c r="A2363" i="2"/>
  <c r="B2362" i="2"/>
  <c r="A2362" i="2"/>
  <c r="B2361" i="2"/>
  <c r="A2361" i="2"/>
  <c r="B2360" i="2"/>
  <c r="A2360" i="2"/>
  <c r="B2359" i="2"/>
  <c r="A2359" i="2"/>
  <c r="B2358" i="2"/>
  <c r="A2358" i="2"/>
  <c r="B2357" i="2"/>
  <c r="A2357" i="2"/>
  <c r="B2356" i="2"/>
  <c r="A2356" i="2"/>
  <c r="B2355" i="2"/>
  <c r="A2355" i="2"/>
  <c r="B2354" i="2"/>
  <c r="A2354" i="2"/>
  <c r="B2353" i="2"/>
  <c r="A2353" i="2"/>
  <c r="B2352" i="2"/>
  <c r="A2352" i="2"/>
  <c r="B2351" i="2"/>
  <c r="A2351" i="2"/>
  <c r="B2350" i="2"/>
  <c r="A2350" i="2"/>
  <c r="B2349" i="2"/>
  <c r="A2349" i="2"/>
  <c r="B2348" i="2"/>
  <c r="A2348" i="2"/>
  <c r="B2347" i="2"/>
  <c r="A2347" i="2"/>
  <c r="B2346" i="2"/>
  <c r="A2346" i="2"/>
  <c r="B2345" i="2"/>
  <c r="A2345" i="2"/>
  <c r="B2344" i="2"/>
  <c r="A2344" i="2"/>
  <c r="B2343" i="2"/>
  <c r="A2343" i="2"/>
  <c r="B2342" i="2"/>
  <c r="A2342" i="2"/>
  <c r="B2341" i="2"/>
  <c r="A2341" i="2"/>
  <c r="B2340" i="2"/>
  <c r="A2340" i="2"/>
  <c r="B2339" i="2"/>
  <c r="A2339" i="2"/>
  <c r="B2338" i="2"/>
  <c r="A2338" i="2"/>
  <c r="B2337" i="2"/>
  <c r="A2337" i="2"/>
  <c r="B2336" i="2"/>
  <c r="A2336" i="2"/>
  <c r="B2335" i="2"/>
  <c r="A2335" i="2"/>
  <c r="B2334" i="2"/>
  <c r="A2334" i="2"/>
  <c r="B2333" i="2"/>
  <c r="A2333" i="2"/>
  <c r="B2332" i="2"/>
  <c r="A2332" i="2"/>
  <c r="B2331" i="2"/>
  <c r="A2331" i="2"/>
  <c r="B2330" i="2"/>
  <c r="A2330" i="2"/>
  <c r="B2329" i="2"/>
  <c r="A2329" i="2"/>
  <c r="B2328" i="2"/>
  <c r="A2328" i="2"/>
  <c r="B2327" i="2"/>
  <c r="A2327" i="2"/>
  <c r="B2326" i="2"/>
  <c r="A2326" i="2"/>
  <c r="B2325" i="2"/>
  <c r="A2325" i="2"/>
  <c r="B2324" i="2"/>
  <c r="A2324" i="2"/>
  <c r="B2323" i="2"/>
  <c r="A2323" i="2"/>
  <c r="B2322" i="2"/>
  <c r="A2322" i="2"/>
  <c r="B2321" i="2"/>
  <c r="A2321" i="2"/>
  <c r="B2320" i="2"/>
  <c r="A2320" i="2"/>
  <c r="B2319" i="2"/>
  <c r="A2319" i="2"/>
  <c r="B2318" i="2"/>
  <c r="A2318" i="2"/>
  <c r="B2317" i="2"/>
  <c r="A2317" i="2"/>
  <c r="B2316" i="2"/>
  <c r="A2316" i="2"/>
  <c r="B2315" i="2"/>
  <c r="A2315" i="2"/>
  <c r="B2314" i="2"/>
  <c r="A2314" i="2"/>
  <c r="B2313" i="2"/>
  <c r="A2313" i="2"/>
  <c r="B2312" i="2"/>
  <c r="A2312" i="2"/>
  <c r="B2311" i="2"/>
  <c r="A2311" i="2"/>
  <c r="B2310" i="2"/>
  <c r="A2310" i="2"/>
  <c r="B2309" i="2"/>
  <c r="A2309" i="2"/>
  <c r="B2308" i="2"/>
  <c r="A2308" i="2"/>
  <c r="B2307" i="2"/>
  <c r="A2307" i="2"/>
  <c r="B2306" i="2"/>
  <c r="A2306" i="2"/>
  <c r="B2305" i="2"/>
  <c r="A2305" i="2"/>
  <c r="B2304" i="2"/>
  <c r="A2304" i="2"/>
  <c r="B2303" i="2"/>
  <c r="A2303" i="2"/>
  <c r="B2302" i="2"/>
  <c r="A2302" i="2"/>
  <c r="B2301" i="2"/>
  <c r="A2301" i="2"/>
  <c r="B2300" i="2"/>
  <c r="A2300" i="2"/>
  <c r="B2299" i="2"/>
  <c r="A2299" i="2"/>
  <c r="B2298" i="2"/>
  <c r="A2298" i="2"/>
  <c r="B2297" i="2"/>
  <c r="A2297" i="2"/>
  <c r="B2296" i="2"/>
  <c r="A2296" i="2"/>
  <c r="B2295" i="2"/>
  <c r="A2295" i="2"/>
  <c r="B2294" i="2"/>
  <c r="A2294" i="2"/>
  <c r="B2293" i="2"/>
  <c r="A2293" i="2"/>
  <c r="B2292" i="2"/>
  <c r="A2292" i="2"/>
  <c r="B2291" i="2"/>
  <c r="A2291" i="2"/>
  <c r="B2290" i="2"/>
  <c r="A2290" i="2"/>
  <c r="B2289" i="2"/>
  <c r="A2289" i="2"/>
  <c r="B2288" i="2"/>
  <c r="A2288" i="2"/>
  <c r="B2287" i="2"/>
  <c r="A2287" i="2"/>
  <c r="B2286" i="2"/>
  <c r="A2286" i="2"/>
  <c r="B2285" i="2"/>
  <c r="A2285" i="2"/>
  <c r="B2284" i="2"/>
  <c r="A2284" i="2"/>
  <c r="B2283" i="2"/>
  <c r="A2283" i="2"/>
  <c r="B2282" i="2"/>
  <c r="A2282" i="2"/>
  <c r="B2281" i="2"/>
  <c r="A2281" i="2"/>
  <c r="B2280" i="2"/>
  <c r="A2280" i="2"/>
  <c r="B2279" i="2"/>
  <c r="A2279" i="2"/>
  <c r="B2278" i="2"/>
  <c r="A2278" i="2"/>
  <c r="B2277" i="2"/>
  <c r="A2277" i="2"/>
  <c r="B2276" i="2"/>
  <c r="A2276" i="2"/>
  <c r="B2275" i="2"/>
  <c r="A2275" i="2"/>
  <c r="B2274" i="2"/>
  <c r="A2274" i="2"/>
  <c r="B2273" i="2"/>
  <c r="A2273" i="2"/>
  <c r="B2272" i="2"/>
  <c r="A2272" i="2"/>
  <c r="B2271" i="2"/>
  <c r="A2271" i="2"/>
  <c r="B2270" i="2"/>
  <c r="A2270" i="2"/>
  <c r="B2269" i="2"/>
  <c r="A2269" i="2"/>
  <c r="B2268" i="2"/>
  <c r="A2268" i="2"/>
  <c r="B2267" i="2"/>
  <c r="A2267" i="2"/>
  <c r="B2266" i="2"/>
  <c r="A2266" i="2"/>
  <c r="B2265" i="2"/>
  <c r="A2265" i="2"/>
  <c r="B2264" i="2"/>
  <c r="A2264" i="2"/>
  <c r="B2263" i="2"/>
  <c r="A2263" i="2"/>
  <c r="B2262" i="2"/>
  <c r="A2262" i="2"/>
  <c r="B2261" i="2"/>
  <c r="A2261" i="2"/>
  <c r="B2260" i="2"/>
  <c r="A2260" i="2"/>
  <c r="B2259" i="2"/>
  <c r="A2259" i="2"/>
  <c r="B2258" i="2"/>
  <c r="A2258" i="2"/>
  <c r="B2257" i="2"/>
  <c r="A2257" i="2"/>
  <c r="B2256" i="2"/>
  <c r="A2256" i="2"/>
  <c r="B2255" i="2"/>
  <c r="A2255" i="2"/>
  <c r="B2254" i="2"/>
  <c r="A2254" i="2"/>
  <c r="B2253" i="2"/>
  <c r="A2253" i="2"/>
  <c r="B2252" i="2"/>
  <c r="A2252" i="2"/>
  <c r="B2251" i="2"/>
  <c r="A2251" i="2"/>
  <c r="B2250" i="2"/>
  <c r="A2250" i="2"/>
  <c r="B2249" i="2"/>
  <c r="A2249" i="2"/>
  <c r="B2248" i="2"/>
  <c r="A2248" i="2"/>
  <c r="B2247" i="2"/>
  <c r="A2247" i="2"/>
  <c r="B2246" i="2"/>
  <c r="A2246" i="2"/>
  <c r="B2245" i="2"/>
  <c r="A2245" i="2"/>
  <c r="B2244" i="2"/>
  <c r="A2244" i="2"/>
  <c r="B2243" i="2"/>
  <c r="A2243" i="2"/>
  <c r="B2242" i="2"/>
  <c r="A2242" i="2"/>
  <c r="B2241" i="2"/>
  <c r="A2241" i="2"/>
  <c r="B2240" i="2"/>
  <c r="A2240" i="2"/>
  <c r="B2239" i="2"/>
  <c r="A2239" i="2"/>
  <c r="B2238" i="2"/>
  <c r="A2238" i="2"/>
  <c r="B2237" i="2"/>
  <c r="A2237" i="2"/>
  <c r="B2236" i="2"/>
  <c r="A2236" i="2"/>
  <c r="B2235" i="2"/>
  <c r="A2235" i="2"/>
  <c r="B2234" i="2"/>
  <c r="A2234" i="2"/>
  <c r="B2233" i="2"/>
  <c r="A2233" i="2"/>
  <c r="B2232" i="2"/>
  <c r="A2232" i="2"/>
  <c r="B2231" i="2"/>
  <c r="A2231" i="2"/>
  <c r="B2230" i="2"/>
  <c r="A2230" i="2"/>
  <c r="B2229" i="2"/>
  <c r="A2229" i="2"/>
  <c r="B2228" i="2"/>
  <c r="A2228" i="2"/>
  <c r="B2227" i="2"/>
  <c r="A2227" i="2"/>
  <c r="B2226" i="2"/>
  <c r="A2226" i="2"/>
  <c r="B2225" i="2"/>
  <c r="A2225" i="2"/>
  <c r="B2224" i="2"/>
  <c r="A2224" i="2"/>
  <c r="B2223" i="2"/>
  <c r="A2223" i="2"/>
  <c r="B2222" i="2"/>
  <c r="A2222" i="2"/>
  <c r="B2221" i="2"/>
  <c r="A2221" i="2"/>
  <c r="B2220" i="2"/>
  <c r="A2220" i="2"/>
  <c r="B2219" i="2"/>
  <c r="A2219" i="2"/>
  <c r="B2218" i="2"/>
  <c r="A2218" i="2"/>
  <c r="B2217" i="2"/>
  <c r="A2217" i="2"/>
  <c r="B2216" i="2"/>
  <c r="A2216" i="2"/>
  <c r="B2215" i="2"/>
  <c r="A2215" i="2"/>
  <c r="B2214" i="2"/>
  <c r="A2214" i="2"/>
  <c r="B2213" i="2"/>
  <c r="A2213" i="2"/>
  <c r="B2212" i="2"/>
  <c r="A2212" i="2"/>
  <c r="B2211" i="2"/>
  <c r="A2211" i="2"/>
  <c r="B2210" i="2"/>
  <c r="A2210" i="2"/>
  <c r="B2209" i="2"/>
  <c r="A2209" i="2"/>
  <c r="B2208" i="2"/>
  <c r="A2208" i="2"/>
  <c r="B2207" i="2"/>
  <c r="A2207" i="2"/>
  <c r="B2206" i="2"/>
  <c r="A2206" i="2"/>
  <c r="B2205" i="2"/>
  <c r="A2205" i="2"/>
  <c r="B2204" i="2"/>
  <c r="A2204" i="2"/>
  <c r="B2203" i="2"/>
  <c r="A2203" i="2"/>
  <c r="B2202" i="2"/>
  <c r="A2202" i="2"/>
  <c r="B2201" i="2"/>
  <c r="A2201" i="2"/>
  <c r="B2200" i="2"/>
  <c r="A2200" i="2"/>
  <c r="B2199" i="2"/>
  <c r="A2199" i="2"/>
  <c r="B2198" i="2"/>
  <c r="A2198" i="2"/>
  <c r="B2197" i="2"/>
  <c r="A2197" i="2"/>
  <c r="B2196" i="2"/>
  <c r="A2196" i="2"/>
  <c r="B2195" i="2"/>
  <c r="A2195" i="2"/>
  <c r="B2194" i="2"/>
  <c r="A2194" i="2"/>
  <c r="B2193" i="2"/>
  <c r="A2193" i="2"/>
  <c r="B2192" i="2"/>
  <c r="A2192" i="2"/>
  <c r="B2191" i="2"/>
  <c r="A2191" i="2"/>
  <c r="B2190" i="2"/>
  <c r="A2190" i="2"/>
  <c r="B2189" i="2"/>
  <c r="A2189" i="2"/>
  <c r="B2188" i="2"/>
  <c r="A2188" i="2"/>
  <c r="B2187" i="2"/>
  <c r="A2187" i="2"/>
  <c r="B2186" i="2"/>
  <c r="A2186" i="2"/>
  <c r="B2185" i="2"/>
  <c r="A2185" i="2"/>
  <c r="B2184" i="2"/>
  <c r="A2184" i="2"/>
  <c r="B2183" i="2"/>
  <c r="A2183" i="2"/>
  <c r="B2182" i="2"/>
  <c r="A2182" i="2"/>
  <c r="B2181" i="2"/>
  <c r="A2181" i="2"/>
  <c r="B2180" i="2"/>
  <c r="A2180" i="2"/>
  <c r="B2179" i="2"/>
  <c r="A2179" i="2"/>
  <c r="B2178" i="2"/>
  <c r="A2178" i="2"/>
  <c r="B2177" i="2"/>
  <c r="A2177" i="2"/>
  <c r="B2176" i="2"/>
  <c r="A2176" i="2"/>
  <c r="B2175" i="2"/>
  <c r="A2175" i="2"/>
  <c r="B2174" i="2"/>
  <c r="A2174" i="2"/>
  <c r="B2173" i="2"/>
  <c r="A2173" i="2"/>
  <c r="B2172" i="2"/>
  <c r="A2172" i="2"/>
  <c r="B2171" i="2"/>
  <c r="A2171" i="2"/>
  <c r="B2170" i="2"/>
  <c r="A2170" i="2"/>
  <c r="B2169" i="2"/>
  <c r="A2169" i="2"/>
  <c r="B2168" i="2"/>
  <c r="A2168" i="2"/>
  <c r="B2167" i="2"/>
  <c r="A2167" i="2"/>
  <c r="B2166" i="2"/>
  <c r="A2166" i="2"/>
  <c r="B2165" i="2"/>
  <c r="A2165" i="2"/>
  <c r="B2164" i="2"/>
  <c r="A2164" i="2"/>
  <c r="B2163" i="2"/>
  <c r="A2163" i="2"/>
  <c r="B2162" i="2"/>
  <c r="A2162" i="2"/>
  <c r="B2161" i="2"/>
  <c r="A2161" i="2"/>
  <c r="B2160" i="2"/>
  <c r="A2160" i="2"/>
  <c r="B2159" i="2"/>
  <c r="A2159" i="2"/>
  <c r="B2158" i="2"/>
  <c r="A2158" i="2"/>
  <c r="B2157" i="2"/>
  <c r="A2157" i="2"/>
  <c r="B2156" i="2"/>
  <c r="A2156" i="2"/>
  <c r="B2155" i="2"/>
  <c r="A2155" i="2"/>
  <c r="B2154" i="2"/>
  <c r="A2154" i="2"/>
  <c r="B2153" i="2"/>
  <c r="A2153" i="2"/>
  <c r="B2152" i="2"/>
  <c r="A2152" i="2"/>
  <c r="B2151" i="2"/>
  <c r="A2151" i="2"/>
  <c r="B2150" i="2"/>
  <c r="A2150" i="2"/>
  <c r="B2149" i="2"/>
  <c r="A2149" i="2"/>
  <c r="B2148" i="2"/>
  <c r="A2148" i="2"/>
  <c r="B2147" i="2"/>
  <c r="A2147" i="2"/>
  <c r="B2146" i="2"/>
  <c r="A2146" i="2"/>
  <c r="B2145" i="2"/>
  <c r="A2145" i="2"/>
  <c r="B2144" i="2"/>
  <c r="A2144" i="2"/>
  <c r="B2143" i="2"/>
  <c r="A2143" i="2"/>
  <c r="B2142" i="2"/>
  <c r="A2142" i="2"/>
  <c r="B2141" i="2"/>
  <c r="A2141" i="2"/>
  <c r="B2140" i="2"/>
  <c r="A2140" i="2"/>
  <c r="B2139" i="2"/>
  <c r="A2139" i="2"/>
  <c r="B2138" i="2"/>
  <c r="A2138" i="2"/>
  <c r="B2137" i="2"/>
  <c r="A2137" i="2"/>
  <c r="B2136" i="2"/>
  <c r="A2136" i="2"/>
  <c r="B2135" i="2"/>
  <c r="A2135" i="2"/>
  <c r="B2134" i="2"/>
  <c r="A2134" i="2"/>
  <c r="B2133" i="2"/>
  <c r="A2133" i="2"/>
  <c r="B2132" i="2"/>
  <c r="A2132" i="2"/>
  <c r="B2131" i="2"/>
  <c r="A2131" i="2"/>
  <c r="B2130" i="2"/>
  <c r="A2130" i="2"/>
  <c r="B2129" i="2"/>
  <c r="A2129" i="2"/>
  <c r="B2128" i="2"/>
  <c r="A2128" i="2"/>
  <c r="B2127" i="2"/>
  <c r="A2127" i="2"/>
  <c r="B2126" i="2"/>
  <c r="A2126" i="2"/>
  <c r="B2125" i="2"/>
  <c r="A2125" i="2"/>
  <c r="B2124" i="2"/>
  <c r="A2124" i="2"/>
  <c r="B2123" i="2"/>
  <c r="A2123" i="2"/>
  <c r="B2122" i="2"/>
  <c r="A2122" i="2"/>
  <c r="B2121" i="2"/>
  <c r="A2121" i="2"/>
  <c r="B2120" i="2"/>
  <c r="A2120" i="2"/>
  <c r="B2119" i="2"/>
  <c r="A2119" i="2"/>
  <c r="B2118" i="2"/>
  <c r="A2118" i="2"/>
  <c r="B2117" i="2"/>
  <c r="A2117" i="2"/>
  <c r="B2116" i="2"/>
  <c r="A2116" i="2"/>
  <c r="B2115" i="2"/>
  <c r="A2115" i="2"/>
  <c r="B2114" i="2"/>
  <c r="A2114" i="2"/>
  <c r="B2113" i="2"/>
  <c r="A2113" i="2"/>
  <c r="B2112" i="2"/>
  <c r="A2112" i="2"/>
  <c r="B2111" i="2"/>
  <c r="A2111" i="2"/>
  <c r="B2110" i="2"/>
  <c r="A2110" i="2"/>
  <c r="B2109" i="2"/>
  <c r="A2109" i="2"/>
  <c r="B2108" i="2"/>
  <c r="A2108" i="2"/>
  <c r="B2107" i="2"/>
  <c r="A2107" i="2"/>
  <c r="B2106" i="2"/>
  <c r="A2106" i="2"/>
  <c r="B2105" i="2"/>
  <c r="A2105" i="2"/>
  <c r="B2104" i="2"/>
  <c r="A2104" i="2"/>
  <c r="B2103" i="2"/>
  <c r="A2103" i="2"/>
  <c r="B2102" i="2"/>
  <c r="A2102" i="2"/>
  <c r="B2101" i="2"/>
  <c r="A2101" i="2"/>
  <c r="B2100" i="2"/>
  <c r="A2100" i="2"/>
  <c r="B2099" i="2"/>
  <c r="A2099" i="2"/>
  <c r="B2098" i="2"/>
  <c r="A2098" i="2"/>
  <c r="B2097" i="2"/>
  <c r="A2097" i="2"/>
  <c r="B2096" i="2"/>
  <c r="A2096" i="2"/>
  <c r="B2095" i="2"/>
  <c r="A2095" i="2"/>
  <c r="B2094" i="2"/>
  <c r="A2094" i="2"/>
  <c r="B2093" i="2"/>
  <c r="A2093" i="2"/>
  <c r="B2092" i="2"/>
  <c r="A2092" i="2"/>
  <c r="B2091" i="2"/>
  <c r="A2091" i="2"/>
  <c r="B2090" i="2"/>
  <c r="A2090" i="2"/>
  <c r="B2089" i="2"/>
  <c r="A2089" i="2"/>
  <c r="B2088" i="2"/>
  <c r="A2088" i="2"/>
  <c r="B2087" i="2"/>
  <c r="A2087" i="2"/>
  <c r="B2086" i="2"/>
  <c r="A2086" i="2"/>
  <c r="B2085" i="2"/>
  <c r="A2085" i="2"/>
  <c r="B2084" i="2"/>
  <c r="A2084" i="2"/>
  <c r="B2083" i="2"/>
  <c r="A2083" i="2"/>
  <c r="B2082" i="2"/>
  <c r="A2082" i="2"/>
  <c r="B2081" i="2"/>
  <c r="A2081" i="2"/>
  <c r="B2080" i="2"/>
  <c r="A2080" i="2"/>
  <c r="B2079" i="2"/>
  <c r="A2079" i="2"/>
  <c r="B2078" i="2"/>
  <c r="A2078" i="2"/>
  <c r="B2077" i="2"/>
  <c r="A2077" i="2"/>
  <c r="B2076" i="2"/>
  <c r="A2076" i="2"/>
  <c r="B2075" i="2"/>
  <c r="A2075" i="2"/>
  <c r="B2074" i="2"/>
  <c r="A2074" i="2"/>
  <c r="B2073" i="2"/>
  <c r="A2073" i="2"/>
  <c r="B2072" i="2"/>
  <c r="A2072" i="2"/>
  <c r="B2071" i="2"/>
  <c r="A2071" i="2"/>
  <c r="B2070" i="2"/>
  <c r="A2070" i="2"/>
  <c r="B2069" i="2"/>
  <c r="A2069" i="2"/>
  <c r="B2068" i="2"/>
  <c r="A2068" i="2"/>
  <c r="B2067" i="2"/>
  <c r="A2067" i="2"/>
  <c r="B2066" i="2"/>
  <c r="A2066" i="2"/>
  <c r="B2065" i="2"/>
  <c r="A2065" i="2"/>
  <c r="B2064" i="2"/>
  <c r="A2064" i="2"/>
  <c r="B2063" i="2"/>
  <c r="A2063" i="2"/>
  <c r="B2062" i="2"/>
  <c r="A2062" i="2"/>
  <c r="B2061" i="2"/>
  <c r="A2061" i="2"/>
  <c r="B2060" i="2"/>
  <c r="A2060" i="2"/>
  <c r="B2059" i="2"/>
  <c r="A2059" i="2"/>
  <c r="B2058" i="2"/>
  <c r="A2058" i="2"/>
  <c r="B2057" i="2"/>
  <c r="A2057" i="2"/>
  <c r="B2056" i="2"/>
  <c r="A2056" i="2"/>
  <c r="B2055" i="2"/>
  <c r="A2055" i="2"/>
  <c r="B2054" i="2"/>
  <c r="A2054" i="2"/>
  <c r="B2053" i="2"/>
  <c r="A2053" i="2"/>
  <c r="B2052" i="2"/>
  <c r="A2052" i="2"/>
  <c r="B2051" i="2"/>
  <c r="A2051" i="2"/>
  <c r="B2050" i="2"/>
  <c r="A2050" i="2"/>
  <c r="B2049" i="2"/>
  <c r="A2049" i="2"/>
  <c r="B2048" i="2"/>
  <c r="A2048" i="2"/>
  <c r="B2047" i="2"/>
  <c r="A2047" i="2"/>
  <c r="B2046" i="2"/>
  <c r="A2046" i="2"/>
  <c r="B2045" i="2"/>
  <c r="A2045" i="2"/>
  <c r="B2044" i="2"/>
  <c r="A2044" i="2"/>
  <c r="B2043" i="2"/>
  <c r="A2043" i="2"/>
  <c r="B2042" i="2"/>
  <c r="A2042" i="2"/>
  <c r="B2041" i="2"/>
  <c r="A2041" i="2"/>
  <c r="B2040" i="2"/>
  <c r="A2040" i="2"/>
  <c r="B2039" i="2"/>
  <c r="A2039" i="2"/>
  <c r="B2038" i="2"/>
  <c r="A2038" i="2"/>
  <c r="B2037" i="2"/>
  <c r="A2037" i="2"/>
  <c r="B2036" i="2"/>
  <c r="A2036" i="2"/>
  <c r="B2035" i="2"/>
  <c r="A2035" i="2"/>
  <c r="B2034" i="2"/>
  <c r="A2034" i="2"/>
  <c r="B2033" i="2"/>
  <c r="A2033" i="2"/>
  <c r="B2032" i="2"/>
  <c r="A2032" i="2"/>
  <c r="B2031" i="2"/>
  <c r="A2031" i="2"/>
  <c r="B2030" i="2"/>
  <c r="A2030" i="2"/>
  <c r="B2029" i="2"/>
  <c r="A2029" i="2"/>
  <c r="B2028" i="2"/>
  <c r="A2028" i="2"/>
  <c r="B2027" i="2"/>
  <c r="A2027" i="2"/>
  <c r="B2026" i="2"/>
  <c r="A2026" i="2"/>
  <c r="B2025" i="2"/>
  <c r="A2025" i="2"/>
  <c r="B2024" i="2"/>
  <c r="A2024" i="2"/>
  <c r="B2023" i="2"/>
  <c r="A2023" i="2"/>
  <c r="B2022" i="2"/>
  <c r="A2022" i="2"/>
  <c r="B2021" i="2"/>
  <c r="A2021" i="2"/>
  <c r="B2020" i="2"/>
  <c r="A2020" i="2"/>
  <c r="B2019" i="2"/>
  <c r="A2019" i="2"/>
  <c r="B2018" i="2"/>
  <c r="A2018" i="2"/>
  <c r="B2017" i="2"/>
  <c r="A2017" i="2"/>
  <c r="B2016" i="2"/>
  <c r="A2016" i="2"/>
  <c r="B2015" i="2"/>
  <c r="A2015" i="2"/>
  <c r="B2014" i="2"/>
  <c r="A2014" i="2"/>
  <c r="B2013" i="2"/>
  <c r="A2013" i="2"/>
  <c r="B2012" i="2"/>
  <c r="A2012" i="2"/>
  <c r="B2011" i="2"/>
  <c r="A2011" i="2"/>
  <c r="B2010" i="2"/>
  <c r="A2010" i="2"/>
  <c r="B2009" i="2"/>
  <c r="A2009" i="2"/>
  <c r="B2008" i="2"/>
  <c r="A2008" i="2"/>
  <c r="B2007" i="2"/>
  <c r="A2007" i="2"/>
  <c r="B2006" i="2"/>
  <c r="A2006" i="2"/>
  <c r="B2005" i="2"/>
  <c r="A2005" i="2"/>
  <c r="B2004" i="2"/>
  <c r="A2004" i="2"/>
  <c r="B2003" i="2"/>
  <c r="A2003" i="2"/>
  <c r="B2002" i="2"/>
  <c r="A2002" i="2"/>
  <c r="B2001" i="2"/>
  <c r="A2001" i="2"/>
  <c r="B2000" i="2"/>
  <c r="A2000" i="2"/>
  <c r="B1999" i="2"/>
  <c r="A1999" i="2"/>
  <c r="B1998" i="2"/>
  <c r="A1998" i="2"/>
  <c r="B1997" i="2"/>
  <c r="A1997" i="2"/>
  <c r="B1996" i="2"/>
  <c r="A1996" i="2"/>
  <c r="B1995" i="2"/>
  <c r="A1995" i="2"/>
  <c r="B1994" i="2"/>
  <c r="A1994" i="2"/>
  <c r="B1993" i="2"/>
  <c r="A1993" i="2"/>
  <c r="B1992" i="2"/>
  <c r="A1992" i="2"/>
  <c r="B1991" i="2"/>
  <c r="A1991" i="2"/>
  <c r="B1990" i="2"/>
  <c r="A1990" i="2"/>
  <c r="B1989" i="2"/>
  <c r="A1989" i="2"/>
  <c r="B1988" i="2"/>
  <c r="A1988" i="2"/>
  <c r="B1987" i="2"/>
  <c r="A1987" i="2"/>
  <c r="B1986" i="2"/>
  <c r="A1986" i="2"/>
  <c r="B1985" i="2"/>
  <c r="A1985" i="2"/>
  <c r="B1984" i="2"/>
  <c r="A1984" i="2"/>
  <c r="B1983" i="2"/>
  <c r="A1983" i="2"/>
  <c r="B1982" i="2"/>
  <c r="A1982" i="2"/>
  <c r="B1981" i="2"/>
  <c r="A1981" i="2"/>
  <c r="B1980" i="2"/>
  <c r="A1980" i="2"/>
  <c r="B1979" i="2"/>
  <c r="A1979" i="2"/>
  <c r="B1978" i="2"/>
  <c r="A1978" i="2"/>
  <c r="B1977" i="2"/>
  <c r="A1977" i="2"/>
  <c r="B1976" i="2"/>
  <c r="A1976" i="2"/>
  <c r="B1975" i="2"/>
  <c r="A1975" i="2"/>
  <c r="B1974" i="2"/>
  <c r="A1974" i="2"/>
  <c r="B1973" i="2"/>
  <c r="A1973" i="2"/>
  <c r="B1972" i="2"/>
  <c r="A1972" i="2"/>
  <c r="B1971" i="2"/>
  <c r="A1971" i="2"/>
  <c r="B1970" i="2"/>
  <c r="A1970" i="2"/>
  <c r="B1969" i="2"/>
  <c r="A1969" i="2"/>
  <c r="B1968" i="2"/>
  <c r="A1968" i="2"/>
  <c r="B1967" i="2"/>
  <c r="A1967" i="2"/>
  <c r="B1966" i="2"/>
  <c r="A1966" i="2"/>
  <c r="B1965" i="2"/>
  <c r="A1965" i="2"/>
  <c r="B1964" i="2"/>
  <c r="A1964" i="2"/>
  <c r="B1963" i="2"/>
  <c r="A1963" i="2"/>
  <c r="B1962" i="2"/>
  <c r="A1962" i="2"/>
  <c r="B1961" i="2"/>
  <c r="A1961" i="2"/>
  <c r="B1960" i="2"/>
  <c r="A1960" i="2"/>
  <c r="B1959" i="2"/>
  <c r="A1959" i="2"/>
  <c r="B1958" i="2"/>
  <c r="A1958" i="2"/>
  <c r="B1957" i="2"/>
  <c r="A1957" i="2"/>
  <c r="B1956" i="2"/>
  <c r="A1956" i="2"/>
  <c r="B1955" i="2"/>
  <c r="A1955" i="2"/>
  <c r="B1954" i="2"/>
  <c r="A1954" i="2"/>
  <c r="B1953" i="2"/>
  <c r="A1953" i="2"/>
  <c r="B1952" i="2"/>
  <c r="A1952" i="2"/>
  <c r="B1951" i="2"/>
  <c r="A1951" i="2"/>
  <c r="B1950" i="2"/>
  <c r="A1950" i="2"/>
  <c r="B1949" i="2"/>
  <c r="A1949" i="2"/>
  <c r="B1948" i="2"/>
  <c r="A1948" i="2"/>
  <c r="B1947" i="2"/>
  <c r="A1947" i="2"/>
  <c r="B1946" i="2"/>
  <c r="A1946" i="2"/>
  <c r="B1945" i="2"/>
  <c r="A1945" i="2"/>
  <c r="B1944" i="2"/>
  <c r="A1944" i="2"/>
  <c r="B1943" i="2"/>
  <c r="A1943" i="2"/>
  <c r="B1942" i="2"/>
  <c r="A1942" i="2"/>
  <c r="B1941" i="2"/>
  <c r="A1941" i="2"/>
  <c r="B1940" i="2"/>
  <c r="A1940" i="2"/>
  <c r="B1939" i="2"/>
  <c r="A1939" i="2"/>
  <c r="B1938" i="2"/>
  <c r="A1938" i="2"/>
  <c r="B1937" i="2"/>
  <c r="A1937" i="2"/>
  <c r="B1936" i="2"/>
  <c r="A1936" i="2"/>
  <c r="B1935" i="2"/>
  <c r="A1935" i="2"/>
  <c r="B1934" i="2"/>
  <c r="A1934" i="2"/>
  <c r="B1933" i="2"/>
  <c r="A1933" i="2"/>
  <c r="B1932" i="2"/>
  <c r="A1932" i="2"/>
  <c r="B1931" i="2"/>
  <c r="A1931" i="2"/>
  <c r="B1930" i="2"/>
  <c r="A1930" i="2"/>
  <c r="B1929" i="2"/>
  <c r="A1929" i="2"/>
  <c r="B1928" i="2"/>
  <c r="A1928" i="2"/>
  <c r="B1927" i="2"/>
  <c r="A1927" i="2"/>
  <c r="B1926" i="2"/>
  <c r="A1926" i="2"/>
  <c r="B1925" i="2"/>
  <c r="A1925" i="2"/>
  <c r="B1924" i="2"/>
  <c r="A1924" i="2"/>
  <c r="B1923" i="2"/>
  <c r="A1923" i="2"/>
  <c r="B1922" i="2"/>
  <c r="A1922" i="2"/>
  <c r="B1921" i="2"/>
  <c r="A1921" i="2"/>
  <c r="B1920" i="2"/>
  <c r="A1920" i="2"/>
  <c r="B1919" i="2"/>
  <c r="A1919" i="2"/>
  <c r="B1918" i="2"/>
  <c r="A1918" i="2"/>
  <c r="B1917" i="2"/>
  <c r="A1917" i="2"/>
  <c r="B1916" i="2"/>
  <c r="A1916" i="2"/>
  <c r="B1915" i="2"/>
  <c r="A1915" i="2"/>
  <c r="B1914" i="2"/>
  <c r="A1914" i="2"/>
  <c r="B1913" i="2"/>
  <c r="A1913" i="2"/>
  <c r="B1912" i="2"/>
  <c r="A1912" i="2"/>
  <c r="B1911" i="2"/>
  <c r="A1911" i="2"/>
  <c r="B1910" i="2"/>
  <c r="A1910" i="2"/>
  <c r="B1909" i="2"/>
  <c r="A1909" i="2"/>
  <c r="B1908" i="2"/>
  <c r="A1908" i="2"/>
  <c r="B1907" i="2"/>
  <c r="A1907" i="2"/>
  <c r="B1906" i="2"/>
  <c r="A1906" i="2"/>
  <c r="B1905" i="2"/>
  <c r="A1905" i="2"/>
  <c r="B1904" i="2"/>
  <c r="A1904" i="2"/>
  <c r="B1903" i="2"/>
  <c r="A1903" i="2"/>
  <c r="B1902" i="2"/>
  <c r="A1902" i="2"/>
  <c r="B1901" i="2"/>
  <c r="A1901" i="2"/>
  <c r="B1900" i="2"/>
  <c r="A1900" i="2"/>
  <c r="B1899" i="2"/>
  <c r="A1899" i="2"/>
  <c r="B1898" i="2"/>
  <c r="A1898" i="2"/>
  <c r="B1897" i="2"/>
  <c r="A1897" i="2"/>
  <c r="B1896" i="2"/>
  <c r="A1896" i="2"/>
  <c r="B1895" i="2"/>
  <c r="A1895" i="2"/>
  <c r="B1894" i="2"/>
  <c r="A1894" i="2"/>
  <c r="B1893" i="2"/>
  <c r="A1893" i="2"/>
  <c r="B1892" i="2"/>
  <c r="A1892" i="2"/>
  <c r="B1891" i="2"/>
  <c r="A1891" i="2"/>
  <c r="B1890" i="2"/>
  <c r="A1890" i="2"/>
  <c r="B1889" i="2"/>
  <c r="A1889" i="2"/>
  <c r="B1888" i="2"/>
  <c r="A1888" i="2"/>
  <c r="B1887" i="2"/>
  <c r="A1887" i="2"/>
  <c r="B1886" i="2"/>
  <c r="A1886" i="2"/>
  <c r="B1885" i="2"/>
  <c r="A1885" i="2"/>
  <c r="B1884" i="2"/>
  <c r="A1884" i="2"/>
  <c r="B1883" i="2"/>
  <c r="A1883" i="2"/>
  <c r="B1882" i="2"/>
  <c r="A1882" i="2"/>
  <c r="B1881" i="2"/>
  <c r="A1881" i="2"/>
  <c r="B1880" i="2"/>
  <c r="A1880" i="2"/>
  <c r="B1879" i="2"/>
  <c r="A1879" i="2"/>
  <c r="B1878" i="2"/>
  <c r="A1878" i="2"/>
  <c r="B1877" i="2"/>
  <c r="A1877" i="2"/>
  <c r="B1876" i="2"/>
  <c r="A1876" i="2"/>
  <c r="B1875" i="2"/>
  <c r="A1875" i="2"/>
  <c r="B1874" i="2"/>
  <c r="A1874" i="2"/>
  <c r="B1873" i="2"/>
  <c r="A1873" i="2"/>
  <c r="B1872" i="2"/>
  <c r="A1872" i="2"/>
  <c r="B1871" i="2"/>
  <c r="A1871" i="2"/>
  <c r="B1870" i="2"/>
  <c r="A1870" i="2"/>
  <c r="B1869" i="2"/>
  <c r="A1869" i="2"/>
  <c r="B1868" i="2"/>
  <c r="A1868" i="2"/>
  <c r="B1867" i="2"/>
  <c r="A1867" i="2"/>
  <c r="B1866" i="2"/>
  <c r="A1866" i="2"/>
  <c r="B1865" i="2"/>
  <c r="A1865" i="2"/>
  <c r="B1864" i="2"/>
  <c r="A1864" i="2"/>
  <c r="B1863" i="2"/>
  <c r="A1863" i="2"/>
  <c r="B1862" i="2"/>
  <c r="A1862" i="2"/>
  <c r="B1861" i="2"/>
  <c r="A1861" i="2"/>
  <c r="B1860" i="2"/>
  <c r="A1860" i="2"/>
  <c r="B1859" i="2"/>
  <c r="A1859" i="2"/>
  <c r="B1858" i="2"/>
  <c r="A1858" i="2"/>
  <c r="B1857" i="2"/>
  <c r="A1857" i="2"/>
  <c r="B1856" i="2"/>
  <c r="A1856" i="2"/>
  <c r="B1855" i="2"/>
  <c r="A1855" i="2"/>
  <c r="B1854" i="2"/>
  <c r="A1854" i="2"/>
  <c r="B1853" i="2"/>
  <c r="A1853" i="2"/>
  <c r="B1852" i="2"/>
  <c r="A1852" i="2"/>
  <c r="B1851" i="2"/>
  <c r="A1851" i="2"/>
  <c r="B1850" i="2"/>
  <c r="A1850" i="2"/>
  <c r="B1849" i="2"/>
  <c r="A1849" i="2"/>
  <c r="B1848" i="2"/>
  <c r="A1848" i="2"/>
  <c r="B1847" i="2"/>
  <c r="A1847" i="2"/>
  <c r="B1846" i="2"/>
  <c r="A1846" i="2"/>
  <c r="B1845" i="2"/>
  <c r="A1845" i="2"/>
  <c r="B1844" i="2"/>
  <c r="A1844" i="2"/>
  <c r="B1843" i="2"/>
  <c r="A1843" i="2"/>
  <c r="B1842" i="2"/>
  <c r="A1842" i="2"/>
  <c r="B1841" i="2"/>
  <c r="A1841" i="2"/>
  <c r="B1840" i="2"/>
  <c r="A1840" i="2"/>
  <c r="B1839" i="2"/>
  <c r="A1839" i="2"/>
  <c r="B1838" i="2"/>
  <c r="A1838" i="2"/>
  <c r="B1837" i="2"/>
  <c r="A1837" i="2"/>
  <c r="B1836" i="2"/>
  <c r="A1836" i="2"/>
  <c r="B1835" i="2"/>
  <c r="A1835" i="2"/>
  <c r="B1834" i="2"/>
  <c r="A1834" i="2"/>
  <c r="B1833" i="2"/>
  <c r="A1833" i="2"/>
  <c r="B1832" i="2"/>
  <c r="A1832" i="2"/>
  <c r="B1831" i="2"/>
  <c r="A1831" i="2"/>
  <c r="B1830" i="2"/>
  <c r="A1830" i="2"/>
  <c r="B1829" i="2"/>
  <c r="A1829" i="2"/>
  <c r="B1828" i="2"/>
  <c r="A1828" i="2"/>
  <c r="B1827" i="2"/>
  <c r="A1827" i="2"/>
  <c r="B1826" i="2"/>
  <c r="A1826" i="2"/>
  <c r="B1825" i="2"/>
  <c r="A1825" i="2"/>
  <c r="B1824" i="2"/>
  <c r="A1824" i="2"/>
  <c r="B1823" i="2"/>
  <c r="A1823" i="2"/>
  <c r="B1822" i="2"/>
  <c r="A1822" i="2"/>
  <c r="B1821" i="2"/>
  <c r="A1821" i="2"/>
  <c r="B1820" i="2"/>
  <c r="A1820" i="2"/>
  <c r="B1819" i="2"/>
  <c r="A1819" i="2"/>
  <c r="B1818" i="2"/>
  <c r="A1818" i="2"/>
  <c r="B1817" i="2"/>
  <c r="A1817" i="2"/>
  <c r="B1816" i="2"/>
  <c r="A1816" i="2"/>
  <c r="B1815" i="2"/>
  <c r="A1815" i="2"/>
  <c r="B1814" i="2"/>
  <c r="A1814" i="2"/>
  <c r="B1813" i="2"/>
  <c r="A1813" i="2"/>
  <c r="B1812" i="2"/>
  <c r="A1812" i="2"/>
  <c r="B1811" i="2"/>
  <c r="A1811" i="2"/>
  <c r="B1810" i="2"/>
  <c r="A1810" i="2"/>
  <c r="B1809" i="2"/>
  <c r="A1809" i="2"/>
  <c r="B1808" i="2"/>
  <c r="A1808" i="2"/>
  <c r="B1807" i="2"/>
  <c r="A1807" i="2"/>
  <c r="B1806" i="2"/>
  <c r="A1806" i="2"/>
  <c r="B1805" i="2"/>
  <c r="A1805" i="2"/>
  <c r="B1804" i="2"/>
  <c r="A1804" i="2"/>
  <c r="B1803" i="2"/>
  <c r="A1803" i="2"/>
  <c r="B1802" i="2"/>
  <c r="A1802" i="2"/>
  <c r="B1801" i="2"/>
  <c r="A1801" i="2"/>
  <c r="B1800" i="2"/>
  <c r="A1800" i="2"/>
  <c r="B1799" i="2"/>
  <c r="A1799" i="2"/>
  <c r="B1798" i="2"/>
  <c r="A1798" i="2"/>
  <c r="B1797" i="2"/>
  <c r="A1797" i="2"/>
  <c r="B1796" i="2"/>
  <c r="A1796" i="2"/>
  <c r="B1795" i="2"/>
  <c r="A1795" i="2"/>
  <c r="B1794" i="2"/>
  <c r="A1794" i="2"/>
  <c r="B1793" i="2"/>
  <c r="A1793" i="2"/>
  <c r="B1792" i="2"/>
  <c r="A1792" i="2"/>
  <c r="B1791" i="2"/>
  <c r="A1791" i="2"/>
  <c r="B1790" i="2"/>
  <c r="A1790" i="2"/>
  <c r="B1789" i="2"/>
  <c r="A1789" i="2"/>
  <c r="B1788" i="2"/>
  <c r="A1788" i="2"/>
  <c r="B1787" i="2"/>
  <c r="A1787" i="2"/>
  <c r="B1786" i="2"/>
  <c r="A1786" i="2"/>
  <c r="B1785" i="2"/>
  <c r="A1785" i="2"/>
  <c r="B1784" i="2"/>
  <c r="A1784" i="2"/>
  <c r="B1783" i="2"/>
  <c r="A1783" i="2"/>
  <c r="B1782" i="2"/>
  <c r="A1782" i="2"/>
  <c r="B1781" i="2"/>
  <c r="A1781" i="2"/>
  <c r="B1780" i="2"/>
  <c r="A1780" i="2"/>
  <c r="B1779" i="2"/>
  <c r="A1779" i="2"/>
  <c r="B1778" i="2"/>
  <c r="A1778" i="2"/>
  <c r="B1777" i="2"/>
  <c r="A1777" i="2"/>
  <c r="B1776" i="2"/>
  <c r="A1776" i="2"/>
  <c r="B1775" i="2"/>
  <c r="A1775" i="2"/>
  <c r="B1774" i="2"/>
  <c r="A1774" i="2"/>
  <c r="B1773" i="2"/>
  <c r="A1773" i="2"/>
  <c r="B1772" i="2"/>
  <c r="A1772" i="2"/>
  <c r="B1771" i="2"/>
  <c r="A1771" i="2"/>
  <c r="B1770" i="2"/>
  <c r="A1770" i="2"/>
  <c r="B1769" i="2"/>
  <c r="A1769" i="2"/>
  <c r="B1768" i="2"/>
  <c r="A1768" i="2"/>
  <c r="B1767" i="2"/>
  <c r="A1767" i="2"/>
  <c r="B1766" i="2"/>
  <c r="A1766" i="2"/>
  <c r="B1765" i="2"/>
  <c r="A1765" i="2"/>
  <c r="B1764" i="2"/>
  <c r="A1764" i="2"/>
  <c r="B1763" i="2"/>
  <c r="A1763" i="2"/>
  <c r="B1762" i="2"/>
  <c r="A1762" i="2"/>
  <c r="B1761" i="2"/>
  <c r="A1761" i="2"/>
  <c r="B1760" i="2"/>
  <c r="A1760" i="2"/>
  <c r="B1759" i="2"/>
  <c r="A1759" i="2"/>
  <c r="B1758" i="2"/>
  <c r="A1758" i="2"/>
  <c r="B1757" i="2"/>
  <c r="A1757" i="2"/>
  <c r="B1756" i="2"/>
  <c r="A1756" i="2"/>
  <c r="B1755" i="2"/>
  <c r="A1755" i="2"/>
  <c r="B1754" i="2"/>
  <c r="A1754" i="2"/>
  <c r="B1753" i="2"/>
  <c r="A1753" i="2"/>
  <c r="B1752" i="2"/>
  <c r="A1752" i="2"/>
  <c r="B1751" i="2"/>
  <c r="A1751" i="2"/>
  <c r="B1750" i="2"/>
  <c r="A1750" i="2"/>
  <c r="B1749" i="2"/>
  <c r="A1749" i="2"/>
  <c r="B1748" i="2"/>
  <c r="A1748" i="2"/>
  <c r="B1747" i="2"/>
  <c r="A1747" i="2"/>
  <c r="B1746" i="2"/>
  <c r="A1746" i="2"/>
  <c r="B1745" i="2"/>
  <c r="A1745" i="2"/>
  <c r="B1744" i="2"/>
  <c r="A1744" i="2"/>
  <c r="B1743" i="2"/>
  <c r="A1743" i="2"/>
  <c r="B1742" i="2"/>
  <c r="A1742" i="2"/>
  <c r="B1741" i="2"/>
  <c r="A1741" i="2"/>
  <c r="B1740" i="2"/>
  <c r="A1740" i="2"/>
  <c r="B1739" i="2"/>
  <c r="A1739" i="2"/>
  <c r="B1738" i="2"/>
  <c r="A1738" i="2"/>
  <c r="B1737" i="2"/>
  <c r="A1737" i="2"/>
  <c r="B1736" i="2"/>
  <c r="A1736" i="2"/>
  <c r="B1735" i="2"/>
  <c r="A1735" i="2"/>
  <c r="B1734" i="2"/>
  <c r="A1734" i="2"/>
  <c r="B1733" i="2"/>
  <c r="A1733" i="2"/>
  <c r="B1732" i="2"/>
  <c r="A1732" i="2"/>
  <c r="B1731" i="2"/>
  <c r="A1731" i="2"/>
  <c r="B1730" i="2"/>
  <c r="A1730" i="2"/>
  <c r="B1729" i="2"/>
  <c r="A1729" i="2"/>
  <c r="B1728" i="2"/>
  <c r="A1728" i="2"/>
  <c r="B1727" i="2"/>
  <c r="A1727" i="2"/>
  <c r="B1726" i="2"/>
  <c r="A1726" i="2"/>
  <c r="B1725" i="2"/>
  <c r="A1725" i="2"/>
  <c r="B1724" i="2"/>
  <c r="A1724" i="2"/>
  <c r="B1723" i="2"/>
  <c r="A1723" i="2"/>
  <c r="B1722" i="2"/>
  <c r="A1722" i="2"/>
  <c r="B1721" i="2"/>
  <c r="A1721" i="2"/>
  <c r="B1720" i="2"/>
  <c r="A1720" i="2"/>
  <c r="B1719" i="2"/>
  <c r="A1719" i="2"/>
  <c r="B1718" i="2"/>
  <c r="A1718" i="2"/>
  <c r="B1717" i="2"/>
  <c r="A1717" i="2"/>
  <c r="B1716" i="2"/>
  <c r="A1716" i="2"/>
  <c r="B1715" i="2"/>
  <c r="A1715" i="2"/>
  <c r="B1714" i="2"/>
  <c r="A1714" i="2"/>
  <c r="B1713" i="2"/>
  <c r="A1713" i="2"/>
  <c r="B1712" i="2"/>
  <c r="A1712" i="2"/>
  <c r="B1711" i="2"/>
  <c r="A1711" i="2"/>
  <c r="B1710" i="2"/>
  <c r="A1710" i="2"/>
  <c r="B1709" i="2"/>
  <c r="A1709" i="2"/>
  <c r="B1708" i="2"/>
  <c r="A1708" i="2"/>
  <c r="B1707" i="2"/>
  <c r="A1707" i="2"/>
  <c r="B1706" i="2"/>
  <c r="A1706" i="2"/>
  <c r="B1705" i="2"/>
  <c r="A1705" i="2"/>
  <c r="B1704" i="2"/>
  <c r="A1704" i="2"/>
  <c r="B1703" i="2"/>
  <c r="A1703" i="2"/>
  <c r="B1702" i="2"/>
  <c r="A1702" i="2"/>
  <c r="B1701" i="2"/>
  <c r="A1701" i="2"/>
  <c r="B1700" i="2"/>
  <c r="A1700" i="2"/>
  <c r="B1699" i="2"/>
  <c r="A1699" i="2"/>
  <c r="B1698" i="2"/>
  <c r="A1698" i="2"/>
  <c r="B1697" i="2"/>
  <c r="A1697" i="2"/>
  <c r="B1696" i="2"/>
  <c r="A1696" i="2"/>
  <c r="B1695" i="2"/>
  <c r="A1695" i="2"/>
  <c r="B1694" i="2"/>
  <c r="A1694" i="2"/>
  <c r="B1693" i="2"/>
  <c r="A1693" i="2"/>
  <c r="B1692" i="2"/>
  <c r="A1692" i="2"/>
  <c r="B1691" i="2"/>
  <c r="A1691" i="2"/>
  <c r="B1690" i="2"/>
  <c r="A1690" i="2"/>
  <c r="B1689" i="2"/>
  <c r="A1689" i="2"/>
  <c r="B1688" i="2"/>
  <c r="A1688" i="2"/>
  <c r="B1687" i="2"/>
  <c r="A1687" i="2"/>
  <c r="B1686" i="2"/>
  <c r="A1686" i="2"/>
  <c r="B1685" i="2"/>
  <c r="A1685" i="2"/>
  <c r="B1684" i="2"/>
  <c r="A1684" i="2"/>
  <c r="B1683" i="2"/>
  <c r="A1683" i="2"/>
  <c r="B1682" i="2"/>
  <c r="A1682" i="2"/>
  <c r="B1681" i="2"/>
  <c r="A1681" i="2"/>
  <c r="B1680" i="2"/>
  <c r="A1680" i="2"/>
  <c r="B1679" i="2"/>
  <c r="A1679" i="2"/>
  <c r="B1678" i="2"/>
  <c r="A1678" i="2"/>
  <c r="B1677" i="2"/>
  <c r="A1677" i="2"/>
  <c r="B1676" i="2"/>
  <c r="A1676" i="2"/>
  <c r="B1675" i="2"/>
  <c r="A1675" i="2"/>
  <c r="B1674" i="2"/>
  <c r="A1674" i="2"/>
  <c r="B1673" i="2"/>
  <c r="A1673" i="2"/>
  <c r="B1672" i="2"/>
  <c r="A1672" i="2"/>
  <c r="B1671" i="2"/>
  <c r="A1671" i="2"/>
  <c r="B1670" i="2"/>
  <c r="A1670" i="2"/>
  <c r="B1669" i="2"/>
  <c r="A1669" i="2"/>
  <c r="B1668" i="2"/>
  <c r="A1668" i="2"/>
  <c r="B1667" i="2"/>
  <c r="A1667" i="2"/>
  <c r="B1666" i="2"/>
  <c r="A1666" i="2"/>
  <c r="B1665" i="2"/>
  <c r="A1665" i="2"/>
  <c r="B1664" i="2"/>
  <c r="A1664" i="2"/>
  <c r="B1663" i="2"/>
  <c r="A1663" i="2"/>
  <c r="B1662" i="2"/>
  <c r="A1662" i="2"/>
  <c r="B1661" i="2"/>
  <c r="A1661" i="2"/>
  <c r="B1660" i="2"/>
  <c r="A1660" i="2"/>
  <c r="B1659" i="2"/>
  <c r="A1659" i="2"/>
  <c r="B1658" i="2"/>
  <c r="A1658" i="2"/>
  <c r="B1657" i="2"/>
  <c r="A1657" i="2"/>
  <c r="B1656" i="2"/>
  <c r="A1656" i="2"/>
  <c r="B1655" i="2"/>
  <c r="A1655" i="2"/>
  <c r="B1654" i="2"/>
  <c r="A1654" i="2"/>
  <c r="B1653" i="2"/>
  <c r="A1653" i="2"/>
  <c r="B1652" i="2"/>
  <c r="A1652" i="2"/>
  <c r="B1651" i="2"/>
  <c r="A1651" i="2"/>
  <c r="B1650" i="2"/>
  <c r="A1650" i="2"/>
  <c r="B1649" i="2"/>
  <c r="A1649" i="2"/>
  <c r="B1648" i="2"/>
  <c r="A1648" i="2"/>
  <c r="B1647" i="2"/>
  <c r="A1647" i="2"/>
  <c r="B1646" i="2"/>
  <c r="A1646" i="2"/>
  <c r="B1645" i="2"/>
  <c r="A1645" i="2"/>
  <c r="B1644" i="2"/>
  <c r="A1644" i="2"/>
  <c r="B1643" i="2"/>
  <c r="A1643" i="2"/>
  <c r="B1642" i="2"/>
  <c r="A1642" i="2"/>
  <c r="B1641" i="2"/>
  <c r="A1641" i="2"/>
  <c r="B1640" i="2"/>
  <c r="A1640" i="2"/>
  <c r="B1639" i="2"/>
  <c r="A1639" i="2"/>
  <c r="B1638" i="2"/>
  <c r="A1638" i="2"/>
  <c r="B1637" i="2"/>
  <c r="A1637" i="2"/>
  <c r="B1636" i="2"/>
  <c r="A1636" i="2"/>
  <c r="B1635" i="2"/>
  <c r="A1635" i="2"/>
  <c r="B1634" i="2"/>
  <c r="A1634" i="2"/>
  <c r="B1633" i="2"/>
  <c r="A1633" i="2"/>
  <c r="B1632" i="2"/>
  <c r="A1632" i="2"/>
  <c r="B1631" i="2"/>
  <c r="A1631" i="2"/>
  <c r="B1630" i="2"/>
  <c r="A1630" i="2"/>
  <c r="B1629" i="2"/>
  <c r="A1629" i="2"/>
  <c r="B1628" i="2"/>
  <c r="A1628" i="2"/>
  <c r="B1627" i="2"/>
  <c r="A1627" i="2"/>
  <c r="B1626" i="2"/>
  <c r="A1626" i="2"/>
  <c r="B1625" i="2"/>
  <c r="A1625" i="2"/>
  <c r="B1624" i="2"/>
  <c r="A1624" i="2"/>
  <c r="B1623" i="2"/>
  <c r="A1623" i="2"/>
  <c r="B1622" i="2"/>
  <c r="A1622" i="2"/>
  <c r="B1621" i="2"/>
  <c r="A1621" i="2"/>
  <c r="B1620" i="2"/>
  <c r="A1620" i="2"/>
  <c r="B1619" i="2"/>
  <c r="A1619" i="2"/>
  <c r="B1618" i="2"/>
  <c r="A1618" i="2"/>
  <c r="B1617" i="2"/>
  <c r="A1617" i="2"/>
  <c r="B1616" i="2"/>
  <c r="A1616" i="2"/>
  <c r="B1615" i="2"/>
  <c r="A1615" i="2"/>
  <c r="B1614" i="2"/>
  <c r="A1614" i="2"/>
  <c r="B1613" i="2"/>
  <c r="A1613" i="2"/>
  <c r="B1612" i="2"/>
  <c r="A1612" i="2"/>
  <c r="B1611" i="2"/>
  <c r="A1611" i="2"/>
  <c r="B1610" i="2"/>
  <c r="A1610" i="2"/>
  <c r="B1609" i="2"/>
  <c r="A1609" i="2"/>
  <c r="B1608" i="2"/>
  <c r="A1608" i="2"/>
  <c r="B1607" i="2"/>
  <c r="A1607" i="2"/>
  <c r="B1606" i="2"/>
  <c r="A1606" i="2"/>
  <c r="B1605" i="2"/>
  <c r="A1605" i="2"/>
  <c r="B1604" i="2"/>
  <c r="A1604" i="2"/>
  <c r="B1603" i="2"/>
  <c r="A1603" i="2"/>
  <c r="B1602" i="2"/>
  <c r="A1602" i="2"/>
  <c r="B1601" i="2"/>
  <c r="A1601" i="2"/>
  <c r="B1600" i="2"/>
  <c r="A1600" i="2"/>
  <c r="B1599" i="2"/>
  <c r="A1599" i="2"/>
  <c r="B1598" i="2"/>
  <c r="A1598" i="2"/>
  <c r="B1597" i="2"/>
  <c r="A1597" i="2"/>
  <c r="B1596" i="2"/>
  <c r="A1596" i="2"/>
  <c r="B1595" i="2"/>
  <c r="A1595" i="2"/>
  <c r="B1594" i="2"/>
  <c r="A1594" i="2"/>
  <c r="B1593" i="2"/>
  <c r="A1593" i="2"/>
  <c r="B1592" i="2"/>
  <c r="A1592" i="2"/>
  <c r="B1591" i="2"/>
  <c r="A1591" i="2"/>
  <c r="B1590" i="2"/>
  <c r="A1590" i="2"/>
  <c r="B1589" i="2"/>
  <c r="A1589" i="2"/>
  <c r="B1588" i="2"/>
  <c r="A1588" i="2"/>
  <c r="B1587" i="2"/>
  <c r="A1587" i="2"/>
  <c r="B1586" i="2"/>
  <c r="A1586" i="2"/>
  <c r="B1585" i="2"/>
  <c r="A1585" i="2"/>
  <c r="B1584" i="2"/>
  <c r="A1584" i="2"/>
  <c r="B1583" i="2"/>
  <c r="A1583" i="2"/>
  <c r="B1582" i="2"/>
  <c r="A1582" i="2"/>
  <c r="B1581" i="2"/>
  <c r="A1581" i="2"/>
  <c r="B1580" i="2"/>
  <c r="A1580" i="2"/>
  <c r="B1579" i="2"/>
  <c r="A1579" i="2"/>
  <c r="B1578" i="2"/>
  <c r="A1578" i="2"/>
  <c r="B1577" i="2"/>
  <c r="A1577" i="2"/>
  <c r="B1576" i="2"/>
  <c r="A1576" i="2"/>
  <c r="B1575" i="2"/>
  <c r="A1575" i="2"/>
  <c r="B1574" i="2"/>
  <c r="A1574" i="2"/>
  <c r="B1573" i="2"/>
  <c r="A1573" i="2"/>
  <c r="B1572" i="2"/>
  <c r="A1572" i="2"/>
  <c r="B1571" i="2"/>
  <c r="A1571" i="2"/>
  <c r="B1570" i="2"/>
  <c r="A1570" i="2"/>
  <c r="B1569" i="2"/>
  <c r="A1569" i="2"/>
  <c r="B1568" i="2"/>
  <c r="A1568" i="2"/>
  <c r="B1567" i="2"/>
  <c r="A1567" i="2"/>
  <c r="B1566" i="2"/>
  <c r="A1566" i="2"/>
  <c r="B1565" i="2"/>
  <c r="A1565" i="2"/>
  <c r="B1564" i="2"/>
  <c r="A1564" i="2"/>
  <c r="B1563" i="2"/>
  <c r="A1563" i="2"/>
  <c r="B1562" i="2"/>
  <c r="A1562" i="2"/>
  <c r="B1561" i="2"/>
  <c r="A1561" i="2"/>
  <c r="B1560" i="2"/>
  <c r="A1560" i="2"/>
  <c r="B1559" i="2"/>
  <c r="A1559" i="2"/>
  <c r="B1558" i="2"/>
  <c r="A1558" i="2"/>
  <c r="B1557" i="2"/>
  <c r="A1557" i="2"/>
  <c r="B1556" i="2"/>
  <c r="A1556" i="2"/>
  <c r="B1555" i="2"/>
  <c r="A1555" i="2"/>
  <c r="B1554" i="2"/>
  <c r="A1554" i="2"/>
  <c r="B1553" i="2"/>
  <c r="A1553" i="2"/>
  <c r="B1552" i="2"/>
  <c r="A1552" i="2"/>
  <c r="B1551" i="2"/>
  <c r="A1551" i="2"/>
  <c r="B1550" i="2"/>
  <c r="A1550" i="2"/>
  <c r="B1549" i="2"/>
  <c r="A1549" i="2"/>
  <c r="B1548" i="2"/>
  <c r="A1548" i="2"/>
  <c r="B1547" i="2"/>
  <c r="A1547" i="2"/>
  <c r="B1546" i="2"/>
  <c r="A1546" i="2"/>
  <c r="B1545" i="2"/>
  <c r="A1545" i="2"/>
  <c r="B1544" i="2"/>
  <c r="A1544" i="2"/>
  <c r="B1543" i="2"/>
  <c r="A1543" i="2"/>
  <c r="B1542" i="2"/>
  <c r="A1542" i="2"/>
  <c r="B1541" i="2"/>
  <c r="A1541" i="2"/>
  <c r="B1540" i="2"/>
  <c r="A1540" i="2"/>
  <c r="B1539" i="2"/>
  <c r="A1539" i="2"/>
  <c r="B1538" i="2"/>
  <c r="A1538" i="2"/>
  <c r="B1537" i="2"/>
  <c r="A1537" i="2"/>
  <c r="B1536" i="2"/>
  <c r="A1536" i="2"/>
  <c r="B1535" i="2"/>
  <c r="A1535" i="2"/>
  <c r="B1534" i="2"/>
  <c r="A1534" i="2"/>
  <c r="B1533" i="2"/>
  <c r="A1533" i="2"/>
  <c r="B1532" i="2"/>
  <c r="A1532" i="2"/>
  <c r="B1531" i="2"/>
  <c r="A1531" i="2"/>
  <c r="B1530" i="2"/>
  <c r="A1530" i="2"/>
  <c r="B1529" i="2"/>
  <c r="A1529" i="2"/>
  <c r="B1528" i="2"/>
  <c r="A1528" i="2"/>
  <c r="B1527" i="2"/>
  <c r="A1527" i="2"/>
  <c r="B1526" i="2"/>
  <c r="A1526" i="2"/>
  <c r="B1525" i="2"/>
  <c r="A1525" i="2"/>
  <c r="B1524" i="2"/>
  <c r="A1524" i="2"/>
  <c r="B1523" i="2"/>
  <c r="A1523" i="2"/>
  <c r="B1522" i="2"/>
  <c r="A1522" i="2"/>
  <c r="B1521" i="2"/>
  <c r="A1521" i="2"/>
  <c r="B1520" i="2"/>
  <c r="A1520" i="2"/>
  <c r="B1519" i="2"/>
  <c r="A1519" i="2"/>
  <c r="B1518" i="2"/>
  <c r="A1518" i="2"/>
  <c r="B1517" i="2"/>
  <c r="A1517" i="2"/>
  <c r="B1516" i="2"/>
  <c r="A1516" i="2"/>
  <c r="B1515" i="2"/>
  <c r="A1515" i="2"/>
  <c r="B1514" i="2"/>
  <c r="A1514" i="2"/>
  <c r="B1513" i="2"/>
  <c r="A1513" i="2"/>
  <c r="B1512" i="2"/>
  <c r="A1512" i="2"/>
  <c r="B1511" i="2"/>
  <c r="A1511" i="2"/>
  <c r="B1510" i="2"/>
  <c r="A1510" i="2"/>
  <c r="B1509" i="2"/>
  <c r="A1509" i="2"/>
  <c r="B1508" i="2"/>
  <c r="A1508" i="2"/>
  <c r="B1507" i="2"/>
  <c r="A1507" i="2"/>
  <c r="B1506" i="2"/>
  <c r="A1506" i="2"/>
  <c r="B1505" i="2"/>
  <c r="A1505" i="2"/>
  <c r="B1504" i="2"/>
  <c r="A1504" i="2"/>
  <c r="B1503" i="2"/>
  <c r="A1503" i="2"/>
  <c r="B1502" i="2"/>
  <c r="A1502" i="2"/>
  <c r="B1501" i="2"/>
  <c r="A1501" i="2"/>
  <c r="B1500" i="2"/>
  <c r="A1500" i="2"/>
  <c r="B1499" i="2"/>
  <c r="A1499" i="2"/>
  <c r="B1498" i="2"/>
  <c r="A1498" i="2"/>
  <c r="B1497" i="2"/>
  <c r="A1497" i="2"/>
  <c r="B1496" i="2"/>
  <c r="A1496" i="2"/>
  <c r="B1495" i="2"/>
  <c r="A1495" i="2"/>
  <c r="B1494" i="2"/>
  <c r="A1494" i="2"/>
  <c r="B1493" i="2"/>
  <c r="A1493" i="2"/>
  <c r="B1492" i="2"/>
  <c r="A1492" i="2"/>
  <c r="B1491" i="2"/>
  <c r="A1491" i="2"/>
  <c r="B1490" i="2"/>
  <c r="A1490" i="2"/>
  <c r="B1489" i="2"/>
  <c r="A1489" i="2"/>
  <c r="B1488" i="2"/>
  <c r="A1488" i="2"/>
  <c r="B1487" i="2"/>
  <c r="A1487" i="2"/>
  <c r="B1486" i="2"/>
  <c r="A1486" i="2"/>
  <c r="B1485" i="2"/>
  <c r="A1485" i="2"/>
  <c r="B1484" i="2"/>
  <c r="A1484" i="2"/>
  <c r="B1483" i="2"/>
  <c r="A1483" i="2"/>
  <c r="B1482" i="2"/>
  <c r="A1482" i="2"/>
  <c r="B1481" i="2"/>
  <c r="A1481" i="2"/>
  <c r="B1480" i="2"/>
  <c r="A1480" i="2"/>
  <c r="B1479" i="2"/>
  <c r="A1479" i="2"/>
  <c r="B1478" i="2"/>
  <c r="A1478" i="2"/>
  <c r="B1477" i="2"/>
  <c r="A1477" i="2"/>
  <c r="B1476" i="2"/>
  <c r="A1476" i="2"/>
  <c r="B1475" i="2"/>
  <c r="A1475" i="2"/>
  <c r="B1474" i="2"/>
  <c r="A1474" i="2"/>
  <c r="B1473" i="2"/>
  <c r="A1473" i="2"/>
  <c r="B1472" i="2"/>
  <c r="A1472" i="2"/>
  <c r="B1471" i="2"/>
  <c r="A1471" i="2"/>
  <c r="B1470" i="2"/>
  <c r="A1470" i="2"/>
  <c r="B1469" i="2"/>
  <c r="A1469" i="2"/>
  <c r="B1468" i="2"/>
  <c r="A1468" i="2"/>
  <c r="B1467" i="2"/>
  <c r="A1467" i="2"/>
  <c r="B1466" i="2"/>
  <c r="A1466" i="2"/>
  <c r="B1465" i="2"/>
  <c r="A1465" i="2"/>
  <c r="B1464" i="2"/>
  <c r="A1464" i="2"/>
  <c r="B1463" i="2"/>
  <c r="A1463" i="2"/>
  <c r="B1462" i="2"/>
  <c r="A1462" i="2"/>
  <c r="B1461" i="2"/>
  <c r="A1461" i="2"/>
  <c r="B1460" i="2"/>
  <c r="A1460" i="2"/>
  <c r="B1459" i="2"/>
  <c r="A1459" i="2"/>
  <c r="B1458" i="2"/>
  <c r="A1458" i="2"/>
  <c r="B1457" i="2"/>
  <c r="A1457" i="2"/>
  <c r="B1456" i="2"/>
  <c r="A1456" i="2"/>
  <c r="B1455" i="2"/>
  <c r="A1455" i="2"/>
  <c r="B1454" i="2"/>
  <c r="A1454" i="2"/>
  <c r="B1453" i="2"/>
  <c r="A1453" i="2"/>
  <c r="B1452" i="2"/>
  <c r="A1452" i="2"/>
  <c r="B1451" i="2"/>
  <c r="A1451" i="2"/>
  <c r="B1450" i="2"/>
  <c r="A1450" i="2"/>
  <c r="B1449" i="2"/>
  <c r="A1449" i="2"/>
  <c r="B1448" i="2"/>
  <c r="A1448" i="2"/>
  <c r="B1447" i="2"/>
  <c r="A1447" i="2"/>
  <c r="B1446" i="2"/>
  <c r="A1446" i="2"/>
  <c r="B1445" i="2"/>
  <c r="A1445" i="2"/>
  <c r="B1444" i="2"/>
  <c r="A1444" i="2"/>
  <c r="B1443" i="2"/>
  <c r="A1443" i="2"/>
  <c r="B1442" i="2"/>
  <c r="A1442" i="2"/>
  <c r="B1441" i="2"/>
  <c r="A1441" i="2"/>
  <c r="B1440" i="2"/>
  <c r="A1440" i="2"/>
  <c r="B1439" i="2"/>
  <c r="A1439" i="2"/>
  <c r="B1438" i="2"/>
  <c r="A1438" i="2"/>
  <c r="B1437" i="2"/>
  <c r="A1437" i="2"/>
  <c r="B1436" i="2"/>
  <c r="A1436" i="2"/>
  <c r="B1435" i="2"/>
  <c r="A1435" i="2"/>
  <c r="B1434" i="2"/>
  <c r="A1434" i="2"/>
  <c r="B1433" i="2"/>
  <c r="A1433" i="2"/>
  <c r="B1432" i="2"/>
  <c r="A1432" i="2"/>
  <c r="B1431" i="2"/>
  <c r="A1431" i="2"/>
  <c r="B1430" i="2"/>
  <c r="A1430" i="2"/>
  <c r="B1429" i="2"/>
  <c r="A1429" i="2"/>
  <c r="B1428" i="2"/>
  <c r="A1428" i="2"/>
  <c r="B1427" i="2"/>
  <c r="A1427" i="2"/>
  <c r="B1426" i="2"/>
  <c r="A1426" i="2"/>
  <c r="B1425" i="2"/>
  <c r="A1425" i="2"/>
  <c r="B1424" i="2"/>
  <c r="A1424" i="2"/>
  <c r="B1423" i="2"/>
  <c r="A1423" i="2"/>
  <c r="B1422" i="2"/>
  <c r="A1422" i="2"/>
  <c r="B1421" i="2"/>
  <c r="A1421" i="2"/>
  <c r="B1420" i="2"/>
  <c r="A1420" i="2"/>
  <c r="B1419" i="2"/>
  <c r="A1419" i="2"/>
  <c r="B1418" i="2"/>
  <c r="A1418" i="2"/>
  <c r="B1417" i="2"/>
  <c r="A1417" i="2"/>
  <c r="B1416" i="2"/>
  <c r="A1416" i="2"/>
  <c r="B1415" i="2"/>
  <c r="A1415" i="2"/>
  <c r="B1414" i="2"/>
  <c r="A1414" i="2"/>
  <c r="B1413" i="2"/>
  <c r="A1413" i="2"/>
  <c r="B1412" i="2"/>
  <c r="A1412" i="2"/>
  <c r="B1411" i="2"/>
  <c r="A1411" i="2"/>
  <c r="B1410" i="2"/>
  <c r="A1410" i="2"/>
  <c r="B1409" i="2"/>
  <c r="A1409" i="2"/>
  <c r="B1408" i="2"/>
  <c r="A1408" i="2"/>
  <c r="B1407" i="2"/>
  <c r="A1407" i="2"/>
  <c r="B1406" i="2"/>
  <c r="A1406" i="2"/>
  <c r="B1405" i="2"/>
  <c r="A1405" i="2"/>
  <c r="B1404" i="2"/>
  <c r="A1404" i="2"/>
  <c r="B1403" i="2"/>
  <c r="A1403" i="2"/>
  <c r="B1402" i="2"/>
  <c r="A1402" i="2"/>
  <c r="B1401" i="2"/>
  <c r="A1401" i="2"/>
  <c r="B1400" i="2"/>
  <c r="A1400" i="2"/>
  <c r="B1399" i="2"/>
  <c r="A1399" i="2"/>
  <c r="B1398" i="2"/>
  <c r="A1398" i="2"/>
  <c r="B1397" i="2"/>
  <c r="A1397" i="2"/>
  <c r="B1396" i="2"/>
  <c r="A1396" i="2"/>
  <c r="B1395" i="2"/>
  <c r="A1395" i="2"/>
  <c r="B1394" i="2"/>
  <c r="A1394" i="2"/>
  <c r="B1393" i="2"/>
  <c r="A1393" i="2"/>
  <c r="B1392" i="2"/>
  <c r="A1392" i="2"/>
  <c r="B1391" i="2"/>
  <c r="A1391" i="2"/>
  <c r="B1390" i="2"/>
  <c r="A1390" i="2"/>
  <c r="B1389" i="2"/>
  <c r="A1389" i="2"/>
  <c r="B1388" i="2"/>
  <c r="A1388" i="2"/>
  <c r="B1387" i="2"/>
  <c r="A1387" i="2"/>
  <c r="B1386" i="2"/>
  <c r="A1386" i="2"/>
  <c r="B1385" i="2"/>
  <c r="A1385" i="2"/>
  <c r="B1384" i="2"/>
  <c r="A1384" i="2"/>
  <c r="B1383" i="2"/>
  <c r="A1383" i="2"/>
  <c r="B1382" i="2"/>
  <c r="A1382" i="2"/>
  <c r="B1381" i="2"/>
  <c r="A1381" i="2"/>
  <c r="B1380" i="2"/>
  <c r="A1380" i="2"/>
  <c r="B1379" i="2"/>
  <c r="A1379" i="2"/>
  <c r="B1378" i="2"/>
  <c r="A1378" i="2"/>
  <c r="B1377" i="2"/>
  <c r="A1377" i="2"/>
  <c r="B1376" i="2"/>
  <c r="A1376" i="2"/>
  <c r="B1375" i="2"/>
  <c r="A1375" i="2"/>
  <c r="B1374" i="2"/>
  <c r="A1374" i="2"/>
  <c r="B1373" i="2"/>
  <c r="A1373" i="2"/>
  <c r="B1372" i="2"/>
  <c r="A1372" i="2"/>
  <c r="B1371" i="2"/>
  <c r="A1371" i="2"/>
  <c r="B1370" i="2"/>
  <c r="A1370" i="2"/>
  <c r="B1369" i="2"/>
  <c r="A1369" i="2"/>
  <c r="B1368" i="2"/>
  <c r="A1368" i="2"/>
  <c r="B1367" i="2"/>
  <c r="A1367" i="2"/>
  <c r="B1366" i="2"/>
  <c r="A1366" i="2"/>
  <c r="B1365" i="2"/>
  <c r="A1365" i="2"/>
  <c r="B1364" i="2"/>
  <c r="A1364" i="2"/>
  <c r="B1363" i="2"/>
  <c r="A1363" i="2"/>
  <c r="B1362" i="2"/>
  <c r="A1362" i="2"/>
  <c r="B1361" i="2"/>
  <c r="A1361" i="2"/>
  <c r="B1360" i="2"/>
  <c r="A1360" i="2"/>
  <c r="B1359" i="2"/>
  <c r="A1359" i="2"/>
  <c r="B1358" i="2"/>
  <c r="A1358" i="2"/>
  <c r="B1357" i="2"/>
  <c r="A1357" i="2"/>
  <c r="B1356" i="2"/>
  <c r="A1356" i="2"/>
  <c r="B1355" i="2"/>
  <c r="A1355" i="2"/>
  <c r="B1354" i="2"/>
  <c r="A1354" i="2"/>
  <c r="B1353" i="2"/>
  <c r="A1353" i="2"/>
  <c r="B1352" i="2"/>
  <c r="A1352" i="2"/>
  <c r="B1351" i="2"/>
  <c r="A1351" i="2"/>
  <c r="B1350" i="2"/>
  <c r="A1350" i="2"/>
  <c r="B1349" i="2"/>
  <c r="A1349" i="2"/>
  <c r="B1348" i="2"/>
  <c r="A1348" i="2"/>
  <c r="B1347" i="2"/>
  <c r="A1347" i="2"/>
  <c r="B1346" i="2"/>
  <c r="A1346" i="2"/>
  <c r="B1345" i="2"/>
  <c r="A1345" i="2"/>
  <c r="B1344" i="2"/>
  <c r="A1344" i="2"/>
  <c r="B1343" i="2"/>
  <c r="A1343" i="2"/>
  <c r="B1342" i="2"/>
  <c r="A1342" i="2"/>
  <c r="B1341" i="2"/>
  <c r="A1341" i="2"/>
  <c r="B1340" i="2"/>
  <c r="A1340" i="2"/>
  <c r="B1339" i="2"/>
  <c r="A1339" i="2"/>
  <c r="B1338" i="2"/>
  <c r="A1338" i="2"/>
  <c r="B1337" i="2"/>
  <c r="A1337" i="2"/>
  <c r="B1336" i="2"/>
  <c r="A1336" i="2"/>
  <c r="B1335" i="2"/>
  <c r="A1335" i="2"/>
  <c r="B1334" i="2"/>
  <c r="A1334" i="2"/>
  <c r="B1333" i="2"/>
  <c r="A1333" i="2"/>
  <c r="B1332" i="2"/>
  <c r="A1332" i="2"/>
  <c r="B1331" i="2"/>
  <c r="A1331" i="2"/>
  <c r="B1330" i="2"/>
  <c r="A1330" i="2"/>
  <c r="B1329" i="2"/>
  <c r="A1329" i="2"/>
  <c r="B1328" i="2"/>
  <c r="A1328" i="2"/>
  <c r="B1327" i="2"/>
  <c r="A1327" i="2"/>
  <c r="B1326" i="2"/>
  <c r="A1326" i="2"/>
  <c r="B1325" i="2"/>
  <c r="A1325" i="2"/>
  <c r="B1324" i="2"/>
  <c r="A1324" i="2"/>
  <c r="B1323" i="2"/>
  <c r="A1323" i="2"/>
  <c r="B1322" i="2"/>
  <c r="A1322" i="2"/>
  <c r="B1321" i="2"/>
  <c r="A1321" i="2"/>
  <c r="B1320" i="2"/>
  <c r="A1320" i="2"/>
  <c r="B1319" i="2"/>
  <c r="A1319" i="2"/>
  <c r="B1318" i="2"/>
  <c r="A1318" i="2"/>
  <c r="B1317" i="2"/>
  <c r="A1317" i="2"/>
  <c r="B1316" i="2"/>
  <c r="A1316" i="2"/>
  <c r="B1315" i="2"/>
  <c r="A1315" i="2"/>
  <c r="B1314" i="2"/>
  <c r="A1314" i="2"/>
  <c r="B1313" i="2"/>
  <c r="A1313" i="2"/>
  <c r="B1312" i="2"/>
  <c r="A1312" i="2"/>
  <c r="B1311" i="2"/>
  <c r="A1311" i="2"/>
  <c r="B1310" i="2"/>
  <c r="A1310" i="2"/>
  <c r="B1309" i="2"/>
  <c r="A1309" i="2"/>
  <c r="B1308" i="2"/>
  <c r="A1308" i="2"/>
  <c r="B1307" i="2"/>
  <c r="A1307" i="2"/>
  <c r="B1306" i="2"/>
  <c r="A1306" i="2"/>
  <c r="B1305" i="2"/>
  <c r="A1305" i="2"/>
  <c r="B1304" i="2"/>
  <c r="A1304" i="2"/>
  <c r="B1303" i="2"/>
  <c r="A1303" i="2"/>
  <c r="B1302" i="2"/>
  <c r="A1302" i="2"/>
  <c r="B1301" i="2"/>
  <c r="A1301" i="2"/>
  <c r="B1300" i="2"/>
  <c r="A1300" i="2"/>
  <c r="B1299" i="2"/>
  <c r="A1299" i="2"/>
  <c r="B1298" i="2"/>
  <c r="A1298" i="2"/>
  <c r="B1297" i="2"/>
  <c r="A1297" i="2"/>
  <c r="B1296" i="2"/>
  <c r="A1296" i="2"/>
  <c r="B1295" i="2"/>
  <c r="A1295" i="2"/>
  <c r="B1294" i="2"/>
  <c r="A1294" i="2"/>
  <c r="B1293" i="2"/>
  <c r="A1293" i="2"/>
  <c r="B1292" i="2"/>
  <c r="A1292" i="2"/>
  <c r="B1291" i="2"/>
  <c r="A1291" i="2"/>
  <c r="B1290" i="2"/>
  <c r="A1290" i="2"/>
  <c r="B1289" i="2"/>
  <c r="A1289" i="2"/>
  <c r="B1288" i="2"/>
  <c r="A1288" i="2"/>
  <c r="B1287" i="2"/>
  <c r="A1287" i="2"/>
  <c r="B1286" i="2"/>
  <c r="A1286" i="2"/>
  <c r="B1285" i="2"/>
  <c r="A1285" i="2"/>
  <c r="B1284" i="2"/>
  <c r="A1284" i="2"/>
  <c r="B1283" i="2"/>
  <c r="A1283" i="2"/>
  <c r="B1282" i="2"/>
  <c r="A1282" i="2"/>
  <c r="B1281" i="2"/>
  <c r="A1281" i="2"/>
  <c r="B1280" i="2"/>
  <c r="A1280" i="2"/>
  <c r="B1279" i="2"/>
  <c r="A1279" i="2"/>
  <c r="B1278" i="2"/>
  <c r="A1278" i="2"/>
  <c r="B1277" i="2"/>
  <c r="A1277" i="2"/>
  <c r="B1276" i="2"/>
  <c r="A1276" i="2"/>
  <c r="B1275" i="2"/>
  <c r="A1275" i="2"/>
  <c r="B1274" i="2"/>
  <c r="A1274" i="2"/>
  <c r="B1273" i="2"/>
  <c r="A1273" i="2"/>
  <c r="B1272" i="2"/>
  <c r="A1272" i="2"/>
  <c r="B1271" i="2"/>
  <c r="A1271" i="2"/>
  <c r="B1270" i="2"/>
  <c r="A1270" i="2"/>
  <c r="B1269" i="2"/>
  <c r="A1269" i="2"/>
  <c r="B1268" i="2"/>
  <c r="A1268" i="2"/>
  <c r="B1267" i="2"/>
  <c r="A1267" i="2"/>
  <c r="B1266" i="2"/>
  <c r="A1266" i="2"/>
  <c r="B1265" i="2"/>
  <c r="A1265" i="2"/>
  <c r="B1264" i="2"/>
  <c r="A1264" i="2"/>
  <c r="B1263" i="2"/>
  <c r="A1263" i="2"/>
  <c r="B1262" i="2"/>
  <c r="A1262" i="2"/>
  <c r="B1261" i="2"/>
  <c r="A1261" i="2"/>
  <c r="B1260" i="2"/>
  <c r="A1260" i="2"/>
  <c r="B1259" i="2"/>
  <c r="A1259" i="2"/>
  <c r="B1258" i="2"/>
  <c r="A1258" i="2"/>
  <c r="B1257" i="2"/>
  <c r="A1257" i="2"/>
  <c r="B1256" i="2"/>
  <c r="A1256" i="2"/>
  <c r="B1255" i="2"/>
  <c r="A1255" i="2"/>
  <c r="B1254" i="2"/>
  <c r="A1254" i="2"/>
  <c r="B1253" i="2"/>
  <c r="A1253" i="2"/>
  <c r="B1252" i="2"/>
  <c r="A1252" i="2"/>
  <c r="B1251" i="2"/>
  <c r="A1251" i="2"/>
  <c r="B1250" i="2"/>
  <c r="A1250" i="2"/>
  <c r="B1249" i="2"/>
  <c r="A1249" i="2"/>
  <c r="B1248" i="2"/>
  <c r="A1248" i="2"/>
  <c r="B1247" i="2"/>
  <c r="A1247" i="2"/>
  <c r="B1246" i="2"/>
  <c r="A1246" i="2"/>
  <c r="B1245" i="2"/>
  <c r="A1245" i="2"/>
  <c r="B1244" i="2"/>
  <c r="A1244" i="2"/>
  <c r="B1243" i="2"/>
  <c r="A1243" i="2"/>
  <c r="B1242" i="2"/>
  <c r="A1242" i="2"/>
  <c r="B1241" i="2"/>
  <c r="A1241" i="2"/>
  <c r="B1240" i="2"/>
  <c r="A1240" i="2"/>
  <c r="B1239" i="2"/>
  <c r="A1239" i="2"/>
  <c r="B1238" i="2"/>
  <c r="A1238" i="2"/>
  <c r="B1237" i="2"/>
  <c r="A1237" i="2"/>
  <c r="B1236" i="2"/>
  <c r="A1236" i="2"/>
  <c r="B1235" i="2"/>
  <c r="A1235" i="2"/>
  <c r="B1234" i="2"/>
  <c r="A1234" i="2"/>
  <c r="B1233" i="2"/>
  <c r="A1233" i="2"/>
  <c r="B1232" i="2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F2782" i="1"/>
  <c r="E2782" i="1"/>
  <c r="D2782" i="1"/>
  <c r="C2782" i="1"/>
  <c r="B2782" i="1"/>
  <c r="A2782" i="1"/>
  <c r="F2781" i="1"/>
  <c r="E2781" i="1"/>
  <c r="D2781" i="1"/>
  <c r="C2781" i="1"/>
  <c r="B2781" i="1"/>
  <c r="A2781" i="1"/>
  <c r="F2780" i="1"/>
  <c r="E2780" i="1"/>
  <c r="D2780" i="1"/>
  <c r="C2780" i="1"/>
  <c r="B2780" i="1"/>
  <c r="A2780" i="1"/>
  <c r="F2779" i="1"/>
  <c r="E2779" i="1"/>
  <c r="D2779" i="1"/>
  <c r="C2779" i="1"/>
  <c r="B2779" i="1"/>
  <c r="A2779" i="1"/>
  <c r="F2778" i="1"/>
  <c r="E2778" i="1"/>
  <c r="D2778" i="1"/>
  <c r="C2778" i="1"/>
  <c r="B2778" i="1"/>
  <c r="A2778" i="1"/>
  <c r="F2777" i="1"/>
  <c r="E2777" i="1"/>
  <c r="D2777" i="1"/>
  <c r="C2777" i="1"/>
  <c r="B2777" i="1"/>
  <c r="A2777" i="1"/>
  <c r="F2776" i="1"/>
  <c r="E2776" i="1"/>
  <c r="D2776" i="1"/>
  <c r="C2776" i="1"/>
  <c r="B2776" i="1"/>
  <c r="A2776" i="1"/>
  <c r="F2775" i="1"/>
  <c r="E2775" i="1"/>
  <c r="D2775" i="1"/>
  <c r="C2775" i="1"/>
  <c r="B2775" i="1"/>
  <c r="A2775" i="1"/>
  <c r="F2774" i="1"/>
  <c r="E2774" i="1"/>
  <c r="D2774" i="1"/>
  <c r="C2774" i="1"/>
  <c r="B2774" i="1"/>
  <c r="A2774" i="1"/>
  <c r="F2773" i="1"/>
  <c r="E2773" i="1"/>
  <c r="D2773" i="1"/>
  <c r="C2773" i="1"/>
  <c r="B2773" i="1"/>
  <c r="A2773" i="1"/>
  <c r="F2772" i="1"/>
  <c r="E2772" i="1"/>
  <c r="D2772" i="1"/>
  <c r="C2772" i="1"/>
  <c r="B2772" i="1"/>
  <c r="A2772" i="1"/>
  <c r="F2771" i="1"/>
  <c r="E2771" i="1"/>
  <c r="D2771" i="1"/>
  <c r="C2771" i="1"/>
  <c r="B2771" i="1"/>
  <c r="A2771" i="1"/>
  <c r="F2770" i="1"/>
  <c r="E2770" i="1"/>
  <c r="D2770" i="1"/>
  <c r="C2770" i="1"/>
  <c r="B2770" i="1"/>
  <c r="A2770" i="1"/>
  <c r="F2769" i="1"/>
  <c r="E2769" i="1"/>
  <c r="D2769" i="1"/>
  <c r="C2769" i="1"/>
  <c r="B2769" i="1"/>
  <c r="A2769" i="1"/>
  <c r="F2768" i="1"/>
  <c r="E2768" i="1"/>
  <c r="D2768" i="1"/>
  <c r="C2768" i="1"/>
  <c r="B2768" i="1"/>
  <c r="A2768" i="1"/>
  <c r="F2767" i="1"/>
  <c r="E2767" i="1"/>
  <c r="D2767" i="1"/>
  <c r="C2767" i="1"/>
  <c r="B2767" i="1"/>
  <c r="A2767" i="1"/>
  <c r="F2766" i="1"/>
  <c r="E2766" i="1"/>
  <c r="D2766" i="1"/>
  <c r="C2766" i="1"/>
  <c r="B2766" i="1"/>
  <c r="A2766" i="1"/>
  <c r="F2765" i="1"/>
  <c r="E2765" i="1"/>
  <c r="D2765" i="1"/>
  <c r="C2765" i="1"/>
  <c r="B2765" i="1"/>
  <c r="A2765" i="1"/>
  <c r="F2764" i="1"/>
  <c r="E2764" i="1"/>
  <c r="D2764" i="1"/>
  <c r="C2764" i="1"/>
  <c r="B2764" i="1"/>
  <c r="A2764" i="1"/>
  <c r="F2763" i="1"/>
  <c r="E2763" i="1"/>
  <c r="D2763" i="1"/>
  <c r="C2763" i="1"/>
  <c r="B2763" i="1"/>
  <c r="A2763" i="1"/>
  <c r="F2762" i="1"/>
  <c r="E2762" i="1"/>
  <c r="D2762" i="1"/>
  <c r="C2762" i="1"/>
  <c r="B2762" i="1"/>
  <c r="A2762" i="1"/>
  <c r="F2761" i="1"/>
  <c r="E2761" i="1"/>
  <c r="D2761" i="1"/>
  <c r="C2761" i="1"/>
  <c r="B2761" i="1"/>
  <c r="A2761" i="1"/>
  <c r="F2760" i="1"/>
  <c r="E2760" i="1"/>
  <c r="D2760" i="1"/>
  <c r="C2760" i="1"/>
  <c r="B2760" i="1"/>
  <c r="A2760" i="1"/>
  <c r="F2759" i="1"/>
  <c r="E2759" i="1"/>
  <c r="D2759" i="1"/>
  <c r="C2759" i="1"/>
  <c r="B2759" i="1"/>
  <c r="A2759" i="1"/>
  <c r="F2758" i="1"/>
  <c r="E2758" i="1"/>
  <c r="D2758" i="1"/>
  <c r="C2758" i="1"/>
  <c r="B2758" i="1"/>
  <c r="A2758" i="1"/>
  <c r="F2757" i="1"/>
  <c r="E2757" i="1"/>
  <c r="D2757" i="1"/>
  <c r="C2757" i="1"/>
  <c r="B2757" i="1"/>
  <c r="A2757" i="1"/>
  <c r="F2756" i="1"/>
  <c r="E2756" i="1"/>
  <c r="D2756" i="1"/>
  <c r="C2756" i="1"/>
  <c r="B2756" i="1"/>
  <c r="A2756" i="1"/>
  <c r="F2755" i="1"/>
  <c r="E2755" i="1"/>
  <c r="D2755" i="1"/>
  <c r="C2755" i="1"/>
  <c r="B2755" i="1"/>
  <c r="A2755" i="1"/>
  <c r="F2754" i="1"/>
  <c r="E2754" i="1"/>
  <c r="D2754" i="1"/>
  <c r="C2754" i="1"/>
  <c r="B2754" i="1"/>
  <c r="A2754" i="1"/>
  <c r="F2753" i="1"/>
  <c r="E2753" i="1"/>
  <c r="D2753" i="1"/>
  <c r="C2753" i="1"/>
  <c r="B2753" i="1"/>
  <c r="A2753" i="1"/>
  <c r="F2752" i="1"/>
  <c r="E2752" i="1"/>
  <c r="D2752" i="1"/>
  <c r="C2752" i="1"/>
  <c r="B2752" i="1"/>
  <c r="A2752" i="1"/>
  <c r="F2751" i="1"/>
  <c r="E2751" i="1"/>
  <c r="D2751" i="1"/>
  <c r="C2751" i="1"/>
  <c r="B2751" i="1"/>
  <c r="A2751" i="1"/>
  <c r="F2750" i="1"/>
  <c r="E2750" i="1"/>
  <c r="D2750" i="1"/>
  <c r="C2750" i="1"/>
  <c r="B2750" i="1"/>
  <c r="A2750" i="1"/>
  <c r="F2749" i="1"/>
  <c r="E2749" i="1"/>
  <c r="D2749" i="1"/>
  <c r="C2749" i="1"/>
  <c r="B2749" i="1"/>
  <c r="A2749" i="1"/>
  <c r="F2748" i="1"/>
  <c r="E2748" i="1"/>
  <c r="D2748" i="1"/>
  <c r="C2748" i="1"/>
  <c r="B2748" i="1"/>
  <c r="A2748" i="1"/>
  <c r="F2747" i="1"/>
  <c r="E2747" i="1"/>
  <c r="D2747" i="1"/>
  <c r="C2747" i="1"/>
  <c r="B2747" i="1"/>
  <c r="A2747" i="1"/>
  <c r="F2746" i="1"/>
  <c r="E2746" i="1"/>
  <c r="D2746" i="1"/>
  <c r="C2746" i="1"/>
  <c r="B2746" i="1"/>
  <c r="A2746" i="1"/>
  <c r="F2745" i="1"/>
  <c r="E2745" i="1"/>
  <c r="D2745" i="1"/>
  <c r="C2745" i="1"/>
  <c r="B2745" i="1"/>
  <c r="A2745" i="1"/>
  <c r="F2744" i="1"/>
  <c r="E2744" i="1"/>
  <c r="D2744" i="1"/>
  <c r="C2744" i="1"/>
  <c r="B2744" i="1"/>
  <c r="A2744" i="1"/>
  <c r="F2743" i="1"/>
  <c r="E2743" i="1"/>
  <c r="D2743" i="1"/>
  <c r="C2743" i="1"/>
  <c r="B2743" i="1"/>
  <c r="A2743" i="1"/>
  <c r="F2742" i="1"/>
  <c r="E2742" i="1"/>
  <c r="D2742" i="1"/>
  <c r="C2742" i="1"/>
  <c r="B2742" i="1"/>
  <c r="A2742" i="1"/>
  <c r="F2741" i="1"/>
  <c r="E2741" i="1"/>
  <c r="D2741" i="1"/>
  <c r="C2741" i="1"/>
  <c r="B2741" i="1"/>
  <c r="A2741" i="1"/>
  <c r="F2740" i="1"/>
  <c r="E2740" i="1"/>
  <c r="D2740" i="1"/>
  <c r="C2740" i="1"/>
  <c r="B2740" i="1"/>
  <c r="A2740" i="1"/>
  <c r="F2739" i="1"/>
  <c r="E2739" i="1"/>
  <c r="D2739" i="1"/>
  <c r="C2739" i="1"/>
  <c r="B2739" i="1"/>
  <c r="A2739" i="1"/>
  <c r="F2738" i="1"/>
  <c r="E2738" i="1"/>
  <c r="D2738" i="1"/>
  <c r="C2738" i="1"/>
  <c r="B2738" i="1"/>
  <c r="A2738" i="1"/>
  <c r="F2737" i="1"/>
  <c r="E2737" i="1"/>
  <c r="D2737" i="1"/>
  <c r="C2737" i="1"/>
  <c r="B2737" i="1"/>
  <c r="A2737" i="1"/>
  <c r="F2736" i="1"/>
  <c r="E2736" i="1"/>
  <c r="D2736" i="1"/>
  <c r="C2736" i="1"/>
  <c r="B2736" i="1"/>
  <c r="A2736" i="1"/>
  <c r="F2735" i="1"/>
  <c r="E2735" i="1"/>
  <c r="D2735" i="1"/>
  <c r="C2735" i="1"/>
  <c r="B2735" i="1"/>
  <c r="A2735" i="1"/>
  <c r="F2734" i="1"/>
  <c r="E2734" i="1"/>
  <c r="D2734" i="1"/>
  <c r="C2734" i="1"/>
  <c r="B2734" i="1"/>
  <c r="A2734" i="1"/>
  <c r="F2733" i="1"/>
  <c r="E2733" i="1"/>
  <c r="D2733" i="1"/>
  <c r="C2733" i="1"/>
  <c r="B2733" i="1"/>
  <c r="A2733" i="1"/>
  <c r="F2732" i="1"/>
  <c r="E2732" i="1"/>
  <c r="D2732" i="1"/>
  <c r="C2732" i="1"/>
  <c r="B2732" i="1"/>
  <c r="A2732" i="1"/>
  <c r="F2731" i="1"/>
  <c r="E2731" i="1"/>
  <c r="D2731" i="1"/>
  <c r="C2731" i="1"/>
  <c r="B2731" i="1"/>
  <c r="A2731" i="1"/>
  <c r="F2730" i="1"/>
  <c r="E2730" i="1"/>
  <c r="D2730" i="1"/>
  <c r="C2730" i="1"/>
  <c r="B2730" i="1"/>
  <c r="A2730" i="1"/>
  <c r="F2729" i="1"/>
  <c r="E2729" i="1"/>
  <c r="D2729" i="1"/>
  <c r="C2729" i="1"/>
  <c r="B2729" i="1"/>
  <c r="A2729" i="1"/>
  <c r="F2728" i="1"/>
  <c r="E2728" i="1"/>
  <c r="D2728" i="1"/>
  <c r="C2728" i="1"/>
  <c r="B2728" i="1"/>
  <c r="A2728" i="1"/>
  <c r="F2727" i="1"/>
  <c r="E2727" i="1"/>
  <c r="D2727" i="1"/>
  <c r="C2727" i="1"/>
  <c r="B2727" i="1"/>
  <c r="A2727" i="1"/>
  <c r="F2726" i="1"/>
  <c r="E2726" i="1"/>
  <c r="D2726" i="1"/>
  <c r="C2726" i="1"/>
  <c r="B2726" i="1"/>
  <c r="A2726" i="1"/>
  <c r="F2725" i="1"/>
  <c r="E2725" i="1"/>
  <c r="D2725" i="1"/>
  <c r="C2725" i="1"/>
  <c r="B2725" i="1"/>
  <c r="A2725" i="1"/>
  <c r="F2724" i="1"/>
  <c r="E2724" i="1"/>
  <c r="D2724" i="1"/>
  <c r="C2724" i="1"/>
  <c r="B2724" i="1"/>
  <c r="A2724" i="1"/>
  <c r="F2723" i="1"/>
  <c r="E2723" i="1"/>
  <c r="D2723" i="1"/>
  <c r="C2723" i="1"/>
  <c r="B2723" i="1"/>
  <c r="A2723" i="1"/>
  <c r="F2722" i="1"/>
  <c r="E2722" i="1"/>
  <c r="D2722" i="1"/>
  <c r="C2722" i="1"/>
  <c r="B2722" i="1"/>
  <c r="A2722" i="1"/>
  <c r="F2721" i="1"/>
  <c r="E2721" i="1"/>
  <c r="D2721" i="1"/>
  <c r="C2721" i="1"/>
  <c r="B2721" i="1"/>
  <c r="A2721" i="1"/>
  <c r="F2720" i="1"/>
  <c r="E2720" i="1"/>
  <c r="D2720" i="1"/>
  <c r="C2720" i="1"/>
  <c r="B2720" i="1"/>
  <c r="A2720" i="1"/>
  <c r="F2719" i="1"/>
  <c r="E2719" i="1"/>
  <c r="D2719" i="1"/>
  <c r="C2719" i="1"/>
  <c r="B2719" i="1"/>
  <c r="A2719" i="1"/>
  <c r="F2718" i="1"/>
  <c r="E2718" i="1"/>
  <c r="D2718" i="1"/>
  <c r="C2718" i="1"/>
  <c r="B2718" i="1"/>
  <c r="A2718" i="1"/>
  <c r="F2717" i="1"/>
  <c r="E2717" i="1"/>
  <c r="D2717" i="1"/>
  <c r="C2717" i="1"/>
  <c r="B2717" i="1"/>
  <c r="A2717" i="1"/>
  <c r="F2716" i="1"/>
  <c r="E2716" i="1"/>
  <c r="D2716" i="1"/>
  <c r="C2716" i="1"/>
  <c r="B2716" i="1"/>
  <c r="A2716" i="1"/>
  <c r="F2715" i="1"/>
  <c r="E2715" i="1"/>
  <c r="D2715" i="1"/>
  <c r="C2715" i="1"/>
  <c r="B2715" i="1"/>
  <c r="A2715" i="1"/>
  <c r="F2714" i="1"/>
  <c r="E2714" i="1"/>
  <c r="D2714" i="1"/>
  <c r="C2714" i="1"/>
  <c r="B2714" i="1"/>
  <c r="A2714" i="1"/>
  <c r="F2713" i="1"/>
  <c r="E2713" i="1"/>
  <c r="D2713" i="1"/>
  <c r="C2713" i="1"/>
  <c r="B2713" i="1"/>
  <c r="A2713" i="1"/>
  <c r="F2712" i="1"/>
  <c r="E2712" i="1"/>
  <c r="D2712" i="1"/>
  <c r="C2712" i="1"/>
  <c r="B2712" i="1"/>
  <c r="A2712" i="1"/>
  <c r="F2711" i="1"/>
  <c r="E2711" i="1"/>
  <c r="D2711" i="1"/>
  <c r="C2711" i="1"/>
  <c r="B2711" i="1"/>
  <c r="A2711" i="1"/>
  <c r="F2710" i="1"/>
  <c r="E2710" i="1"/>
  <c r="D2710" i="1"/>
  <c r="C2710" i="1"/>
  <c r="B2710" i="1"/>
  <c r="A2710" i="1"/>
  <c r="F2709" i="1"/>
  <c r="E2709" i="1"/>
  <c r="D2709" i="1"/>
  <c r="C2709" i="1"/>
  <c r="B2709" i="1"/>
  <c r="A2709" i="1"/>
  <c r="F2708" i="1"/>
  <c r="E2708" i="1"/>
  <c r="D2708" i="1"/>
  <c r="C2708" i="1"/>
  <c r="B2708" i="1"/>
  <c r="A2708" i="1"/>
  <c r="F2707" i="1"/>
  <c r="E2707" i="1"/>
  <c r="D2707" i="1"/>
  <c r="C2707" i="1"/>
  <c r="B2707" i="1"/>
  <c r="A2707" i="1"/>
  <c r="F2706" i="1"/>
  <c r="E2706" i="1"/>
  <c r="D2706" i="1"/>
  <c r="C2706" i="1"/>
  <c r="B2706" i="1"/>
  <c r="A2706" i="1"/>
  <c r="F2705" i="1"/>
  <c r="E2705" i="1"/>
  <c r="D2705" i="1"/>
  <c r="C2705" i="1"/>
  <c r="B2705" i="1"/>
  <c r="A2705" i="1"/>
  <c r="F2704" i="1"/>
  <c r="E2704" i="1"/>
  <c r="D2704" i="1"/>
  <c r="C2704" i="1"/>
  <c r="B2704" i="1"/>
  <c r="A2704" i="1"/>
  <c r="F2703" i="1"/>
  <c r="E2703" i="1"/>
  <c r="D2703" i="1"/>
  <c r="C2703" i="1"/>
  <c r="B2703" i="1"/>
  <c r="A2703" i="1"/>
  <c r="F2702" i="1"/>
  <c r="E2702" i="1"/>
  <c r="D2702" i="1"/>
  <c r="C2702" i="1"/>
  <c r="B2702" i="1"/>
  <c r="A2702" i="1"/>
  <c r="F2701" i="1"/>
  <c r="E2701" i="1"/>
  <c r="D2701" i="1"/>
  <c r="C2701" i="1"/>
  <c r="B2701" i="1"/>
  <c r="A2701" i="1"/>
  <c r="F2700" i="1"/>
  <c r="E2700" i="1"/>
  <c r="D2700" i="1"/>
  <c r="C2700" i="1"/>
  <c r="B2700" i="1"/>
  <c r="A2700" i="1"/>
  <c r="F2699" i="1"/>
  <c r="E2699" i="1"/>
  <c r="D2699" i="1"/>
  <c r="C2699" i="1"/>
  <c r="B2699" i="1"/>
  <c r="A2699" i="1"/>
  <c r="F2698" i="1"/>
  <c r="E2698" i="1"/>
  <c r="D2698" i="1"/>
  <c r="C2698" i="1"/>
  <c r="B2698" i="1"/>
  <c r="A2698" i="1"/>
  <c r="F2697" i="1"/>
  <c r="E2697" i="1"/>
  <c r="D2697" i="1"/>
  <c r="C2697" i="1"/>
  <c r="B2697" i="1"/>
  <c r="A2697" i="1"/>
  <c r="F2696" i="1"/>
  <c r="E2696" i="1"/>
  <c r="D2696" i="1"/>
  <c r="C2696" i="1"/>
  <c r="B2696" i="1"/>
  <c r="A2696" i="1"/>
  <c r="F2695" i="1"/>
  <c r="E2695" i="1"/>
  <c r="D2695" i="1"/>
  <c r="C2695" i="1"/>
  <c r="B2695" i="1"/>
  <c r="A2695" i="1"/>
  <c r="F2694" i="1"/>
  <c r="E2694" i="1"/>
  <c r="D2694" i="1"/>
  <c r="C2694" i="1"/>
  <c r="B2694" i="1"/>
  <c r="A2694" i="1"/>
  <c r="F2693" i="1"/>
  <c r="E2693" i="1"/>
  <c r="D2693" i="1"/>
  <c r="C2693" i="1"/>
  <c r="B2693" i="1"/>
  <c r="A2693" i="1"/>
  <c r="F2692" i="1"/>
  <c r="E2692" i="1"/>
  <c r="D2692" i="1"/>
  <c r="C2692" i="1"/>
  <c r="B2692" i="1"/>
  <c r="A2692" i="1"/>
  <c r="F2691" i="1"/>
  <c r="E2691" i="1"/>
  <c r="D2691" i="1"/>
  <c r="C2691" i="1"/>
  <c r="B2691" i="1"/>
  <c r="A2691" i="1"/>
  <c r="F2690" i="1"/>
  <c r="E2690" i="1"/>
  <c r="D2690" i="1"/>
  <c r="C2690" i="1"/>
  <c r="B2690" i="1"/>
  <c r="A2690" i="1"/>
  <c r="F2689" i="1"/>
  <c r="E2689" i="1"/>
  <c r="D2689" i="1"/>
  <c r="C2689" i="1"/>
  <c r="B2689" i="1"/>
  <c r="A2689" i="1"/>
  <c r="F2688" i="1"/>
  <c r="E2688" i="1"/>
  <c r="D2688" i="1"/>
  <c r="C2688" i="1"/>
  <c r="B2688" i="1"/>
  <c r="A2688" i="1"/>
  <c r="F2687" i="1"/>
  <c r="E2687" i="1"/>
  <c r="D2687" i="1"/>
  <c r="C2687" i="1"/>
  <c r="B2687" i="1"/>
  <c r="A2687" i="1"/>
  <c r="F2686" i="1"/>
  <c r="E2686" i="1"/>
  <c r="D2686" i="1"/>
  <c r="C2686" i="1"/>
  <c r="B2686" i="1"/>
  <c r="A2686" i="1"/>
  <c r="F2685" i="1"/>
  <c r="E2685" i="1"/>
  <c r="D2685" i="1"/>
  <c r="C2685" i="1"/>
  <c r="B2685" i="1"/>
  <c r="A2685" i="1"/>
  <c r="F2684" i="1"/>
  <c r="E2684" i="1"/>
  <c r="D2684" i="1"/>
  <c r="C2684" i="1"/>
  <c r="B2684" i="1"/>
  <c r="A2684" i="1"/>
  <c r="F2683" i="1"/>
  <c r="E2683" i="1"/>
  <c r="D2683" i="1"/>
  <c r="C2683" i="1"/>
  <c r="B2683" i="1"/>
  <c r="A2683" i="1"/>
  <c r="F2682" i="1"/>
  <c r="E2682" i="1"/>
  <c r="D2682" i="1"/>
  <c r="C2682" i="1"/>
  <c r="B2682" i="1"/>
  <c r="A2682" i="1"/>
  <c r="F2681" i="1"/>
  <c r="E2681" i="1"/>
  <c r="D2681" i="1"/>
  <c r="C2681" i="1"/>
  <c r="B2681" i="1"/>
  <c r="A2681" i="1"/>
  <c r="F2680" i="1"/>
  <c r="E2680" i="1"/>
  <c r="D2680" i="1"/>
  <c r="C2680" i="1"/>
  <c r="B2680" i="1"/>
  <c r="A2680" i="1"/>
  <c r="F2679" i="1"/>
  <c r="E2679" i="1"/>
  <c r="D2679" i="1"/>
  <c r="C2679" i="1"/>
  <c r="B2679" i="1"/>
  <c r="A2679" i="1"/>
  <c r="F2678" i="1"/>
  <c r="E2678" i="1"/>
  <c r="D2678" i="1"/>
  <c r="C2678" i="1"/>
  <c r="B2678" i="1"/>
  <c r="A2678" i="1"/>
  <c r="F2677" i="1"/>
  <c r="E2677" i="1"/>
  <c r="D2677" i="1"/>
  <c r="C2677" i="1"/>
  <c r="B2677" i="1"/>
  <c r="A2677" i="1"/>
  <c r="F2676" i="1"/>
  <c r="E2676" i="1"/>
  <c r="D2676" i="1"/>
  <c r="C2676" i="1"/>
  <c r="B2676" i="1"/>
  <c r="A2676" i="1"/>
  <c r="F2675" i="1"/>
  <c r="E2675" i="1"/>
  <c r="D2675" i="1"/>
  <c r="C2675" i="1"/>
  <c r="B2675" i="1"/>
  <c r="A2675" i="1"/>
  <c r="F2674" i="1"/>
  <c r="E2674" i="1"/>
  <c r="D2674" i="1"/>
  <c r="C2674" i="1"/>
  <c r="B2674" i="1"/>
  <c r="A2674" i="1"/>
  <c r="F2673" i="1"/>
  <c r="E2673" i="1"/>
  <c r="D2673" i="1"/>
  <c r="C2673" i="1"/>
  <c r="B2673" i="1"/>
  <c r="A2673" i="1"/>
  <c r="F2672" i="1"/>
  <c r="E2672" i="1"/>
  <c r="D2672" i="1"/>
  <c r="C2672" i="1"/>
  <c r="B2672" i="1"/>
  <c r="A2672" i="1"/>
  <c r="F2671" i="1"/>
  <c r="E2671" i="1"/>
  <c r="D2671" i="1"/>
  <c r="C2671" i="1"/>
  <c r="B2671" i="1"/>
  <c r="A2671" i="1"/>
  <c r="F2670" i="1"/>
  <c r="E2670" i="1"/>
  <c r="D2670" i="1"/>
  <c r="C2670" i="1"/>
  <c r="B2670" i="1"/>
  <c r="A2670" i="1"/>
  <c r="F2669" i="1"/>
  <c r="E2669" i="1"/>
  <c r="D2669" i="1"/>
  <c r="C2669" i="1"/>
  <c r="B2669" i="1"/>
  <c r="A2669" i="1"/>
  <c r="F2668" i="1"/>
  <c r="E2668" i="1"/>
  <c r="D2668" i="1"/>
  <c r="C2668" i="1"/>
  <c r="B2668" i="1"/>
  <c r="A2668" i="1"/>
  <c r="F2667" i="1"/>
  <c r="E2667" i="1"/>
  <c r="D2667" i="1"/>
  <c r="C2667" i="1"/>
  <c r="B2667" i="1"/>
  <c r="A2667" i="1"/>
  <c r="F2666" i="1"/>
  <c r="E2666" i="1"/>
  <c r="D2666" i="1"/>
  <c r="C2666" i="1"/>
  <c r="B2666" i="1"/>
  <c r="A2666" i="1"/>
  <c r="F2665" i="1"/>
  <c r="E2665" i="1"/>
  <c r="D2665" i="1"/>
  <c r="C2665" i="1"/>
  <c r="B2665" i="1"/>
  <c r="A2665" i="1"/>
  <c r="F2664" i="1"/>
  <c r="E2664" i="1"/>
  <c r="D2664" i="1"/>
  <c r="C2664" i="1"/>
  <c r="B2664" i="1"/>
  <c r="A2664" i="1"/>
  <c r="F2663" i="1"/>
  <c r="E2663" i="1"/>
  <c r="D2663" i="1"/>
  <c r="C2663" i="1"/>
  <c r="B2663" i="1"/>
  <c r="A2663" i="1"/>
  <c r="F2662" i="1"/>
  <c r="E2662" i="1"/>
  <c r="D2662" i="1"/>
  <c r="C2662" i="1"/>
  <c r="B2662" i="1"/>
  <c r="A2662" i="1"/>
  <c r="F2661" i="1"/>
  <c r="E2661" i="1"/>
  <c r="D2661" i="1"/>
  <c r="C2661" i="1"/>
  <c r="B2661" i="1"/>
  <c r="A2661" i="1"/>
  <c r="F2660" i="1"/>
  <c r="E2660" i="1"/>
  <c r="D2660" i="1"/>
  <c r="C2660" i="1"/>
  <c r="B2660" i="1"/>
  <c r="A2660" i="1"/>
  <c r="F2659" i="1"/>
  <c r="E2659" i="1"/>
  <c r="D2659" i="1"/>
  <c r="C2659" i="1"/>
  <c r="B2659" i="1"/>
  <c r="A2659" i="1"/>
  <c r="F2658" i="1"/>
  <c r="E2658" i="1"/>
  <c r="D2658" i="1"/>
  <c r="C2658" i="1"/>
  <c r="B2658" i="1"/>
  <c r="A2658" i="1"/>
  <c r="F2657" i="1"/>
  <c r="E2657" i="1"/>
  <c r="D2657" i="1"/>
  <c r="C2657" i="1"/>
  <c r="B2657" i="1"/>
  <c r="A2657" i="1"/>
  <c r="F2656" i="1"/>
  <c r="E2656" i="1"/>
  <c r="D2656" i="1"/>
  <c r="C2656" i="1"/>
  <c r="B2656" i="1"/>
  <c r="A2656" i="1"/>
  <c r="F2655" i="1"/>
  <c r="E2655" i="1"/>
  <c r="D2655" i="1"/>
  <c r="C2655" i="1"/>
  <c r="B2655" i="1"/>
  <c r="A2655" i="1"/>
  <c r="F2654" i="1"/>
  <c r="E2654" i="1"/>
  <c r="D2654" i="1"/>
  <c r="C2654" i="1"/>
  <c r="B2654" i="1"/>
  <c r="A2654" i="1"/>
  <c r="F2653" i="1"/>
  <c r="E2653" i="1"/>
  <c r="D2653" i="1"/>
  <c r="C2653" i="1"/>
  <c r="B2653" i="1"/>
  <c r="A2653" i="1"/>
  <c r="F2652" i="1"/>
  <c r="E2652" i="1"/>
  <c r="D2652" i="1"/>
  <c r="C2652" i="1"/>
  <c r="B2652" i="1"/>
  <c r="A2652" i="1"/>
  <c r="F2651" i="1"/>
  <c r="E2651" i="1"/>
  <c r="D2651" i="1"/>
  <c r="C2651" i="1"/>
  <c r="B2651" i="1"/>
  <c r="A2651" i="1"/>
  <c r="F2650" i="1"/>
  <c r="E2650" i="1"/>
  <c r="D2650" i="1"/>
  <c r="C2650" i="1"/>
  <c r="B2650" i="1"/>
  <c r="A2650" i="1"/>
  <c r="F2649" i="1"/>
  <c r="E2649" i="1"/>
  <c r="D2649" i="1"/>
  <c r="C2649" i="1"/>
  <c r="B2649" i="1"/>
  <c r="A2649" i="1"/>
  <c r="F2648" i="1"/>
  <c r="E2648" i="1"/>
  <c r="D2648" i="1"/>
  <c r="C2648" i="1"/>
  <c r="B2648" i="1"/>
  <c r="A2648" i="1"/>
  <c r="F2647" i="1"/>
  <c r="E2647" i="1"/>
  <c r="D2647" i="1"/>
  <c r="C2647" i="1"/>
  <c r="B2647" i="1"/>
  <c r="A2647" i="1"/>
  <c r="F2646" i="1"/>
  <c r="E2646" i="1"/>
  <c r="D2646" i="1"/>
  <c r="C2646" i="1"/>
  <c r="B2646" i="1"/>
  <c r="A2646" i="1"/>
  <c r="F2645" i="1"/>
  <c r="E2645" i="1"/>
  <c r="D2645" i="1"/>
  <c r="C2645" i="1"/>
  <c r="B2645" i="1"/>
  <c r="A2645" i="1"/>
  <c r="F2644" i="1"/>
  <c r="E2644" i="1"/>
  <c r="D2644" i="1"/>
  <c r="C2644" i="1"/>
  <c r="B2644" i="1"/>
  <c r="A2644" i="1"/>
  <c r="F2643" i="1"/>
  <c r="E2643" i="1"/>
  <c r="D2643" i="1"/>
  <c r="C2643" i="1"/>
  <c r="B2643" i="1"/>
  <c r="A2643" i="1"/>
  <c r="F2642" i="1"/>
  <c r="E2642" i="1"/>
  <c r="D2642" i="1"/>
  <c r="C2642" i="1"/>
  <c r="B2642" i="1"/>
  <c r="A2642" i="1"/>
  <c r="F2641" i="1"/>
  <c r="E2641" i="1"/>
  <c r="D2641" i="1"/>
  <c r="C2641" i="1"/>
  <c r="B2641" i="1"/>
  <c r="A2641" i="1"/>
  <c r="F2640" i="1"/>
  <c r="E2640" i="1"/>
  <c r="D2640" i="1"/>
  <c r="C2640" i="1"/>
  <c r="B2640" i="1"/>
  <c r="A2640" i="1"/>
  <c r="F2639" i="1"/>
  <c r="E2639" i="1"/>
  <c r="D2639" i="1"/>
  <c r="C2639" i="1"/>
  <c r="B2639" i="1"/>
  <c r="A2639" i="1"/>
  <c r="F2638" i="1"/>
  <c r="E2638" i="1"/>
  <c r="D2638" i="1"/>
  <c r="C2638" i="1"/>
  <c r="B2638" i="1"/>
  <c r="A2638" i="1"/>
  <c r="F2637" i="1"/>
  <c r="E2637" i="1"/>
  <c r="D2637" i="1"/>
  <c r="C2637" i="1"/>
  <c r="B2637" i="1"/>
  <c r="A2637" i="1"/>
  <c r="F2636" i="1"/>
  <c r="E2636" i="1"/>
  <c r="D2636" i="1"/>
  <c r="C2636" i="1"/>
  <c r="B2636" i="1"/>
  <c r="A2636" i="1"/>
  <c r="F2635" i="1"/>
  <c r="E2635" i="1"/>
  <c r="D2635" i="1"/>
  <c r="C2635" i="1"/>
  <c r="B2635" i="1"/>
  <c r="A2635" i="1"/>
  <c r="F2634" i="1"/>
  <c r="E2634" i="1"/>
  <c r="D2634" i="1"/>
  <c r="C2634" i="1"/>
  <c r="B2634" i="1"/>
  <c r="A2634" i="1"/>
  <c r="F2633" i="1"/>
  <c r="E2633" i="1"/>
  <c r="D2633" i="1"/>
  <c r="C2633" i="1"/>
  <c r="B2633" i="1"/>
  <c r="A2633" i="1"/>
  <c r="F2632" i="1"/>
  <c r="E2632" i="1"/>
  <c r="D2632" i="1"/>
  <c r="C2632" i="1"/>
  <c r="B2632" i="1"/>
  <c r="A2632" i="1"/>
  <c r="F2631" i="1"/>
  <c r="E2631" i="1"/>
  <c r="D2631" i="1"/>
  <c r="C2631" i="1"/>
  <c r="B2631" i="1"/>
  <c r="A2631" i="1"/>
  <c r="F2630" i="1"/>
  <c r="E2630" i="1"/>
  <c r="D2630" i="1"/>
  <c r="C2630" i="1"/>
  <c r="B2630" i="1"/>
  <c r="A2630" i="1"/>
  <c r="F2629" i="1"/>
  <c r="E2629" i="1"/>
  <c r="D2629" i="1"/>
  <c r="C2629" i="1"/>
  <c r="B2629" i="1"/>
  <c r="A2629" i="1"/>
  <c r="F2628" i="1"/>
  <c r="E2628" i="1"/>
  <c r="D2628" i="1"/>
  <c r="C2628" i="1"/>
  <c r="B2628" i="1"/>
  <c r="A2628" i="1"/>
  <c r="F2627" i="1"/>
  <c r="E2627" i="1"/>
  <c r="D2627" i="1"/>
  <c r="C2627" i="1"/>
  <c r="B2627" i="1"/>
  <c r="A2627" i="1"/>
  <c r="F2626" i="1"/>
  <c r="E2626" i="1"/>
  <c r="D2626" i="1"/>
  <c r="C2626" i="1"/>
  <c r="B2626" i="1"/>
  <c r="A2626" i="1"/>
  <c r="F2625" i="1"/>
  <c r="E2625" i="1"/>
  <c r="D2625" i="1"/>
  <c r="C2625" i="1"/>
  <c r="B2625" i="1"/>
  <c r="A2625" i="1"/>
  <c r="F2624" i="1"/>
  <c r="E2624" i="1"/>
  <c r="D2624" i="1"/>
  <c r="C2624" i="1"/>
  <c r="B2624" i="1"/>
  <c r="A2624" i="1"/>
  <c r="F2623" i="1"/>
  <c r="E2623" i="1"/>
  <c r="D2623" i="1"/>
  <c r="C2623" i="1"/>
  <c r="B2623" i="1"/>
  <c r="A2623" i="1"/>
  <c r="F2622" i="1"/>
  <c r="E2622" i="1"/>
  <c r="D2622" i="1"/>
  <c r="C2622" i="1"/>
  <c r="B2622" i="1"/>
  <c r="A2622" i="1"/>
  <c r="F2621" i="1"/>
  <c r="E2621" i="1"/>
  <c r="D2621" i="1"/>
  <c r="C2621" i="1"/>
  <c r="B2621" i="1"/>
  <c r="A2621" i="1"/>
  <c r="F2620" i="1"/>
  <c r="E2620" i="1"/>
  <c r="D2620" i="1"/>
  <c r="C2620" i="1"/>
  <c r="B2620" i="1"/>
  <c r="A2620" i="1"/>
  <c r="F2619" i="1"/>
  <c r="E2619" i="1"/>
  <c r="D2619" i="1"/>
  <c r="C2619" i="1"/>
  <c r="B2619" i="1"/>
  <c r="A2619" i="1"/>
  <c r="F2618" i="1"/>
  <c r="E2618" i="1"/>
  <c r="D2618" i="1"/>
  <c r="C2618" i="1"/>
  <c r="B2618" i="1"/>
  <c r="A2618" i="1"/>
  <c r="F2617" i="1"/>
  <c r="E2617" i="1"/>
  <c r="D2617" i="1"/>
  <c r="C2617" i="1"/>
  <c r="B2617" i="1"/>
  <c r="A2617" i="1"/>
  <c r="F2616" i="1"/>
  <c r="E2616" i="1"/>
  <c r="D2616" i="1"/>
  <c r="C2616" i="1"/>
  <c r="B2616" i="1"/>
  <c r="A2616" i="1"/>
  <c r="F2615" i="1"/>
  <c r="E2615" i="1"/>
  <c r="D2615" i="1"/>
  <c r="C2615" i="1"/>
  <c r="B2615" i="1"/>
  <c r="A2615" i="1"/>
  <c r="F2614" i="1"/>
  <c r="E2614" i="1"/>
  <c r="D2614" i="1"/>
  <c r="C2614" i="1"/>
  <c r="B2614" i="1"/>
  <c r="A2614" i="1"/>
  <c r="F2613" i="1"/>
  <c r="E2613" i="1"/>
  <c r="D2613" i="1"/>
  <c r="C2613" i="1"/>
  <c r="B2613" i="1"/>
  <c r="A2613" i="1"/>
  <c r="F2612" i="1"/>
  <c r="E2612" i="1"/>
  <c r="D2612" i="1"/>
  <c r="C2612" i="1"/>
  <c r="B2612" i="1"/>
  <c r="A2612" i="1"/>
  <c r="F2611" i="1"/>
  <c r="E2611" i="1"/>
  <c r="D2611" i="1"/>
  <c r="C2611" i="1"/>
  <c r="B2611" i="1"/>
  <c r="A2611" i="1"/>
  <c r="F2610" i="1"/>
  <c r="E2610" i="1"/>
  <c r="D2610" i="1"/>
  <c r="C2610" i="1"/>
  <c r="B2610" i="1"/>
  <c r="A2610" i="1"/>
  <c r="F2609" i="1"/>
  <c r="E2609" i="1"/>
  <c r="D2609" i="1"/>
  <c r="C2609" i="1"/>
  <c r="B2609" i="1"/>
  <c r="A2609" i="1"/>
  <c r="F2608" i="1"/>
  <c r="E2608" i="1"/>
  <c r="D2608" i="1"/>
  <c r="C2608" i="1"/>
  <c r="B2608" i="1"/>
  <c r="A2608" i="1"/>
  <c r="F2607" i="1"/>
  <c r="E2607" i="1"/>
  <c r="D2607" i="1"/>
  <c r="C2607" i="1"/>
  <c r="B2607" i="1"/>
  <c r="A2607" i="1"/>
  <c r="F2606" i="1"/>
  <c r="E2606" i="1"/>
  <c r="D2606" i="1"/>
  <c r="C2606" i="1"/>
  <c r="B2606" i="1"/>
  <c r="A2606" i="1"/>
  <c r="F2605" i="1"/>
  <c r="E2605" i="1"/>
  <c r="D2605" i="1"/>
  <c r="C2605" i="1"/>
  <c r="B2605" i="1"/>
  <c r="A2605" i="1"/>
  <c r="F2604" i="1"/>
  <c r="E2604" i="1"/>
  <c r="D2604" i="1"/>
  <c r="C2604" i="1"/>
  <c r="B2604" i="1"/>
  <c r="A2604" i="1"/>
  <c r="F2603" i="1"/>
  <c r="E2603" i="1"/>
  <c r="D2603" i="1"/>
  <c r="C2603" i="1"/>
  <c r="B2603" i="1"/>
  <c r="A2603" i="1"/>
  <c r="F2602" i="1"/>
  <c r="E2602" i="1"/>
  <c r="D2602" i="1"/>
  <c r="C2602" i="1"/>
  <c r="B2602" i="1"/>
  <c r="A2602" i="1"/>
  <c r="F2601" i="1"/>
  <c r="E2601" i="1"/>
  <c r="D2601" i="1"/>
  <c r="C2601" i="1"/>
  <c r="B2601" i="1"/>
  <c r="A2601" i="1"/>
  <c r="F2600" i="1"/>
  <c r="E2600" i="1"/>
  <c r="D2600" i="1"/>
  <c r="C2600" i="1"/>
  <c r="B2600" i="1"/>
  <c r="A2600" i="1"/>
  <c r="F2599" i="1"/>
  <c r="E2599" i="1"/>
  <c r="D2599" i="1"/>
  <c r="C2599" i="1"/>
  <c r="B2599" i="1"/>
  <c r="A2599" i="1"/>
  <c r="F2598" i="1"/>
  <c r="E2598" i="1"/>
  <c r="D2598" i="1"/>
  <c r="C2598" i="1"/>
  <c r="B2598" i="1"/>
  <c r="A2598" i="1"/>
  <c r="F2597" i="1"/>
  <c r="E2597" i="1"/>
  <c r="D2597" i="1"/>
  <c r="C2597" i="1"/>
  <c r="B2597" i="1"/>
  <c r="A2597" i="1"/>
  <c r="F2596" i="1"/>
  <c r="E2596" i="1"/>
  <c r="D2596" i="1"/>
  <c r="C2596" i="1"/>
  <c r="B2596" i="1"/>
  <c r="A2596" i="1"/>
  <c r="F2595" i="1"/>
  <c r="E2595" i="1"/>
  <c r="D2595" i="1"/>
  <c r="C2595" i="1"/>
  <c r="B2595" i="1"/>
  <c r="A2595" i="1"/>
  <c r="F2594" i="1"/>
  <c r="E2594" i="1"/>
  <c r="D2594" i="1"/>
  <c r="C2594" i="1"/>
  <c r="B2594" i="1"/>
  <c r="A2594" i="1"/>
  <c r="F2593" i="1"/>
  <c r="E2593" i="1"/>
  <c r="D2593" i="1"/>
  <c r="C2593" i="1"/>
  <c r="B2593" i="1"/>
  <c r="A2593" i="1"/>
  <c r="F2592" i="1"/>
  <c r="E2592" i="1"/>
  <c r="D2592" i="1"/>
  <c r="C2592" i="1"/>
  <c r="B2592" i="1"/>
  <c r="A2592" i="1"/>
  <c r="F2591" i="1"/>
  <c r="E2591" i="1"/>
  <c r="D2591" i="1"/>
  <c r="C2591" i="1"/>
  <c r="B2591" i="1"/>
  <c r="A2591" i="1"/>
  <c r="F2590" i="1"/>
  <c r="E2590" i="1"/>
  <c r="D2590" i="1"/>
  <c r="C2590" i="1"/>
  <c r="B2590" i="1"/>
  <c r="A2590" i="1"/>
  <c r="F2589" i="1"/>
  <c r="E2589" i="1"/>
  <c r="D2589" i="1"/>
  <c r="C2589" i="1"/>
  <c r="B2589" i="1"/>
  <c r="A2589" i="1"/>
  <c r="F2588" i="1"/>
  <c r="E2588" i="1"/>
  <c r="D2588" i="1"/>
  <c r="C2588" i="1"/>
  <c r="B2588" i="1"/>
  <c r="A2588" i="1"/>
  <c r="F2587" i="1"/>
  <c r="E2587" i="1"/>
  <c r="D2587" i="1"/>
  <c r="C2587" i="1"/>
  <c r="B2587" i="1"/>
  <c r="A2587" i="1"/>
  <c r="F2586" i="1"/>
  <c r="E2586" i="1"/>
  <c r="D2586" i="1"/>
  <c r="C2586" i="1"/>
  <c r="B2586" i="1"/>
  <c r="A2586" i="1"/>
  <c r="F2585" i="1"/>
  <c r="E2585" i="1"/>
  <c r="D2585" i="1"/>
  <c r="C2585" i="1"/>
  <c r="B2585" i="1"/>
  <c r="A2585" i="1"/>
  <c r="F2584" i="1"/>
  <c r="E2584" i="1"/>
  <c r="D2584" i="1"/>
  <c r="C2584" i="1"/>
  <c r="B2584" i="1"/>
  <c r="A2584" i="1"/>
  <c r="F2583" i="1"/>
  <c r="E2583" i="1"/>
  <c r="D2583" i="1"/>
  <c r="C2583" i="1"/>
  <c r="B2583" i="1"/>
  <c r="A2583" i="1"/>
  <c r="F2582" i="1"/>
  <c r="E2582" i="1"/>
  <c r="D2582" i="1"/>
  <c r="C2582" i="1"/>
  <c r="B2582" i="1"/>
  <c r="A2582" i="1"/>
  <c r="F2581" i="1"/>
  <c r="E2581" i="1"/>
  <c r="D2581" i="1"/>
  <c r="C2581" i="1"/>
  <c r="B2581" i="1"/>
  <c r="A2581" i="1"/>
  <c r="F2580" i="1"/>
  <c r="E2580" i="1"/>
  <c r="D2580" i="1"/>
  <c r="C2580" i="1"/>
  <c r="B2580" i="1"/>
  <c r="A2580" i="1"/>
  <c r="F2579" i="1"/>
  <c r="E2579" i="1"/>
  <c r="D2579" i="1"/>
  <c r="C2579" i="1"/>
  <c r="B2579" i="1"/>
  <c r="A2579" i="1"/>
  <c r="F2578" i="1"/>
  <c r="E2578" i="1"/>
  <c r="D2578" i="1"/>
  <c r="C2578" i="1"/>
  <c r="B2578" i="1"/>
  <c r="A2578" i="1"/>
  <c r="F2577" i="1"/>
  <c r="E2577" i="1"/>
  <c r="D2577" i="1"/>
  <c r="C2577" i="1"/>
  <c r="B2577" i="1"/>
  <c r="A2577" i="1"/>
  <c r="F2576" i="1"/>
  <c r="E2576" i="1"/>
  <c r="D2576" i="1"/>
  <c r="C2576" i="1"/>
  <c r="B2576" i="1"/>
  <c r="A2576" i="1"/>
  <c r="F2575" i="1"/>
  <c r="E2575" i="1"/>
  <c r="D2575" i="1"/>
  <c r="C2575" i="1"/>
  <c r="B2575" i="1"/>
  <c r="A2575" i="1"/>
  <c r="F2574" i="1"/>
  <c r="E2574" i="1"/>
  <c r="D2574" i="1"/>
  <c r="C2574" i="1"/>
  <c r="B2574" i="1"/>
  <c r="A2574" i="1"/>
  <c r="F2573" i="1"/>
  <c r="E2573" i="1"/>
  <c r="D2573" i="1"/>
  <c r="C2573" i="1"/>
  <c r="B2573" i="1"/>
  <c r="A2573" i="1"/>
  <c r="F2572" i="1"/>
  <c r="E2572" i="1"/>
  <c r="D2572" i="1"/>
  <c r="C2572" i="1"/>
  <c r="B2572" i="1"/>
  <c r="A2572" i="1"/>
  <c r="F2571" i="1"/>
  <c r="E2571" i="1"/>
  <c r="D2571" i="1"/>
  <c r="C2571" i="1"/>
  <c r="B2571" i="1"/>
  <c r="A2571" i="1"/>
  <c r="F2570" i="1"/>
  <c r="E2570" i="1"/>
  <c r="D2570" i="1"/>
  <c r="C2570" i="1"/>
  <c r="B2570" i="1"/>
  <c r="A2570" i="1"/>
  <c r="F2569" i="1"/>
  <c r="E2569" i="1"/>
  <c r="D2569" i="1"/>
  <c r="C2569" i="1"/>
  <c r="B2569" i="1"/>
  <c r="A2569" i="1"/>
  <c r="F2568" i="1"/>
  <c r="E2568" i="1"/>
  <c r="D2568" i="1"/>
  <c r="C2568" i="1"/>
  <c r="B2568" i="1"/>
  <c r="A2568" i="1"/>
  <c r="F2567" i="1"/>
  <c r="E2567" i="1"/>
  <c r="D2567" i="1"/>
  <c r="C2567" i="1"/>
  <c r="B2567" i="1"/>
  <c r="A2567" i="1"/>
  <c r="F2566" i="1"/>
  <c r="E2566" i="1"/>
  <c r="D2566" i="1"/>
  <c r="C2566" i="1"/>
  <c r="B2566" i="1"/>
  <c r="A2566" i="1"/>
  <c r="F2565" i="1"/>
  <c r="E2565" i="1"/>
  <c r="D2565" i="1"/>
  <c r="C2565" i="1"/>
  <c r="B2565" i="1"/>
  <c r="A2565" i="1"/>
  <c r="F2564" i="1"/>
  <c r="E2564" i="1"/>
  <c r="D2564" i="1"/>
  <c r="C2564" i="1"/>
  <c r="B2564" i="1"/>
  <c r="A2564" i="1"/>
  <c r="F2563" i="1"/>
  <c r="E2563" i="1"/>
  <c r="D2563" i="1"/>
  <c r="C2563" i="1"/>
  <c r="B2563" i="1"/>
  <c r="A2563" i="1"/>
  <c r="F2562" i="1"/>
  <c r="E2562" i="1"/>
  <c r="D2562" i="1"/>
  <c r="C2562" i="1"/>
  <c r="B2562" i="1"/>
  <c r="A2562" i="1"/>
  <c r="F2561" i="1"/>
  <c r="E2561" i="1"/>
  <c r="D2561" i="1"/>
  <c r="C2561" i="1"/>
  <c r="B2561" i="1"/>
  <c r="A2561" i="1"/>
  <c r="F2560" i="1"/>
  <c r="E2560" i="1"/>
  <c r="D2560" i="1"/>
  <c r="C2560" i="1"/>
  <c r="B2560" i="1"/>
  <c r="A2560" i="1"/>
  <c r="F2559" i="1"/>
  <c r="E2559" i="1"/>
  <c r="D2559" i="1"/>
  <c r="C2559" i="1"/>
  <c r="B2559" i="1"/>
  <c r="A2559" i="1"/>
  <c r="F2558" i="1"/>
  <c r="E2558" i="1"/>
  <c r="D2558" i="1"/>
  <c r="C2558" i="1"/>
  <c r="B2558" i="1"/>
  <c r="A2558" i="1"/>
  <c r="F2557" i="1"/>
  <c r="E2557" i="1"/>
  <c r="D2557" i="1"/>
  <c r="C2557" i="1"/>
  <c r="B2557" i="1"/>
  <c r="A2557" i="1"/>
  <c r="F2556" i="1"/>
  <c r="E2556" i="1"/>
  <c r="D2556" i="1"/>
  <c r="C2556" i="1"/>
  <c r="B2556" i="1"/>
  <c r="A2556" i="1"/>
  <c r="F2555" i="1"/>
  <c r="E2555" i="1"/>
  <c r="D2555" i="1"/>
  <c r="C2555" i="1"/>
  <c r="B2555" i="1"/>
  <c r="A2555" i="1"/>
  <c r="F2554" i="1"/>
  <c r="E2554" i="1"/>
  <c r="D2554" i="1"/>
  <c r="C2554" i="1"/>
  <c r="B2554" i="1"/>
  <c r="A2554" i="1"/>
  <c r="F2553" i="1"/>
  <c r="E2553" i="1"/>
  <c r="D2553" i="1"/>
  <c r="C2553" i="1"/>
  <c r="B2553" i="1"/>
  <c r="A2553" i="1"/>
  <c r="F2552" i="1"/>
  <c r="E2552" i="1"/>
  <c r="D2552" i="1"/>
  <c r="C2552" i="1"/>
  <c r="B2552" i="1"/>
  <c r="A2552" i="1"/>
  <c r="F2551" i="1"/>
  <c r="E2551" i="1"/>
  <c r="D2551" i="1"/>
  <c r="C2551" i="1"/>
  <c r="B2551" i="1"/>
  <c r="A2551" i="1"/>
  <c r="F2550" i="1"/>
  <c r="E2550" i="1"/>
  <c r="D2550" i="1"/>
  <c r="C2550" i="1"/>
  <c r="B2550" i="1"/>
  <c r="A2550" i="1"/>
  <c r="F2549" i="1"/>
  <c r="E2549" i="1"/>
  <c r="D2549" i="1"/>
  <c r="C2549" i="1"/>
  <c r="B2549" i="1"/>
  <c r="A2549" i="1"/>
  <c r="F2548" i="1"/>
  <c r="E2548" i="1"/>
  <c r="D2548" i="1"/>
  <c r="C2548" i="1"/>
  <c r="B2548" i="1"/>
  <c r="A2548" i="1"/>
  <c r="F2547" i="1"/>
  <c r="E2547" i="1"/>
  <c r="D2547" i="1"/>
  <c r="C2547" i="1"/>
  <c r="B2547" i="1"/>
  <c r="A2547" i="1"/>
  <c r="F2546" i="1"/>
  <c r="E2546" i="1"/>
  <c r="D2546" i="1"/>
  <c r="C2546" i="1"/>
  <c r="B2546" i="1"/>
  <c r="A2546" i="1"/>
  <c r="F2545" i="1"/>
  <c r="E2545" i="1"/>
  <c r="D2545" i="1"/>
  <c r="C2545" i="1"/>
  <c r="B2545" i="1"/>
  <c r="A2545" i="1"/>
  <c r="F2544" i="1"/>
  <c r="E2544" i="1"/>
  <c r="D2544" i="1"/>
  <c r="C2544" i="1"/>
  <c r="B2544" i="1"/>
  <c r="A2544" i="1"/>
  <c r="F2543" i="1"/>
  <c r="E2543" i="1"/>
  <c r="D2543" i="1"/>
  <c r="C2543" i="1"/>
  <c r="B2543" i="1"/>
  <c r="A2543" i="1"/>
  <c r="F2542" i="1"/>
  <c r="E2542" i="1"/>
  <c r="D2542" i="1"/>
  <c r="C2542" i="1"/>
  <c r="B2542" i="1"/>
  <c r="A2542" i="1"/>
  <c r="F2541" i="1"/>
  <c r="E2541" i="1"/>
  <c r="D2541" i="1"/>
  <c r="C2541" i="1"/>
  <c r="B2541" i="1"/>
  <c r="A2541" i="1"/>
  <c r="F2540" i="1"/>
  <c r="E2540" i="1"/>
  <c r="D2540" i="1"/>
  <c r="C2540" i="1"/>
  <c r="B2540" i="1"/>
  <c r="A2540" i="1"/>
  <c r="F2539" i="1"/>
  <c r="E2539" i="1"/>
  <c r="D2539" i="1"/>
  <c r="C2539" i="1"/>
  <c r="B2539" i="1"/>
  <c r="A2539" i="1"/>
  <c r="F2538" i="1"/>
  <c r="E2538" i="1"/>
  <c r="D2538" i="1"/>
  <c r="C2538" i="1"/>
  <c r="B2538" i="1"/>
  <c r="A2538" i="1"/>
  <c r="F2537" i="1"/>
  <c r="E2537" i="1"/>
  <c r="D2537" i="1"/>
  <c r="C2537" i="1"/>
  <c r="B2537" i="1"/>
  <c r="A2537" i="1"/>
  <c r="F2536" i="1"/>
  <c r="E2536" i="1"/>
  <c r="D2536" i="1"/>
  <c r="C2536" i="1"/>
  <c r="B2536" i="1"/>
  <c r="A2536" i="1"/>
  <c r="F2535" i="1"/>
  <c r="E2535" i="1"/>
  <c r="D2535" i="1"/>
  <c r="C2535" i="1"/>
  <c r="B2535" i="1"/>
  <c r="A2535" i="1"/>
  <c r="F2534" i="1"/>
  <c r="E2534" i="1"/>
  <c r="D2534" i="1"/>
  <c r="C2534" i="1"/>
  <c r="B2534" i="1"/>
  <c r="A2534" i="1"/>
  <c r="F2533" i="1"/>
  <c r="E2533" i="1"/>
  <c r="D2533" i="1"/>
  <c r="C2533" i="1"/>
  <c r="B2533" i="1"/>
  <c r="A2533" i="1"/>
  <c r="F2532" i="1"/>
  <c r="E2532" i="1"/>
  <c r="D2532" i="1"/>
  <c r="C2532" i="1"/>
  <c r="B2532" i="1"/>
  <c r="A2532" i="1"/>
  <c r="F2531" i="1"/>
  <c r="E2531" i="1"/>
  <c r="D2531" i="1"/>
  <c r="C2531" i="1"/>
  <c r="B2531" i="1"/>
  <c r="A2531" i="1"/>
  <c r="F2530" i="1"/>
  <c r="E2530" i="1"/>
  <c r="D2530" i="1"/>
  <c r="C2530" i="1"/>
  <c r="B2530" i="1"/>
  <c r="A2530" i="1"/>
  <c r="F2529" i="1"/>
  <c r="E2529" i="1"/>
  <c r="D2529" i="1"/>
  <c r="C2529" i="1"/>
  <c r="B2529" i="1"/>
  <c r="A2529" i="1"/>
  <c r="F2528" i="1"/>
  <c r="E2528" i="1"/>
  <c r="D2528" i="1"/>
  <c r="C2528" i="1"/>
  <c r="B2528" i="1"/>
  <c r="A2528" i="1"/>
  <c r="F2527" i="1"/>
  <c r="E2527" i="1"/>
  <c r="D2527" i="1"/>
  <c r="C2527" i="1"/>
  <c r="B2527" i="1"/>
  <c r="A2527" i="1"/>
  <c r="F2526" i="1"/>
  <c r="E2526" i="1"/>
  <c r="D2526" i="1"/>
  <c r="C2526" i="1"/>
  <c r="B2526" i="1"/>
  <c r="A2526" i="1"/>
  <c r="F2525" i="1"/>
  <c r="E2525" i="1"/>
  <c r="D2525" i="1"/>
  <c r="C2525" i="1"/>
  <c r="B2525" i="1"/>
  <c r="A2525" i="1"/>
  <c r="F2524" i="1"/>
  <c r="E2524" i="1"/>
  <c r="D2524" i="1"/>
  <c r="C2524" i="1"/>
  <c r="B2524" i="1"/>
  <c r="A2524" i="1"/>
  <c r="F2523" i="1"/>
  <c r="E2523" i="1"/>
  <c r="D2523" i="1"/>
  <c r="C2523" i="1"/>
  <c r="B2523" i="1"/>
  <c r="A2523" i="1"/>
  <c r="F2522" i="1"/>
  <c r="E2522" i="1"/>
  <c r="D2522" i="1"/>
  <c r="C2522" i="1"/>
  <c r="B2522" i="1"/>
  <c r="A2522" i="1"/>
  <c r="F2521" i="1"/>
  <c r="E2521" i="1"/>
  <c r="D2521" i="1"/>
  <c r="C2521" i="1"/>
  <c r="B2521" i="1"/>
  <c r="A2521" i="1"/>
  <c r="F2520" i="1"/>
  <c r="E2520" i="1"/>
  <c r="D2520" i="1"/>
  <c r="C2520" i="1"/>
  <c r="B2520" i="1"/>
  <c r="A2520" i="1"/>
  <c r="F2519" i="1"/>
  <c r="E2519" i="1"/>
  <c r="D2519" i="1"/>
  <c r="C2519" i="1"/>
  <c r="B2519" i="1"/>
  <c r="A2519" i="1"/>
  <c r="F2518" i="1"/>
  <c r="E2518" i="1"/>
  <c r="D2518" i="1"/>
  <c r="C2518" i="1"/>
  <c r="B2518" i="1"/>
  <c r="A2518" i="1"/>
  <c r="F2517" i="1"/>
  <c r="E2517" i="1"/>
  <c r="D2517" i="1"/>
  <c r="C2517" i="1"/>
  <c r="B2517" i="1"/>
  <c r="A2517" i="1"/>
  <c r="F2516" i="1"/>
  <c r="E2516" i="1"/>
  <c r="D2516" i="1"/>
  <c r="C2516" i="1"/>
  <c r="B2516" i="1"/>
  <c r="A2516" i="1"/>
  <c r="F2515" i="1"/>
  <c r="E2515" i="1"/>
  <c r="D2515" i="1"/>
  <c r="C2515" i="1"/>
  <c r="B2515" i="1"/>
  <c r="A2515" i="1"/>
  <c r="F2514" i="1"/>
  <c r="E2514" i="1"/>
  <c r="D2514" i="1"/>
  <c r="C2514" i="1"/>
  <c r="B2514" i="1"/>
  <c r="A2514" i="1"/>
  <c r="F2513" i="1"/>
  <c r="E2513" i="1"/>
  <c r="D2513" i="1"/>
  <c r="C2513" i="1"/>
  <c r="B2513" i="1"/>
  <c r="A2513" i="1"/>
  <c r="F2512" i="1"/>
  <c r="E2512" i="1"/>
  <c r="D2512" i="1"/>
  <c r="C2512" i="1"/>
  <c r="B2512" i="1"/>
  <c r="A2512" i="1"/>
  <c r="F2511" i="1"/>
  <c r="E2511" i="1"/>
  <c r="D2511" i="1"/>
  <c r="C2511" i="1"/>
  <c r="B2511" i="1"/>
  <c r="A2511" i="1"/>
  <c r="F2510" i="1"/>
  <c r="E2510" i="1"/>
  <c r="D2510" i="1"/>
  <c r="C2510" i="1"/>
  <c r="B2510" i="1"/>
  <c r="A2510" i="1"/>
  <c r="F2509" i="1"/>
  <c r="E2509" i="1"/>
  <c r="D2509" i="1"/>
  <c r="C2509" i="1"/>
  <c r="B2509" i="1"/>
  <c r="A2509" i="1"/>
  <c r="F2508" i="1"/>
  <c r="E2508" i="1"/>
  <c r="D2508" i="1"/>
  <c r="C2508" i="1"/>
  <c r="B2508" i="1"/>
  <c r="A2508" i="1"/>
  <c r="F2507" i="1"/>
  <c r="E2507" i="1"/>
  <c r="D2507" i="1"/>
  <c r="C2507" i="1"/>
  <c r="B2507" i="1"/>
  <c r="A2507" i="1"/>
  <c r="F2506" i="1"/>
  <c r="E2506" i="1"/>
  <c r="D2506" i="1"/>
  <c r="C2506" i="1"/>
  <c r="B2506" i="1"/>
  <c r="A2506" i="1"/>
  <c r="F2505" i="1"/>
  <c r="E2505" i="1"/>
  <c r="D2505" i="1"/>
  <c r="C2505" i="1"/>
  <c r="B2505" i="1"/>
  <c r="A2505" i="1"/>
  <c r="F2504" i="1"/>
  <c r="E2504" i="1"/>
  <c r="D2504" i="1"/>
  <c r="C2504" i="1"/>
  <c r="B2504" i="1"/>
  <c r="A2504" i="1"/>
  <c r="F2503" i="1"/>
  <c r="E2503" i="1"/>
  <c r="D2503" i="1"/>
  <c r="C2503" i="1"/>
  <c r="B2503" i="1"/>
  <c r="A2503" i="1"/>
  <c r="F2502" i="1"/>
  <c r="E2502" i="1"/>
  <c r="D2502" i="1"/>
  <c r="C2502" i="1"/>
  <c r="B2502" i="1"/>
  <c r="A2502" i="1"/>
  <c r="F2501" i="1"/>
  <c r="E2501" i="1"/>
  <c r="D2501" i="1"/>
  <c r="C2501" i="1"/>
  <c r="B2501" i="1"/>
  <c r="A2501" i="1"/>
  <c r="F2500" i="1"/>
  <c r="E2500" i="1"/>
  <c r="D2500" i="1"/>
  <c r="C2500" i="1"/>
  <c r="B2500" i="1"/>
  <c r="A2500" i="1"/>
  <c r="F2499" i="1"/>
  <c r="E2499" i="1"/>
  <c r="D2499" i="1"/>
  <c r="C2499" i="1"/>
  <c r="B2499" i="1"/>
  <c r="A2499" i="1"/>
  <c r="F2498" i="1"/>
  <c r="E2498" i="1"/>
  <c r="D2498" i="1"/>
  <c r="C2498" i="1"/>
  <c r="B2498" i="1"/>
  <c r="A2498" i="1"/>
  <c r="F2497" i="1"/>
  <c r="E2497" i="1"/>
  <c r="D2497" i="1"/>
  <c r="C2497" i="1"/>
  <c r="B2497" i="1"/>
  <c r="A2497" i="1"/>
  <c r="F2496" i="1"/>
  <c r="E2496" i="1"/>
  <c r="D2496" i="1"/>
  <c r="C2496" i="1"/>
  <c r="B2496" i="1"/>
  <c r="A2496" i="1"/>
  <c r="F2495" i="1"/>
  <c r="E2495" i="1"/>
  <c r="D2495" i="1"/>
  <c r="C2495" i="1"/>
  <c r="B2495" i="1"/>
  <c r="A2495" i="1"/>
  <c r="F2494" i="1"/>
  <c r="E2494" i="1"/>
  <c r="D2494" i="1"/>
  <c r="C2494" i="1"/>
  <c r="B2494" i="1"/>
  <c r="A2494" i="1"/>
  <c r="F2493" i="1"/>
  <c r="E2493" i="1"/>
  <c r="D2493" i="1"/>
  <c r="C2493" i="1"/>
  <c r="B2493" i="1"/>
  <c r="A2493" i="1"/>
  <c r="F2492" i="1"/>
  <c r="E2492" i="1"/>
  <c r="D2492" i="1"/>
  <c r="C2492" i="1"/>
  <c r="B2492" i="1"/>
  <c r="A2492" i="1"/>
  <c r="F2491" i="1"/>
  <c r="E2491" i="1"/>
  <c r="D2491" i="1"/>
  <c r="C2491" i="1"/>
  <c r="B2491" i="1"/>
  <c r="A2491" i="1"/>
  <c r="F2490" i="1"/>
  <c r="E2490" i="1"/>
  <c r="D2490" i="1"/>
  <c r="C2490" i="1"/>
  <c r="B2490" i="1"/>
  <c r="A2490" i="1"/>
  <c r="F2489" i="1"/>
  <c r="E2489" i="1"/>
  <c r="D2489" i="1"/>
  <c r="C2489" i="1"/>
  <c r="B2489" i="1"/>
  <c r="A2489" i="1"/>
  <c r="F2488" i="1"/>
  <c r="E2488" i="1"/>
  <c r="D2488" i="1"/>
  <c r="C2488" i="1"/>
  <c r="B2488" i="1"/>
  <c r="A2488" i="1"/>
  <c r="F2487" i="1"/>
  <c r="E2487" i="1"/>
  <c r="D2487" i="1"/>
  <c r="C2487" i="1"/>
  <c r="B2487" i="1"/>
  <c r="A2487" i="1"/>
  <c r="F2486" i="1"/>
  <c r="E2486" i="1"/>
  <c r="D2486" i="1"/>
  <c r="C2486" i="1"/>
  <c r="B2486" i="1"/>
  <c r="A2486" i="1"/>
  <c r="F2485" i="1"/>
  <c r="E2485" i="1"/>
  <c r="D2485" i="1"/>
  <c r="C2485" i="1"/>
  <c r="B2485" i="1"/>
  <c r="A2485" i="1"/>
  <c r="F2484" i="1"/>
  <c r="E2484" i="1"/>
  <c r="D2484" i="1"/>
  <c r="C2484" i="1"/>
  <c r="B2484" i="1"/>
  <c r="A2484" i="1"/>
  <c r="F2483" i="1"/>
  <c r="E2483" i="1"/>
  <c r="D2483" i="1"/>
  <c r="C2483" i="1"/>
  <c r="B2483" i="1"/>
  <c r="A2483" i="1"/>
  <c r="F2482" i="1"/>
  <c r="E2482" i="1"/>
  <c r="D2482" i="1"/>
  <c r="C2482" i="1"/>
  <c r="B2482" i="1"/>
  <c r="A2482" i="1"/>
  <c r="F2481" i="1"/>
  <c r="E2481" i="1"/>
  <c r="D2481" i="1"/>
  <c r="C2481" i="1"/>
  <c r="B2481" i="1"/>
  <c r="A2481" i="1"/>
  <c r="F2480" i="1"/>
  <c r="E2480" i="1"/>
  <c r="D2480" i="1"/>
  <c r="C2480" i="1"/>
  <c r="B2480" i="1"/>
  <c r="A2480" i="1"/>
  <c r="F2479" i="1"/>
  <c r="E2479" i="1"/>
  <c r="D2479" i="1"/>
  <c r="C2479" i="1"/>
  <c r="B2479" i="1"/>
  <c r="A2479" i="1"/>
  <c r="F2478" i="1"/>
  <c r="E2478" i="1"/>
  <c r="D2478" i="1"/>
  <c r="C2478" i="1"/>
  <c r="B2478" i="1"/>
  <c r="A2478" i="1"/>
  <c r="F2477" i="1"/>
  <c r="E2477" i="1"/>
  <c r="D2477" i="1"/>
  <c r="C2477" i="1"/>
  <c r="B2477" i="1"/>
  <c r="A2477" i="1"/>
  <c r="F2476" i="1"/>
  <c r="E2476" i="1"/>
  <c r="D2476" i="1"/>
  <c r="C2476" i="1"/>
  <c r="B2476" i="1"/>
  <c r="A2476" i="1"/>
  <c r="F2475" i="1"/>
  <c r="E2475" i="1"/>
  <c r="D2475" i="1"/>
  <c r="C2475" i="1"/>
  <c r="B2475" i="1"/>
  <c r="A2475" i="1"/>
  <c r="F2474" i="1"/>
  <c r="E2474" i="1"/>
  <c r="D2474" i="1"/>
  <c r="C2474" i="1"/>
  <c r="B2474" i="1"/>
  <c r="A2474" i="1"/>
  <c r="F2473" i="1"/>
  <c r="E2473" i="1"/>
  <c r="D2473" i="1"/>
  <c r="C2473" i="1"/>
  <c r="B2473" i="1"/>
  <c r="A2473" i="1"/>
  <c r="F2472" i="1"/>
  <c r="E2472" i="1"/>
  <c r="D2472" i="1"/>
  <c r="C2472" i="1"/>
  <c r="B2472" i="1"/>
  <c r="A2472" i="1"/>
  <c r="F2471" i="1"/>
  <c r="E2471" i="1"/>
  <c r="D2471" i="1"/>
  <c r="C2471" i="1"/>
  <c r="B2471" i="1"/>
  <c r="A2471" i="1"/>
  <c r="F2470" i="1"/>
  <c r="E2470" i="1"/>
  <c r="D2470" i="1"/>
  <c r="C2470" i="1"/>
  <c r="B2470" i="1"/>
  <c r="A2470" i="1"/>
  <c r="F2469" i="1"/>
  <c r="E2469" i="1"/>
  <c r="D2469" i="1"/>
  <c r="C2469" i="1"/>
  <c r="B2469" i="1"/>
  <c r="A2469" i="1"/>
  <c r="F2468" i="1"/>
  <c r="E2468" i="1"/>
  <c r="D2468" i="1"/>
  <c r="C2468" i="1"/>
  <c r="B2468" i="1"/>
  <c r="A2468" i="1"/>
  <c r="F2467" i="1"/>
  <c r="E2467" i="1"/>
  <c r="D2467" i="1"/>
  <c r="C2467" i="1"/>
  <c r="B2467" i="1"/>
  <c r="A2467" i="1"/>
  <c r="F2466" i="1"/>
  <c r="E2466" i="1"/>
  <c r="D2466" i="1"/>
  <c r="C2466" i="1"/>
  <c r="B2466" i="1"/>
  <c r="A2466" i="1"/>
  <c r="F2465" i="1"/>
  <c r="E2465" i="1"/>
  <c r="D2465" i="1"/>
  <c r="C2465" i="1"/>
  <c r="B2465" i="1"/>
  <c r="A2465" i="1"/>
  <c r="F2464" i="1"/>
  <c r="E2464" i="1"/>
  <c r="D2464" i="1"/>
  <c r="C2464" i="1"/>
  <c r="B2464" i="1"/>
  <c r="A2464" i="1"/>
  <c r="F2463" i="1"/>
  <c r="E2463" i="1"/>
  <c r="D2463" i="1"/>
  <c r="C2463" i="1"/>
  <c r="B2463" i="1"/>
  <c r="A2463" i="1"/>
  <c r="F2462" i="1"/>
  <c r="E2462" i="1"/>
  <c r="D2462" i="1"/>
  <c r="C2462" i="1"/>
  <c r="B2462" i="1"/>
  <c r="A2462" i="1"/>
  <c r="F2461" i="1"/>
  <c r="E2461" i="1"/>
  <c r="D2461" i="1"/>
  <c r="C2461" i="1"/>
  <c r="B2461" i="1"/>
  <c r="A2461" i="1"/>
  <c r="F2460" i="1"/>
  <c r="E2460" i="1"/>
  <c r="D2460" i="1"/>
  <c r="C2460" i="1"/>
  <c r="B2460" i="1"/>
  <c r="A2460" i="1"/>
  <c r="F2459" i="1"/>
  <c r="E2459" i="1"/>
  <c r="D2459" i="1"/>
  <c r="C2459" i="1"/>
  <c r="B2459" i="1"/>
  <c r="A2459" i="1"/>
  <c r="F2458" i="1"/>
  <c r="E2458" i="1"/>
  <c r="D2458" i="1"/>
  <c r="C2458" i="1"/>
  <c r="B2458" i="1"/>
  <c r="A2458" i="1"/>
  <c r="F2457" i="1"/>
  <c r="E2457" i="1"/>
  <c r="D2457" i="1"/>
  <c r="C2457" i="1"/>
  <c r="B2457" i="1"/>
  <c r="A2457" i="1"/>
  <c r="F2456" i="1"/>
  <c r="E2456" i="1"/>
  <c r="D2456" i="1"/>
  <c r="C2456" i="1"/>
  <c r="B2456" i="1"/>
  <c r="A2456" i="1"/>
  <c r="F2455" i="1"/>
  <c r="E2455" i="1"/>
  <c r="D2455" i="1"/>
  <c r="C2455" i="1"/>
  <c r="B2455" i="1"/>
  <c r="A2455" i="1"/>
  <c r="F2454" i="1"/>
  <c r="E2454" i="1"/>
  <c r="D2454" i="1"/>
  <c r="C2454" i="1"/>
  <c r="B2454" i="1"/>
  <c r="A2454" i="1"/>
  <c r="F2453" i="1"/>
  <c r="E2453" i="1"/>
  <c r="D2453" i="1"/>
  <c r="C2453" i="1"/>
  <c r="B2453" i="1"/>
  <c r="A2453" i="1"/>
  <c r="F2452" i="1"/>
  <c r="E2452" i="1"/>
  <c r="D2452" i="1"/>
  <c r="C2452" i="1"/>
  <c r="B2452" i="1"/>
  <c r="A2452" i="1"/>
  <c r="F2451" i="1"/>
  <c r="E2451" i="1"/>
  <c r="D2451" i="1"/>
  <c r="C2451" i="1"/>
  <c r="B2451" i="1"/>
  <c r="A2451" i="1"/>
  <c r="F2450" i="1"/>
  <c r="E2450" i="1"/>
  <c r="D2450" i="1"/>
  <c r="C2450" i="1"/>
  <c r="B2450" i="1"/>
  <c r="A2450" i="1"/>
  <c r="F2449" i="1"/>
  <c r="E2449" i="1"/>
  <c r="D2449" i="1"/>
  <c r="C2449" i="1"/>
  <c r="B2449" i="1"/>
  <c r="A2449" i="1"/>
  <c r="F2448" i="1"/>
  <c r="E2448" i="1"/>
  <c r="D2448" i="1"/>
  <c r="C2448" i="1"/>
  <c r="B2448" i="1"/>
  <c r="A2448" i="1"/>
  <c r="F2447" i="1"/>
  <c r="E2447" i="1"/>
  <c r="D2447" i="1"/>
  <c r="C2447" i="1"/>
  <c r="B2447" i="1"/>
  <c r="A2447" i="1"/>
  <c r="F2446" i="1"/>
  <c r="E2446" i="1"/>
  <c r="D2446" i="1"/>
  <c r="C2446" i="1"/>
  <c r="B2446" i="1"/>
  <c r="A2446" i="1"/>
  <c r="F2445" i="1"/>
  <c r="E2445" i="1"/>
  <c r="D2445" i="1"/>
  <c r="C2445" i="1"/>
  <c r="B2445" i="1"/>
  <c r="A2445" i="1"/>
  <c r="F2444" i="1"/>
  <c r="E2444" i="1"/>
  <c r="D2444" i="1"/>
  <c r="C2444" i="1"/>
  <c r="B2444" i="1"/>
  <c r="A2444" i="1"/>
  <c r="F2443" i="1"/>
  <c r="E2443" i="1"/>
  <c r="D2443" i="1"/>
  <c r="C2443" i="1"/>
  <c r="B2443" i="1"/>
  <c r="A2443" i="1"/>
  <c r="F2442" i="1"/>
  <c r="E2442" i="1"/>
  <c r="D2442" i="1"/>
  <c r="C2442" i="1"/>
  <c r="B2442" i="1"/>
  <c r="A2442" i="1"/>
  <c r="F2441" i="1"/>
  <c r="E2441" i="1"/>
  <c r="D2441" i="1"/>
  <c r="C2441" i="1"/>
  <c r="B2441" i="1"/>
  <c r="A2441" i="1"/>
  <c r="F2440" i="1"/>
  <c r="E2440" i="1"/>
  <c r="D2440" i="1"/>
  <c r="C2440" i="1"/>
  <c r="B2440" i="1"/>
  <c r="A2440" i="1"/>
  <c r="F2439" i="1"/>
  <c r="E2439" i="1"/>
  <c r="D2439" i="1"/>
  <c r="C2439" i="1"/>
  <c r="B2439" i="1"/>
  <c r="A2439" i="1"/>
  <c r="F2438" i="1"/>
  <c r="E2438" i="1"/>
  <c r="D2438" i="1"/>
  <c r="C2438" i="1"/>
  <c r="B2438" i="1"/>
  <c r="A2438" i="1"/>
  <c r="F2437" i="1"/>
  <c r="E2437" i="1"/>
  <c r="D2437" i="1"/>
  <c r="C2437" i="1"/>
  <c r="B2437" i="1"/>
  <c r="A2437" i="1"/>
  <c r="F2436" i="1"/>
  <c r="E2436" i="1"/>
  <c r="D2436" i="1"/>
  <c r="C2436" i="1"/>
  <c r="B2436" i="1"/>
  <c r="A2436" i="1"/>
  <c r="F2435" i="1"/>
  <c r="E2435" i="1"/>
  <c r="D2435" i="1"/>
  <c r="C2435" i="1"/>
  <c r="B2435" i="1"/>
  <c r="A2435" i="1"/>
  <c r="F2434" i="1"/>
  <c r="E2434" i="1"/>
  <c r="D2434" i="1"/>
  <c r="C2434" i="1"/>
  <c r="B2434" i="1"/>
  <c r="A2434" i="1"/>
  <c r="F2433" i="1"/>
  <c r="E2433" i="1"/>
  <c r="D2433" i="1"/>
  <c r="C2433" i="1"/>
  <c r="B2433" i="1"/>
  <c r="A2433" i="1"/>
  <c r="F2432" i="1"/>
  <c r="E2432" i="1"/>
  <c r="D2432" i="1"/>
  <c r="C2432" i="1"/>
  <c r="B2432" i="1"/>
  <c r="A2432" i="1"/>
  <c r="F2431" i="1"/>
  <c r="E2431" i="1"/>
  <c r="D2431" i="1"/>
  <c r="C2431" i="1"/>
  <c r="B2431" i="1"/>
  <c r="A2431" i="1"/>
  <c r="F2430" i="1"/>
  <c r="E2430" i="1"/>
  <c r="D2430" i="1"/>
  <c r="C2430" i="1"/>
  <c r="B2430" i="1"/>
  <c r="A2430" i="1"/>
  <c r="F2429" i="1"/>
  <c r="E2429" i="1"/>
  <c r="D2429" i="1"/>
  <c r="C2429" i="1"/>
  <c r="B2429" i="1"/>
  <c r="A2429" i="1"/>
  <c r="F2428" i="1"/>
  <c r="E2428" i="1"/>
  <c r="D2428" i="1"/>
  <c r="C2428" i="1"/>
  <c r="B2428" i="1"/>
  <c r="A2428" i="1"/>
  <c r="F2427" i="1"/>
  <c r="E2427" i="1"/>
  <c r="D2427" i="1"/>
  <c r="C2427" i="1"/>
  <c r="B2427" i="1"/>
  <c r="A2427" i="1"/>
  <c r="F2426" i="1"/>
  <c r="E2426" i="1"/>
  <c r="D2426" i="1"/>
  <c r="C2426" i="1"/>
  <c r="B2426" i="1"/>
  <c r="A2426" i="1"/>
  <c r="F2425" i="1"/>
  <c r="E2425" i="1"/>
  <c r="D2425" i="1"/>
  <c r="C2425" i="1"/>
  <c r="B2425" i="1"/>
  <c r="A2425" i="1"/>
  <c r="F2424" i="1"/>
  <c r="E2424" i="1"/>
  <c r="D2424" i="1"/>
  <c r="C2424" i="1"/>
  <c r="B2424" i="1"/>
  <c r="A2424" i="1"/>
  <c r="F2423" i="1"/>
  <c r="E2423" i="1"/>
  <c r="D2423" i="1"/>
  <c r="C2423" i="1"/>
  <c r="B2423" i="1"/>
  <c r="A2423" i="1"/>
  <c r="F2422" i="1"/>
  <c r="E2422" i="1"/>
  <c r="D2422" i="1"/>
  <c r="C2422" i="1"/>
  <c r="B2422" i="1"/>
  <c r="A2422" i="1"/>
  <c r="F2421" i="1"/>
  <c r="E2421" i="1"/>
  <c r="D2421" i="1"/>
  <c r="C2421" i="1"/>
  <c r="B2421" i="1"/>
  <c r="A2421" i="1"/>
  <c r="F2420" i="1"/>
  <c r="E2420" i="1"/>
  <c r="D2420" i="1"/>
  <c r="C2420" i="1"/>
  <c r="B2420" i="1"/>
  <c r="A2420" i="1"/>
  <c r="F2419" i="1"/>
  <c r="E2419" i="1"/>
  <c r="D2419" i="1"/>
  <c r="C2419" i="1"/>
  <c r="B2419" i="1"/>
  <c r="A2419" i="1"/>
  <c r="F2418" i="1"/>
  <c r="E2418" i="1"/>
  <c r="D2418" i="1"/>
  <c r="C2418" i="1"/>
  <c r="B2418" i="1"/>
  <c r="A2418" i="1"/>
  <c r="F2417" i="1"/>
  <c r="E2417" i="1"/>
  <c r="D2417" i="1"/>
  <c r="C2417" i="1"/>
  <c r="B2417" i="1"/>
  <c r="A2417" i="1"/>
  <c r="F2416" i="1"/>
  <c r="E2416" i="1"/>
  <c r="D2416" i="1"/>
  <c r="C2416" i="1"/>
  <c r="B2416" i="1"/>
  <c r="A2416" i="1"/>
  <c r="F2415" i="1"/>
  <c r="E2415" i="1"/>
  <c r="D2415" i="1"/>
  <c r="C2415" i="1"/>
  <c r="B2415" i="1"/>
  <c r="A2415" i="1"/>
  <c r="F2414" i="1"/>
  <c r="E2414" i="1"/>
  <c r="D2414" i="1"/>
  <c r="C2414" i="1"/>
  <c r="B2414" i="1"/>
  <c r="A2414" i="1"/>
  <c r="F2413" i="1"/>
  <c r="E2413" i="1"/>
  <c r="D2413" i="1"/>
  <c r="C2413" i="1"/>
  <c r="B2413" i="1"/>
  <c r="A2413" i="1"/>
  <c r="F2412" i="1"/>
  <c r="E2412" i="1"/>
  <c r="D2412" i="1"/>
  <c r="C2412" i="1"/>
  <c r="B2412" i="1"/>
  <c r="A2412" i="1"/>
  <c r="F2411" i="1"/>
  <c r="E2411" i="1"/>
  <c r="D2411" i="1"/>
  <c r="C2411" i="1"/>
  <c r="B2411" i="1"/>
  <c r="A2411" i="1"/>
  <c r="F2410" i="1"/>
  <c r="E2410" i="1"/>
  <c r="D2410" i="1"/>
  <c r="C2410" i="1"/>
  <c r="B2410" i="1"/>
  <c r="A2410" i="1"/>
  <c r="F2409" i="1"/>
  <c r="E2409" i="1"/>
  <c r="D2409" i="1"/>
  <c r="C2409" i="1"/>
  <c r="B2409" i="1"/>
  <c r="A2409" i="1"/>
  <c r="F2408" i="1"/>
  <c r="E2408" i="1"/>
  <c r="D2408" i="1"/>
  <c r="C2408" i="1"/>
  <c r="B2408" i="1"/>
  <c r="A2408" i="1"/>
  <c r="F2407" i="1"/>
  <c r="E2407" i="1"/>
  <c r="D2407" i="1"/>
  <c r="C2407" i="1"/>
  <c r="B2407" i="1"/>
  <c r="A2407" i="1"/>
  <c r="F2406" i="1"/>
  <c r="E2406" i="1"/>
  <c r="D2406" i="1"/>
  <c r="C2406" i="1"/>
  <c r="B2406" i="1"/>
  <c r="A2406" i="1"/>
  <c r="F2405" i="1"/>
  <c r="E2405" i="1"/>
  <c r="D2405" i="1"/>
  <c r="C2405" i="1"/>
  <c r="B2405" i="1"/>
  <c r="A2405" i="1"/>
  <c r="F2404" i="1"/>
  <c r="E2404" i="1"/>
  <c r="D2404" i="1"/>
  <c r="C2404" i="1"/>
  <c r="B2404" i="1"/>
  <c r="A2404" i="1"/>
  <c r="F2403" i="1"/>
  <c r="E2403" i="1"/>
  <c r="D2403" i="1"/>
  <c r="C2403" i="1"/>
  <c r="B2403" i="1"/>
  <c r="A2403" i="1"/>
  <c r="F2402" i="1"/>
  <c r="E2402" i="1"/>
  <c r="D2402" i="1"/>
  <c r="C2402" i="1"/>
  <c r="B2402" i="1"/>
  <c r="A2402" i="1"/>
  <c r="F2401" i="1"/>
  <c r="E2401" i="1"/>
  <c r="D2401" i="1"/>
  <c r="C2401" i="1"/>
  <c r="B2401" i="1"/>
  <c r="A2401" i="1"/>
  <c r="F2400" i="1"/>
  <c r="E2400" i="1"/>
  <c r="D2400" i="1"/>
  <c r="C2400" i="1"/>
  <c r="B2400" i="1"/>
  <c r="A2400" i="1"/>
  <c r="F2399" i="1"/>
  <c r="E2399" i="1"/>
  <c r="D2399" i="1"/>
  <c r="C2399" i="1"/>
  <c r="B2399" i="1"/>
  <c r="A2399" i="1"/>
  <c r="F2398" i="1"/>
  <c r="E2398" i="1"/>
  <c r="D2398" i="1"/>
  <c r="C2398" i="1"/>
  <c r="B2398" i="1"/>
  <c r="A2398" i="1"/>
  <c r="F2397" i="1"/>
  <c r="E2397" i="1"/>
  <c r="D2397" i="1"/>
  <c r="C2397" i="1"/>
  <c r="B2397" i="1"/>
  <c r="A2397" i="1"/>
  <c r="F2396" i="1"/>
  <c r="E2396" i="1"/>
  <c r="D2396" i="1"/>
  <c r="C2396" i="1"/>
  <c r="B2396" i="1"/>
  <c r="A2396" i="1"/>
  <c r="F2395" i="1"/>
  <c r="E2395" i="1"/>
  <c r="D2395" i="1"/>
  <c r="C2395" i="1"/>
  <c r="B2395" i="1"/>
  <c r="A2395" i="1"/>
  <c r="F2394" i="1"/>
  <c r="E2394" i="1"/>
  <c r="D2394" i="1"/>
  <c r="C2394" i="1"/>
  <c r="B2394" i="1"/>
  <c r="A2394" i="1"/>
  <c r="F2393" i="1"/>
  <c r="E2393" i="1"/>
  <c r="D2393" i="1"/>
  <c r="C2393" i="1"/>
  <c r="B2393" i="1"/>
  <c r="A2393" i="1"/>
  <c r="F2392" i="1"/>
  <c r="E2392" i="1"/>
  <c r="D2392" i="1"/>
  <c r="C2392" i="1"/>
  <c r="B2392" i="1"/>
  <c r="A2392" i="1"/>
  <c r="F2391" i="1"/>
  <c r="E2391" i="1"/>
  <c r="D2391" i="1"/>
  <c r="C2391" i="1"/>
  <c r="B2391" i="1"/>
  <c r="A2391" i="1"/>
  <c r="F2390" i="1"/>
  <c r="E2390" i="1"/>
  <c r="D2390" i="1"/>
  <c r="C2390" i="1"/>
  <c r="B2390" i="1"/>
  <c r="A2390" i="1"/>
  <c r="F2389" i="1"/>
  <c r="E2389" i="1"/>
  <c r="D2389" i="1"/>
  <c r="C2389" i="1"/>
  <c r="B2389" i="1"/>
  <c r="A2389" i="1"/>
  <c r="F2388" i="1"/>
  <c r="E2388" i="1"/>
  <c r="D2388" i="1"/>
  <c r="C2388" i="1"/>
  <c r="B2388" i="1"/>
  <c r="A2388" i="1"/>
  <c r="F2387" i="1"/>
  <c r="E2387" i="1"/>
  <c r="D2387" i="1"/>
  <c r="C2387" i="1"/>
  <c r="B2387" i="1"/>
  <c r="A2387" i="1"/>
  <c r="F2386" i="1"/>
  <c r="E2386" i="1"/>
  <c r="D2386" i="1"/>
  <c r="C2386" i="1"/>
  <c r="B2386" i="1"/>
  <c r="A2386" i="1"/>
  <c r="F2385" i="1"/>
  <c r="E2385" i="1"/>
  <c r="D2385" i="1"/>
  <c r="C2385" i="1"/>
  <c r="B2385" i="1"/>
  <c r="A2385" i="1"/>
  <c r="F2384" i="1"/>
  <c r="E2384" i="1"/>
  <c r="D2384" i="1"/>
  <c r="C2384" i="1"/>
  <c r="B2384" i="1"/>
  <c r="A2384" i="1"/>
  <c r="F2383" i="1"/>
  <c r="E2383" i="1"/>
  <c r="D2383" i="1"/>
  <c r="C2383" i="1"/>
  <c r="B2383" i="1"/>
  <c r="A2383" i="1"/>
  <c r="F2382" i="1"/>
  <c r="E2382" i="1"/>
  <c r="D2382" i="1"/>
  <c r="C2382" i="1"/>
  <c r="B2382" i="1"/>
  <c r="A2382" i="1"/>
  <c r="F2381" i="1"/>
  <c r="E2381" i="1"/>
  <c r="D2381" i="1"/>
  <c r="C2381" i="1"/>
  <c r="B2381" i="1"/>
  <c r="A2381" i="1"/>
  <c r="F2380" i="1"/>
  <c r="E2380" i="1"/>
  <c r="D2380" i="1"/>
  <c r="C2380" i="1"/>
  <c r="B2380" i="1"/>
  <c r="A2380" i="1"/>
  <c r="F2379" i="1"/>
  <c r="E2379" i="1"/>
  <c r="D2379" i="1"/>
  <c r="C2379" i="1"/>
  <c r="B2379" i="1"/>
  <c r="A2379" i="1"/>
  <c r="F2378" i="1"/>
  <c r="E2378" i="1"/>
  <c r="D2378" i="1"/>
  <c r="C2378" i="1"/>
  <c r="B2378" i="1"/>
  <c r="A2378" i="1"/>
  <c r="F2377" i="1"/>
  <c r="E2377" i="1"/>
  <c r="D2377" i="1"/>
  <c r="C2377" i="1"/>
  <c r="B2377" i="1"/>
  <c r="A2377" i="1"/>
  <c r="F2376" i="1"/>
  <c r="E2376" i="1"/>
  <c r="D2376" i="1"/>
  <c r="C2376" i="1"/>
  <c r="B2376" i="1"/>
  <c r="A2376" i="1"/>
  <c r="F2375" i="1"/>
  <c r="E2375" i="1"/>
  <c r="D2375" i="1"/>
  <c r="C2375" i="1"/>
  <c r="B2375" i="1"/>
  <c r="A2375" i="1"/>
  <c r="F2374" i="1"/>
  <c r="E2374" i="1"/>
  <c r="D2374" i="1"/>
  <c r="C2374" i="1"/>
  <c r="B2374" i="1"/>
  <c r="A2374" i="1"/>
  <c r="F2373" i="1"/>
  <c r="E2373" i="1"/>
  <c r="D2373" i="1"/>
  <c r="C2373" i="1"/>
  <c r="B2373" i="1"/>
  <c r="A2373" i="1"/>
  <c r="F2372" i="1"/>
  <c r="E2372" i="1"/>
  <c r="D2372" i="1"/>
  <c r="C2372" i="1"/>
  <c r="B2372" i="1"/>
  <c r="A2372" i="1"/>
  <c r="F2371" i="1"/>
  <c r="E2371" i="1"/>
  <c r="D2371" i="1"/>
  <c r="C2371" i="1"/>
  <c r="B2371" i="1"/>
  <c r="A2371" i="1"/>
  <c r="F2370" i="1"/>
  <c r="E2370" i="1"/>
  <c r="D2370" i="1"/>
  <c r="C2370" i="1"/>
  <c r="B2370" i="1"/>
  <c r="A2370" i="1"/>
  <c r="F2369" i="1"/>
  <c r="E2369" i="1"/>
  <c r="D2369" i="1"/>
  <c r="C2369" i="1"/>
  <c r="B2369" i="1"/>
  <c r="A2369" i="1"/>
  <c r="F2368" i="1"/>
  <c r="E2368" i="1"/>
  <c r="D2368" i="1"/>
  <c r="C2368" i="1"/>
  <c r="B2368" i="1"/>
  <c r="A2368" i="1"/>
  <c r="F2367" i="1"/>
  <c r="E2367" i="1"/>
  <c r="D2367" i="1"/>
  <c r="C2367" i="1"/>
  <c r="B2367" i="1"/>
  <c r="A2367" i="1"/>
  <c r="F2366" i="1"/>
  <c r="E2366" i="1"/>
  <c r="D2366" i="1"/>
  <c r="C2366" i="1"/>
  <c r="B2366" i="1"/>
  <c r="A2366" i="1"/>
  <c r="F2365" i="1"/>
  <c r="E2365" i="1"/>
  <c r="D2365" i="1"/>
  <c r="C2365" i="1"/>
  <c r="B2365" i="1"/>
  <c r="A2365" i="1"/>
  <c r="F2364" i="1"/>
  <c r="E2364" i="1"/>
  <c r="D2364" i="1"/>
  <c r="C2364" i="1"/>
  <c r="B2364" i="1"/>
  <c r="A2364" i="1"/>
  <c r="F2363" i="1"/>
  <c r="E2363" i="1"/>
  <c r="D2363" i="1"/>
  <c r="C2363" i="1"/>
  <c r="B2363" i="1"/>
  <c r="A2363" i="1"/>
  <c r="F2362" i="1"/>
  <c r="E2362" i="1"/>
  <c r="D2362" i="1"/>
  <c r="C2362" i="1"/>
  <c r="B2362" i="1"/>
  <c r="A2362" i="1"/>
  <c r="F2361" i="1"/>
  <c r="E2361" i="1"/>
  <c r="D2361" i="1"/>
  <c r="C2361" i="1"/>
  <c r="B2361" i="1"/>
  <c r="A2361" i="1"/>
  <c r="F2360" i="1"/>
  <c r="E2360" i="1"/>
  <c r="D2360" i="1"/>
  <c r="C2360" i="1"/>
  <c r="B2360" i="1"/>
  <c r="A2360" i="1"/>
  <c r="F2359" i="1"/>
  <c r="E2359" i="1"/>
  <c r="D2359" i="1"/>
  <c r="C2359" i="1"/>
  <c r="B2359" i="1"/>
  <c r="A2359" i="1"/>
  <c r="F2358" i="1"/>
  <c r="E2358" i="1"/>
  <c r="D2358" i="1"/>
  <c r="C2358" i="1"/>
  <c r="B2358" i="1"/>
  <c r="A2358" i="1"/>
  <c r="F2357" i="1"/>
  <c r="E2357" i="1"/>
  <c r="D2357" i="1"/>
  <c r="C2357" i="1"/>
  <c r="B2357" i="1"/>
  <c r="A2357" i="1"/>
  <c r="F2356" i="1"/>
  <c r="E2356" i="1"/>
  <c r="D2356" i="1"/>
  <c r="C2356" i="1"/>
  <c r="B2356" i="1"/>
  <c r="A2356" i="1"/>
  <c r="F2355" i="1"/>
  <c r="E2355" i="1"/>
  <c r="D2355" i="1"/>
  <c r="C2355" i="1"/>
  <c r="B2355" i="1"/>
  <c r="A2355" i="1"/>
  <c r="F2354" i="1"/>
  <c r="E2354" i="1"/>
  <c r="D2354" i="1"/>
  <c r="C2354" i="1"/>
  <c r="B2354" i="1"/>
  <c r="A2354" i="1"/>
  <c r="F2353" i="1"/>
  <c r="E2353" i="1"/>
  <c r="D2353" i="1"/>
  <c r="C2353" i="1"/>
  <c r="B2353" i="1"/>
  <c r="A2353" i="1"/>
  <c r="F2352" i="1"/>
  <c r="E2352" i="1"/>
  <c r="D2352" i="1"/>
  <c r="C2352" i="1"/>
  <c r="B2352" i="1"/>
  <c r="A2352" i="1"/>
  <c r="F2351" i="1"/>
  <c r="E2351" i="1"/>
  <c r="D2351" i="1"/>
  <c r="C2351" i="1"/>
  <c r="B2351" i="1"/>
  <c r="A2351" i="1"/>
  <c r="F2350" i="1"/>
  <c r="E2350" i="1"/>
  <c r="D2350" i="1"/>
  <c r="C2350" i="1"/>
  <c r="B2350" i="1"/>
  <c r="A2350" i="1"/>
  <c r="F2349" i="1"/>
  <c r="E2349" i="1"/>
  <c r="D2349" i="1"/>
  <c r="C2349" i="1"/>
  <c r="B2349" i="1"/>
  <c r="A2349" i="1"/>
  <c r="F2348" i="1"/>
  <c r="E2348" i="1"/>
  <c r="D2348" i="1"/>
  <c r="C2348" i="1"/>
  <c r="B2348" i="1"/>
  <c r="A2348" i="1"/>
  <c r="F2347" i="1"/>
  <c r="E2347" i="1"/>
  <c r="D2347" i="1"/>
  <c r="C2347" i="1"/>
  <c r="B2347" i="1"/>
  <c r="A2347" i="1"/>
  <c r="F2346" i="1"/>
  <c r="E2346" i="1"/>
  <c r="D2346" i="1"/>
  <c r="C2346" i="1"/>
  <c r="B2346" i="1"/>
  <c r="A2346" i="1"/>
  <c r="F2345" i="1"/>
  <c r="E2345" i="1"/>
  <c r="D2345" i="1"/>
  <c r="C2345" i="1"/>
  <c r="B2345" i="1"/>
  <c r="A2345" i="1"/>
  <c r="F2344" i="1"/>
  <c r="E2344" i="1"/>
  <c r="D2344" i="1"/>
  <c r="C2344" i="1"/>
  <c r="B2344" i="1"/>
  <c r="A2344" i="1"/>
  <c r="F2343" i="1"/>
  <c r="E2343" i="1"/>
  <c r="D2343" i="1"/>
  <c r="C2343" i="1"/>
  <c r="B2343" i="1"/>
  <c r="A2343" i="1"/>
  <c r="F2342" i="1"/>
  <c r="E2342" i="1"/>
  <c r="D2342" i="1"/>
  <c r="C2342" i="1"/>
  <c r="B2342" i="1"/>
  <c r="A2342" i="1"/>
  <c r="F2341" i="1"/>
  <c r="E2341" i="1"/>
  <c r="D2341" i="1"/>
  <c r="C2341" i="1"/>
  <c r="B2341" i="1"/>
  <c r="A2341" i="1"/>
  <c r="F2340" i="1"/>
  <c r="E2340" i="1"/>
  <c r="D2340" i="1"/>
  <c r="C2340" i="1"/>
  <c r="B2340" i="1"/>
  <c r="A2340" i="1"/>
  <c r="F2339" i="1"/>
  <c r="E2339" i="1"/>
  <c r="D2339" i="1"/>
  <c r="C2339" i="1"/>
  <c r="B2339" i="1"/>
  <c r="A2339" i="1"/>
  <c r="F2338" i="1"/>
  <c r="E2338" i="1"/>
  <c r="D2338" i="1"/>
  <c r="C2338" i="1"/>
  <c r="B2338" i="1"/>
  <c r="A2338" i="1"/>
  <c r="F2337" i="1"/>
  <c r="E2337" i="1"/>
  <c r="D2337" i="1"/>
  <c r="C2337" i="1"/>
  <c r="B2337" i="1"/>
  <c r="A2337" i="1"/>
  <c r="F2336" i="1"/>
  <c r="E2336" i="1"/>
  <c r="D2336" i="1"/>
  <c r="C2336" i="1"/>
  <c r="B2336" i="1"/>
  <c r="A2336" i="1"/>
  <c r="F2335" i="1"/>
  <c r="E2335" i="1"/>
  <c r="D2335" i="1"/>
  <c r="C2335" i="1"/>
  <c r="B2335" i="1"/>
  <c r="A2335" i="1"/>
  <c r="F2334" i="1"/>
  <c r="E2334" i="1"/>
  <c r="D2334" i="1"/>
  <c r="C2334" i="1"/>
  <c r="B2334" i="1"/>
  <c r="A2334" i="1"/>
  <c r="F2333" i="1"/>
  <c r="E2333" i="1"/>
  <c r="D2333" i="1"/>
  <c r="C2333" i="1"/>
  <c r="B2333" i="1"/>
  <c r="A2333" i="1"/>
  <c r="F2332" i="1"/>
  <c r="E2332" i="1"/>
  <c r="D2332" i="1"/>
  <c r="C2332" i="1"/>
  <c r="B2332" i="1"/>
  <c r="A2332" i="1"/>
  <c r="F2331" i="1"/>
  <c r="E2331" i="1"/>
  <c r="D2331" i="1"/>
  <c r="C2331" i="1"/>
  <c r="B2331" i="1"/>
  <c r="A2331" i="1"/>
  <c r="F2330" i="1"/>
  <c r="E2330" i="1"/>
  <c r="D2330" i="1"/>
  <c r="C2330" i="1"/>
  <c r="B2330" i="1"/>
  <c r="A2330" i="1"/>
  <c r="F2329" i="1"/>
  <c r="E2329" i="1"/>
  <c r="D2329" i="1"/>
  <c r="C2329" i="1"/>
  <c r="B2329" i="1"/>
  <c r="A2329" i="1"/>
  <c r="F2328" i="1"/>
  <c r="E2328" i="1"/>
  <c r="D2328" i="1"/>
  <c r="C2328" i="1"/>
  <c r="B2328" i="1"/>
  <c r="A2328" i="1"/>
  <c r="F2327" i="1"/>
  <c r="E2327" i="1"/>
  <c r="D2327" i="1"/>
  <c r="C2327" i="1"/>
  <c r="B2327" i="1"/>
  <c r="A2327" i="1"/>
  <c r="F2326" i="1"/>
  <c r="E2326" i="1"/>
  <c r="D2326" i="1"/>
  <c r="C2326" i="1"/>
  <c r="B2326" i="1"/>
  <c r="A2326" i="1"/>
  <c r="F2325" i="1"/>
  <c r="E2325" i="1"/>
  <c r="D2325" i="1"/>
  <c r="C2325" i="1"/>
  <c r="B2325" i="1"/>
  <c r="A2325" i="1"/>
  <c r="F2324" i="1"/>
  <c r="E2324" i="1"/>
  <c r="D2324" i="1"/>
  <c r="C2324" i="1"/>
  <c r="B2324" i="1"/>
  <c r="A2324" i="1"/>
  <c r="F2323" i="1"/>
  <c r="E2323" i="1"/>
  <c r="D2323" i="1"/>
  <c r="C2323" i="1"/>
  <c r="B2323" i="1"/>
  <c r="A2323" i="1"/>
  <c r="F2322" i="1"/>
  <c r="E2322" i="1"/>
  <c r="D2322" i="1"/>
  <c r="C2322" i="1"/>
  <c r="B2322" i="1"/>
  <c r="A2322" i="1"/>
  <c r="F2321" i="1"/>
  <c r="E2321" i="1"/>
  <c r="D2321" i="1"/>
  <c r="C2321" i="1"/>
  <c r="B2321" i="1"/>
  <c r="A2321" i="1"/>
  <c r="F2320" i="1"/>
  <c r="E2320" i="1"/>
  <c r="D2320" i="1"/>
  <c r="C2320" i="1"/>
  <c r="B2320" i="1"/>
  <c r="A2320" i="1"/>
  <c r="F2319" i="1"/>
  <c r="E2319" i="1"/>
  <c r="D2319" i="1"/>
  <c r="C2319" i="1"/>
  <c r="B2319" i="1"/>
  <c r="A2319" i="1"/>
  <c r="F2318" i="1"/>
  <c r="E2318" i="1"/>
  <c r="D2318" i="1"/>
  <c r="C2318" i="1"/>
  <c r="B2318" i="1"/>
  <c r="A2318" i="1"/>
  <c r="F2317" i="1"/>
  <c r="E2317" i="1"/>
  <c r="D2317" i="1"/>
  <c r="C2317" i="1"/>
  <c r="B2317" i="1"/>
  <c r="A2317" i="1"/>
  <c r="F2316" i="1"/>
  <c r="E2316" i="1"/>
  <c r="D2316" i="1"/>
  <c r="C2316" i="1"/>
  <c r="B2316" i="1"/>
  <c r="A2316" i="1"/>
  <c r="F2315" i="1"/>
  <c r="E2315" i="1"/>
  <c r="D2315" i="1"/>
  <c r="C2315" i="1"/>
  <c r="B2315" i="1"/>
  <c r="A2315" i="1"/>
  <c r="F2314" i="1"/>
  <c r="E2314" i="1"/>
  <c r="D2314" i="1"/>
  <c r="C2314" i="1"/>
  <c r="B2314" i="1"/>
  <c r="A2314" i="1"/>
  <c r="F2313" i="1"/>
  <c r="E2313" i="1"/>
  <c r="D2313" i="1"/>
  <c r="C2313" i="1"/>
  <c r="B2313" i="1"/>
  <c r="A2313" i="1"/>
  <c r="F2312" i="1"/>
  <c r="E2312" i="1"/>
  <c r="D2312" i="1"/>
  <c r="C2312" i="1"/>
  <c r="B2312" i="1"/>
  <c r="A2312" i="1"/>
  <c r="F2311" i="1"/>
  <c r="E2311" i="1"/>
  <c r="D2311" i="1"/>
  <c r="C2311" i="1"/>
  <c r="B2311" i="1"/>
  <c r="A2311" i="1"/>
  <c r="F2310" i="1"/>
  <c r="E2310" i="1"/>
  <c r="D2310" i="1"/>
  <c r="C2310" i="1"/>
  <c r="B2310" i="1"/>
  <c r="A2310" i="1"/>
  <c r="F2309" i="1"/>
  <c r="E2309" i="1"/>
  <c r="D2309" i="1"/>
  <c r="C2309" i="1"/>
  <c r="B2309" i="1"/>
  <c r="A2309" i="1"/>
  <c r="F2308" i="1"/>
  <c r="E2308" i="1"/>
  <c r="D2308" i="1"/>
  <c r="C2308" i="1"/>
  <c r="B2308" i="1"/>
  <c r="A2308" i="1"/>
  <c r="F2307" i="1"/>
  <c r="E2307" i="1"/>
  <c r="D2307" i="1"/>
  <c r="C2307" i="1"/>
  <c r="B2307" i="1"/>
  <c r="A2307" i="1"/>
  <c r="F2306" i="1"/>
  <c r="E2306" i="1"/>
  <c r="D2306" i="1"/>
  <c r="C2306" i="1"/>
  <c r="B2306" i="1"/>
  <c r="A2306" i="1"/>
  <c r="F2305" i="1"/>
  <c r="E2305" i="1"/>
  <c r="D2305" i="1"/>
  <c r="C2305" i="1"/>
  <c r="B2305" i="1"/>
  <c r="A2305" i="1"/>
  <c r="F2304" i="1"/>
  <c r="E2304" i="1"/>
  <c r="D2304" i="1"/>
  <c r="C2304" i="1"/>
  <c r="B2304" i="1"/>
  <c r="A2304" i="1"/>
  <c r="F2303" i="1"/>
  <c r="E2303" i="1"/>
  <c r="D2303" i="1"/>
  <c r="C2303" i="1"/>
  <c r="B2303" i="1"/>
  <c r="A2303" i="1"/>
  <c r="F2302" i="1"/>
  <c r="E2302" i="1"/>
  <c r="D2302" i="1"/>
  <c r="C2302" i="1"/>
  <c r="B2302" i="1"/>
  <c r="A2302" i="1"/>
  <c r="F2301" i="1"/>
  <c r="E2301" i="1"/>
  <c r="D2301" i="1"/>
  <c r="C2301" i="1"/>
  <c r="B2301" i="1"/>
  <c r="A2301" i="1"/>
  <c r="F2300" i="1"/>
  <c r="E2300" i="1"/>
  <c r="D2300" i="1"/>
  <c r="C2300" i="1"/>
  <c r="B2300" i="1"/>
  <c r="A2300" i="1"/>
  <c r="F2299" i="1"/>
  <c r="E2299" i="1"/>
  <c r="D2299" i="1"/>
  <c r="C2299" i="1"/>
  <c r="B2299" i="1"/>
  <c r="A2299" i="1"/>
  <c r="F2298" i="1"/>
  <c r="E2298" i="1"/>
  <c r="D2298" i="1"/>
  <c r="C2298" i="1"/>
  <c r="B2298" i="1"/>
  <c r="A2298" i="1"/>
  <c r="F2297" i="1"/>
  <c r="E2297" i="1"/>
  <c r="D2297" i="1"/>
  <c r="C2297" i="1"/>
  <c r="B2297" i="1"/>
  <c r="A2297" i="1"/>
  <c r="F2296" i="1"/>
  <c r="E2296" i="1"/>
  <c r="D2296" i="1"/>
  <c r="C2296" i="1"/>
  <c r="B2296" i="1"/>
  <c r="A2296" i="1"/>
  <c r="F2295" i="1"/>
  <c r="E2295" i="1"/>
  <c r="D2295" i="1"/>
  <c r="C2295" i="1"/>
  <c r="B2295" i="1"/>
  <c r="A2295" i="1"/>
  <c r="F2294" i="1"/>
  <c r="E2294" i="1"/>
  <c r="D2294" i="1"/>
  <c r="C2294" i="1"/>
  <c r="B2294" i="1"/>
  <c r="A2294" i="1"/>
  <c r="F2293" i="1"/>
  <c r="E2293" i="1"/>
  <c r="D2293" i="1"/>
  <c r="C2293" i="1"/>
  <c r="B2293" i="1"/>
  <c r="A2293" i="1"/>
  <c r="F2292" i="1"/>
  <c r="E2292" i="1"/>
  <c r="D2292" i="1"/>
  <c r="C2292" i="1"/>
  <c r="B2292" i="1"/>
  <c r="A2292" i="1"/>
  <c r="F2291" i="1"/>
  <c r="E2291" i="1"/>
  <c r="D2291" i="1"/>
  <c r="C2291" i="1"/>
  <c r="B2291" i="1"/>
  <c r="A2291" i="1"/>
  <c r="F2290" i="1"/>
  <c r="E2290" i="1"/>
  <c r="D2290" i="1"/>
  <c r="C2290" i="1"/>
  <c r="B2290" i="1"/>
  <c r="A2290" i="1"/>
  <c r="F2289" i="1"/>
  <c r="E2289" i="1"/>
  <c r="D2289" i="1"/>
  <c r="C2289" i="1"/>
  <c r="B2289" i="1"/>
  <c r="A2289" i="1"/>
  <c r="F2288" i="1"/>
  <c r="E2288" i="1"/>
  <c r="D2288" i="1"/>
  <c r="C2288" i="1"/>
  <c r="B2288" i="1"/>
  <c r="A2288" i="1"/>
  <c r="F2287" i="1"/>
  <c r="E2287" i="1"/>
  <c r="D2287" i="1"/>
  <c r="C2287" i="1"/>
  <c r="B2287" i="1"/>
  <c r="A2287" i="1"/>
  <c r="F2286" i="1"/>
  <c r="E2286" i="1"/>
  <c r="D2286" i="1"/>
  <c r="C2286" i="1"/>
  <c r="B2286" i="1"/>
  <c r="A2286" i="1"/>
  <c r="F2285" i="1"/>
  <c r="E2285" i="1"/>
  <c r="D2285" i="1"/>
  <c r="C2285" i="1"/>
  <c r="B2285" i="1"/>
  <c r="A2285" i="1"/>
  <c r="F2284" i="1"/>
  <c r="E2284" i="1"/>
  <c r="D2284" i="1"/>
  <c r="C2284" i="1"/>
  <c r="B2284" i="1"/>
  <c r="A2284" i="1"/>
  <c r="F2283" i="1"/>
  <c r="E2283" i="1"/>
  <c r="D2283" i="1"/>
  <c r="C2283" i="1"/>
  <c r="B2283" i="1"/>
  <c r="A2283" i="1"/>
  <c r="F2282" i="1"/>
  <c r="E2282" i="1"/>
  <c r="D2282" i="1"/>
  <c r="C2282" i="1"/>
  <c r="B2282" i="1"/>
  <c r="A2282" i="1"/>
  <c r="F2281" i="1"/>
  <c r="E2281" i="1"/>
  <c r="D2281" i="1"/>
  <c r="C2281" i="1"/>
  <c r="B2281" i="1"/>
  <c r="A2281" i="1"/>
  <c r="F2280" i="1"/>
  <c r="E2280" i="1"/>
  <c r="D2280" i="1"/>
  <c r="C2280" i="1"/>
  <c r="B2280" i="1"/>
  <c r="A2280" i="1"/>
  <c r="F2279" i="1"/>
  <c r="E2279" i="1"/>
  <c r="D2279" i="1"/>
  <c r="C2279" i="1"/>
  <c r="B2279" i="1"/>
  <c r="A2279" i="1"/>
  <c r="F2278" i="1"/>
  <c r="E2278" i="1"/>
  <c r="D2278" i="1"/>
  <c r="C2278" i="1"/>
  <c r="B2278" i="1"/>
  <c r="A2278" i="1"/>
  <c r="F2277" i="1"/>
  <c r="E2277" i="1"/>
  <c r="D2277" i="1"/>
  <c r="C2277" i="1"/>
  <c r="B2277" i="1"/>
  <c r="A2277" i="1"/>
  <c r="F2276" i="1"/>
  <c r="E2276" i="1"/>
  <c r="D2276" i="1"/>
  <c r="C2276" i="1"/>
  <c r="B2276" i="1"/>
  <c r="A2276" i="1"/>
  <c r="F2275" i="1"/>
  <c r="E2275" i="1"/>
  <c r="D2275" i="1"/>
  <c r="C2275" i="1"/>
  <c r="B2275" i="1"/>
  <c r="A2275" i="1"/>
  <c r="F2274" i="1"/>
  <c r="E2274" i="1"/>
  <c r="D2274" i="1"/>
  <c r="C2274" i="1"/>
  <c r="B2274" i="1"/>
  <c r="A2274" i="1"/>
  <c r="F2273" i="1"/>
  <c r="E2273" i="1"/>
  <c r="D2273" i="1"/>
  <c r="C2273" i="1"/>
  <c r="B2273" i="1"/>
  <c r="A2273" i="1"/>
  <c r="F2272" i="1"/>
  <c r="E2272" i="1"/>
  <c r="D2272" i="1"/>
  <c r="C2272" i="1"/>
  <c r="B2272" i="1"/>
  <c r="A2272" i="1"/>
  <c r="F2271" i="1"/>
  <c r="E2271" i="1"/>
  <c r="D2271" i="1"/>
  <c r="C2271" i="1"/>
  <c r="B2271" i="1"/>
  <c r="A2271" i="1"/>
  <c r="F2270" i="1"/>
  <c r="E2270" i="1"/>
  <c r="D2270" i="1"/>
  <c r="C2270" i="1"/>
  <c r="B2270" i="1"/>
  <c r="A2270" i="1"/>
  <c r="F2269" i="1"/>
  <c r="E2269" i="1"/>
  <c r="D2269" i="1"/>
  <c r="C2269" i="1"/>
  <c r="B2269" i="1"/>
  <c r="A2269" i="1"/>
  <c r="F2268" i="1"/>
  <c r="E2268" i="1"/>
  <c r="D2268" i="1"/>
  <c r="C2268" i="1"/>
  <c r="B2268" i="1"/>
  <c r="A2268" i="1"/>
  <c r="F2267" i="1"/>
  <c r="E2267" i="1"/>
  <c r="D2267" i="1"/>
  <c r="C2267" i="1"/>
  <c r="B2267" i="1"/>
  <c r="A2267" i="1"/>
  <c r="F2266" i="1"/>
  <c r="E2266" i="1"/>
  <c r="D2266" i="1"/>
  <c r="C2266" i="1"/>
  <c r="B2266" i="1"/>
  <c r="A2266" i="1"/>
  <c r="F2265" i="1"/>
  <c r="E2265" i="1"/>
  <c r="D2265" i="1"/>
  <c r="C2265" i="1"/>
  <c r="B2265" i="1"/>
  <c r="A2265" i="1"/>
  <c r="F2264" i="1"/>
  <c r="E2264" i="1"/>
  <c r="D2264" i="1"/>
  <c r="C2264" i="1"/>
  <c r="B2264" i="1"/>
  <c r="A2264" i="1"/>
  <c r="F2263" i="1"/>
  <c r="E2263" i="1"/>
  <c r="D2263" i="1"/>
  <c r="C2263" i="1"/>
  <c r="B2263" i="1"/>
  <c r="A2263" i="1"/>
  <c r="F2262" i="1"/>
  <c r="E2262" i="1"/>
  <c r="D2262" i="1"/>
  <c r="C2262" i="1"/>
  <c r="B2262" i="1"/>
  <c r="A2262" i="1"/>
  <c r="F2261" i="1"/>
  <c r="E2261" i="1"/>
  <c r="D2261" i="1"/>
  <c r="C2261" i="1"/>
  <c r="B2261" i="1"/>
  <c r="A2261" i="1"/>
  <c r="F2260" i="1"/>
  <c r="E2260" i="1"/>
  <c r="D2260" i="1"/>
  <c r="C2260" i="1"/>
  <c r="B2260" i="1"/>
  <c r="A2260" i="1"/>
  <c r="F2259" i="1"/>
  <c r="E2259" i="1"/>
  <c r="D2259" i="1"/>
  <c r="C2259" i="1"/>
  <c r="B2259" i="1"/>
  <c r="A2259" i="1"/>
  <c r="F2258" i="1"/>
  <c r="E2258" i="1"/>
  <c r="D2258" i="1"/>
  <c r="C2258" i="1"/>
  <c r="B2258" i="1"/>
  <c r="A2258" i="1"/>
  <c r="F2257" i="1"/>
  <c r="E2257" i="1"/>
  <c r="D2257" i="1"/>
  <c r="C2257" i="1"/>
  <c r="B2257" i="1"/>
  <c r="A2257" i="1"/>
  <c r="F2256" i="1"/>
  <c r="E2256" i="1"/>
  <c r="D2256" i="1"/>
  <c r="C2256" i="1"/>
  <c r="B2256" i="1"/>
  <c r="A2256" i="1"/>
  <c r="F2255" i="1"/>
  <c r="E2255" i="1"/>
  <c r="D2255" i="1"/>
  <c r="C2255" i="1"/>
  <c r="B2255" i="1"/>
  <c r="A2255" i="1"/>
  <c r="F2254" i="1"/>
  <c r="E2254" i="1"/>
  <c r="D2254" i="1"/>
  <c r="C2254" i="1"/>
  <c r="B2254" i="1"/>
  <c r="A2254" i="1"/>
  <c r="F2253" i="1"/>
  <c r="E2253" i="1"/>
  <c r="D2253" i="1"/>
  <c r="C2253" i="1"/>
  <c r="B2253" i="1"/>
  <c r="A2253" i="1"/>
  <c r="F2252" i="1"/>
  <c r="E2252" i="1"/>
  <c r="D2252" i="1"/>
  <c r="C2252" i="1"/>
  <c r="B2252" i="1"/>
  <c r="A2252" i="1"/>
  <c r="F2251" i="1"/>
  <c r="E2251" i="1"/>
  <c r="D2251" i="1"/>
  <c r="C2251" i="1"/>
  <c r="B2251" i="1"/>
  <c r="A2251" i="1"/>
  <c r="F2250" i="1"/>
  <c r="E2250" i="1"/>
  <c r="D2250" i="1"/>
  <c r="C2250" i="1"/>
  <c r="B2250" i="1"/>
  <c r="A2250" i="1"/>
  <c r="F2249" i="1"/>
  <c r="E2249" i="1"/>
  <c r="D2249" i="1"/>
  <c r="C2249" i="1"/>
  <c r="B2249" i="1"/>
  <c r="A2249" i="1"/>
  <c r="F2248" i="1"/>
  <c r="E2248" i="1"/>
  <c r="D2248" i="1"/>
  <c r="C2248" i="1"/>
  <c r="B2248" i="1"/>
  <c r="A2248" i="1"/>
  <c r="F2247" i="1"/>
  <c r="E2247" i="1"/>
  <c r="D2247" i="1"/>
  <c r="C2247" i="1"/>
  <c r="B2247" i="1"/>
  <c r="A2247" i="1"/>
  <c r="F2246" i="1"/>
  <c r="E2246" i="1"/>
  <c r="D2246" i="1"/>
  <c r="C2246" i="1"/>
  <c r="B2246" i="1"/>
  <c r="A2246" i="1"/>
  <c r="F2245" i="1"/>
  <c r="E2245" i="1"/>
  <c r="D2245" i="1"/>
  <c r="C2245" i="1"/>
  <c r="B2245" i="1"/>
  <c r="A2245" i="1"/>
  <c r="F2244" i="1"/>
  <c r="E2244" i="1"/>
  <c r="D2244" i="1"/>
  <c r="C2244" i="1"/>
  <c r="B2244" i="1"/>
  <c r="A2244" i="1"/>
  <c r="F2243" i="1"/>
  <c r="E2243" i="1"/>
  <c r="D2243" i="1"/>
  <c r="C2243" i="1"/>
  <c r="B2243" i="1"/>
  <c r="A2243" i="1"/>
  <c r="F2242" i="1"/>
  <c r="E2242" i="1"/>
  <c r="D2242" i="1"/>
  <c r="C2242" i="1"/>
  <c r="B2242" i="1"/>
  <c r="A2242" i="1"/>
  <c r="F2241" i="1"/>
  <c r="E2241" i="1"/>
  <c r="D2241" i="1"/>
  <c r="C2241" i="1"/>
  <c r="B2241" i="1"/>
  <c r="A2241" i="1"/>
  <c r="F2240" i="1"/>
  <c r="E2240" i="1"/>
  <c r="D2240" i="1"/>
  <c r="C2240" i="1"/>
  <c r="B2240" i="1"/>
  <c r="A2240" i="1"/>
  <c r="F2239" i="1"/>
  <c r="E2239" i="1"/>
  <c r="D2239" i="1"/>
  <c r="C2239" i="1"/>
  <c r="B2239" i="1"/>
  <c r="A2239" i="1"/>
  <c r="F2238" i="1"/>
  <c r="E2238" i="1"/>
  <c r="D2238" i="1"/>
  <c r="C2238" i="1"/>
  <c r="B2238" i="1"/>
  <c r="A2238" i="1"/>
  <c r="F2237" i="1"/>
  <c r="E2237" i="1"/>
  <c r="D2237" i="1"/>
  <c r="C2237" i="1"/>
  <c r="B2237" i="1"/>
  <c r="A2237" i="1"/>
  <c r="F2236" i="1"/>
  <c r="E2236" i="1"/>
  <c r="D2236" i="1"/>
  <c r="C2236" i="1"/>
  <c r="B2236" i="1"/>
  <c r="A2236" i="1"/>
  <c r="F2235" i="1"/>
  <c r="E2235" i="1"/>
  <c r="D2235" i="1"/>
  <c r="C2235" i="1"/>
  <c r="B2235" i="1"/>
  <c r="A2235" i="1"/>
  <c r="F2234" i="1"/>
  <c r="E2234" i="1"/>
  <c r="D2234" i="1"/>
  <c r="C2234" i="1"/>
  <c r="B2234" i="1"/>
  <c r="A2234" i="1"/>
  <c r="F2233" i="1"/>
  <c r="E2233" i="1"/>
  <c r="D2233" i="1"/>
  <c r="C2233" i="1"/>
  <c r="B2233" i="1"/>
  <c r="A2233" i="1"/>
  <c r="F2232" i="1"/>
  <c r="E2232" i="1"/>
  <c r="D2232" i="1"/>
  <c r="C2232" i="1"/>
  <c r="B2232" i="1"/>
  <c r="A2232" i="1"/>
  <c r="F2231" i="1"/>
  <c r="E2231" i="1"/>
  <c r="D2231" i="1"/>
  <c r="C2231" i="1"/>
  <c r="B2231" i="1"/>
  <c r="A2231" i="1"/>
  <c r="F2230" i="1"/>
  <c r="E2230" i="1"/>
  <c r="D2230" i="1"/>
  <c r="C2230" i="1"/>
  <c r="B2230" i="1"/>
  <c r="A2230" i="1"/>
  <c r="F2229" i="1"/>
  <c r="E2229" i="1"/>
  <c r="D2229" i="1"/>
  <c r="C2229" i="1"/>
  <c r="B2229" i="1"/>
  <c r="A2229" i="1"/>
  <c r="F2228" i="1"/>
  <c r="E2228" i="1"/>
  <c r="D2228" i="1"/>
  <c r="C2228" i="1"/>
  <c r="B2228" i="1"/>
  <c r="A2228" i="1"/>
  <c r="F2227" i="1"/>
  <c r="E2227" i="1"/>
  <c r="D2227" i="1"/>
  <c r="C2227" i="1"/>
  <c r="B2227" i="1"/>
  <c r="A2227" i="1"/>
  <c r="F2226" i="1"/>
  <c r="E2226" i="1"/>
  <c r="D2226" i="1"/>
  <c r="C2226" i="1"/>
  <c r="B2226" i="1"/>
  <c r="A2226" i="1"/>
  <c r="F2225" i="1"/>
  <c r="E2225" i="1"/>
  <c r="D2225" i="1"/>
  <c r="C2225" i="1"/>
  <c r="B2225" i="1"/>
  <c r="A2225" i="1"/>
  <c r="F2224" i="1"/>
  <c r="E2224" i="1"/>
  <c r="D2224" i="1"/>
  <c r="C2224" i="1"/>
  <c r="B2224" i="1"/>
  <c r="A2224" i="1"/>
  <c r="F2223" i="1"/>
  <c r="E2223" i="1"/>
  <c r="D2223" i="1"/>
  <c r="C2223" i="1"/>
  <c r="B2223" i="1"/>
  <c r="A2223" i="1"/>
  <c r="F2222" i="1"/>
  <c r="E2222" i="1"/>
  <c r="D2222" i="1"/>
  <c r="C2222" i="1"/>
  <c r="B2222" i="1"/>
  <c r="A2222" i="1"/>
  <c r="F2221" i="1"/>
  <c r="E2221" i="1"/>
  <c r="D2221" i="1"/>
  <c r="C2221" i="1"/>
  <c r="B2221" i="1"/>
  <c r="A2221" i="1"/>
  <c r="F2220" i="1"/>
  <c r="E2220" i="1"/>
  <c r="D2220" i="1"/>
  <c r="C2220" i="1"/>
  <c r="B2220" i="1"/>
  <c r="A2220" i="1"/>
  <c r="F2219" i="1"/>
  <c r="E2219" i="1"/>
  <c r="D2219" i="1"/>
  <c r="C2219" i="1"/>
  <c r="B2219" i="1"/>
  <c r="A2219" i="1"/>
  <c r="F2218" i="1"/>
  <c r="E2218" i="1"/>
  <c r="D2218" i="1"/>
  <c r="C2218" i="1"/>
  <c r="B2218" i="1"/>
  <c r="A2218" i="1"/>
  <c r="F2217" i="1"/>
  <c r="E2217" i="1"/>
  <c r="D2217" i="1"/>
  <c r="C2217" i="1"/>
  <c r="B2217" i="1"/>
  <c r="A2217" i="1"/>
  <c r="F2216" i="1"/>
  <c r="E2216" i="1"/>
  <c r="D2216" i="1"/>
  <c r="C2216" i="1"/>
  <c r="B2216" i="1"/>
  <c r="A2216" i="1"/>
  <c r="F2215" i="1"/>
  <c r="E2215" i="1"/>
  <c r="D2215" i="1"/>
  <c r="C2215" i="1"/>
  <c r="B2215" i="1"/>
  <c r="A2215" i="1"/>
  <c r="F2214" i="1"/>
  <c r="E2214" i="1"/>
  <c r="D2214" i="1"/>
  <c r="C2214" i="1"/>
  <c r="B2214" i="1"/>
  <c r="A2214" i="1"/>
  <c r="F2213" i="1"/>
  <c r="E2213" i="1"/>
  <c r="D2213" i="1"/>
  <c r="C2213" i="1"/>
  <c r="B2213" i="1"/>
  <c r="A2213" i="1"/>
  <c r="F2212" i="1"/>
  <c r="E2212" i="1"/>
  <c r="D2212" i="1"/>
  <c r="C2212" i="1"/>
  <c r="B2212" i="1"/>
  <c r="A2212" i="1"/>
  <c r="F2211" i="1"/>
  <c r="E2211" i="1"/>
  <c r="D2211" i="1"/>
  <c r="C2211" i="1"/>
  <c r="B2211" i="1"/>
  <c r="A2211" i="1"/>
  <c r="F2210" i="1"/>
  <c r="E2210" i="1"/>
  <c r="D2210" i="1"/>
  <c r="C2210" i="1"/>
  <c r="B2210" i="1"/>
  <c r="A2210" i="1"/>
  <c r="F2209" i="1"/>
  <c r="E2209" i="1"/>
  <c r="D2209" i="1"/>
  <c r="C2209" i="1"/>
  <c r="B2209" i="1"/>
  <c r="A2209" i="1"/>
  <c r="F2208" i="1"/>
  <c r="E2208" i="1"/>
  <c r="D2208" i="1"/>
  <c r="C2208" i="1"/>
  <c r="B2208" i="1"/>
  <c r="A2208" i="1"/>
  <c r="F2207" i="1"/>
  <c r="E2207" i="1"/>
  <c r="D2207" i="1"/>
  <c r="C2207" i="1"/>
  <c r="B2207" i="1"/>
  <c r="A2207" i="1"/>
  <c r="F2206" i="1"/>
  <c r="E2206" i="1"/>
  <c r="D2206" i="1"/>
  <c r="C2206" i="1"/>
  <c r="B2206" i="1"/>
  <c r="A2206" i="1"/>
  <c r="F2205" i="1"/>
  <c r="E2205" i="1"/>
  <c r="D2205" i="1"/>
  <c r="C2205" i="1"/>
  <c r="B2205" i="1"/>
  <c r="A2205" i="1"/>
  <c r="F2204" i="1"/>
  <c r="E2204" i="1"/>
  <c r="D2204" i="1"/>
  <c r="C2204" i="1"/>
  <c r="B2204" i="1"/>
  <c r="A2204" i="1"/>
  <c r="F2203" i="1"/>
  <c r="E2203" i="1"/>
  <c r="D2203" i="1"/>
  <c r="C2203" i="1"/>
  <c r="B2203" i="1"/>
  <c r="A2203" i="1"/>
  <c r="F2202" i="1"/>
  <c r="E2202" i="1"/>
  <c r="D2202" i="1"/>
  <c r="C2202" i="1"/>
  <c r="B2202" i="1"/>
  <c r="A2202" i="1"/>
  <c r="F2201" i="1"/>
  <c r="E2201" i="1"/>
  <c r="D2201" i="1"/>
  <c r="C2201" i="1"/>
  <c r="B2201" i="1"/>
  <c r="A2201" i="1"/>
  <c r="F2200" i="1"/>
  <c r="E2200" i="1"/>
  <c r="D2200" i="1"/>
  <c r="C2200" i="1"/>
  <c r="B2200" i="1"/>
  <c r="A2200" i="1"/>
  <c r="F2199" i="1"/>
  <c r="E2199" i="1"/>
  <c r="D2199" i="1"/>
  <c r="C2199" i="1"/>
  <c r="B2199" i="1"/>
  <c r="A2199" i="1"/>
  <c r="F2198" i="1"/>
  <c r="E2198" i="1"/>
  <c r="D2198" i="1"/>
  <c r="C2198" i="1"/>
  <c r="B2198" i="1"/>
  <c r="A2198" i="1"/>
  <c r="F2197" i="1"/>
  <c r="E2197" i="1"/>
  <c r="D2197" i="1"/>
  <c r="C2197" i="1"/>
  <c r="B2197" i="1"/>
  <c r="A2197" i="1"/>
  <c r="F2196" i="1"/>
  <c r="E2196" i="1"/>
  <c r="D2196" i="1"/>
  <c r="C2196" i="1"/>
  <c r="B2196" i="1"/>
  <c r="A2196" i="1"/>
  <c r="F2195" i="1"/>
  <c r="E2195" i="1"/>
  <c r="D2195" i="1"/>
  <c r="C2195" i="1"/>
  <c r="B2195" i="1"/>
  <c r="A2195" i="1"/>
  <c r="F2194" i="1"/>
  <c r="E2194" i="1"/>
  <c r="D2194" i="1"/>
  <c r="C2194" i="1"/>
  <c r="B2194" i="1"/>
  <c r="A2194" i="1"/>
  <c r="F2193" i="1"/>
  <c r="E2193" i="1"/>
  <c r="D2193" i="1"/>
  <c r="C2193" i="1"/>
  <c r="B2193" i="1"/>
  <c r="A2193" i="1"/>
  <c r="F2192" i="1"/>
  <c r="E2192" i="1"/>
  <c r="D2192" i="1"/>
  <c r="C2192" i="1"/>
  <c r="B2192" i="1"/>
  <c r="A2192" i="1"/>
  <c r="F2191" i="1"/>
  <c r="E2191" i="1"/>
  <c r="D2191" i="1"/>
  <c r="C2191" i="1"/>
  <c r="B2191" i="1"/>
  <c r="A2191" i="1"/>
  <c r="F2190" i="1"/>
  <c r="E2190" i="1"/>
  <c r="D2190" i="1"/>
  <c r="C2190" i="1"/>
  <c r="B2190" i="1"/>
  <c r="A2190" i="1"/>
  <c r="F2189" i="1"/>
  <c r="E2189" i="1"/>
  <c r="D2189" i="1"/>
  <c r="C2189" i="1"/>
  <c r="B2189" i="1"/>
  <c r="A2189" i="1"/>
  <c r="F2188" i="1"/>
  <c r="E2188" i="1"/>
  <c r="D2188" i="1"/>
  <c r="C2188" i="1"/>
  <c r="B2188" i="1"/>
  <c r="A2188" i="1"/>
  <c r="F2187" i="1"/>
  <c r="E2187" i="1"/>
  <c r="D2187" i="1"/>
  <c r="C2187" i="1"/>
  <c r="B2187" i="1"/>
  <c r="A2187" i="1"/>
  <c r="F2186" i="1"/>
  <c r="E2186" i="1"/>
  <c r="D2186" i="1"/>
  <c r="C2186" i="1"/>
  <c r="B2186" i="1"/>
  <c r="A2186" i="1"/>
  <c r="F2185" i="1"/>
  <c r="E2185" i="1"/>
  <c r="D2185" i="1"/>
  <c r="C2185" i="1"/>
  <c r="B2185" i="1"/>
  <c r="A2185" i="1"/>
  <c r="F2184" i="1"/>
  <c r="E2184" i="1"/>
  <c r="D2184" i="1"/>
  <c r="C2184" i="1"/>
  <c r="B2184" i="1"/>
  <c r="A2184" i="1"/>
  <c r="F2183" i="1"/>
  <c r="E2183" i="1"/>
  <c r="D2183" i="1"/>
  <c r="C2183" i="1"/>
  <c r="B2183" i="1"/>
  <c r="A2183" i="1"/>
  <c r="F2182" i="1"/>
  <c r="E2182" i="1"/>
  <c r="D2182" i="1"/>
  <c r="C2182" i="1"/>
  <c r="B2182" i="1"/>
  <c r="A2182" i="1"/>
  <c r="F2181" i="1"/>
  <c r="E2181" i="1"/>
  <c r="D2181" i="1"/>
  <c r="C2181" i="1"/>
  <c r="B2181" i="1"/>
  <c r="A2181" i="1"/>
  <c r="F2180" i="1"/>
  <c r="E2180" i="1"/>
  <c r="D2180" i="1"/>
  <c r="C2180" i="1"/>
  <c r="B2180" i="1"/>
  <c r="A2180" i="1"/>
  <c r="F2179" i="1"/>
  <c r="E2179" i="1"/>
  <c r="D2179" i="1"/>
  <c r="C2179" i="1"/>
  <c r="B2179" i="1"/>
  <c r="A2179" i="1"/>
  <c r="F2178" i="1"/>
  <c r="E2178" i="1"/>
  <c r="D2178" i="1"/>
  <c r="C2178" i="1"/>
  <c r="B2178" i="1"/>
  <c r="A2178" i="1"/>
  <c r="F2177" i="1"/>
  <c r="E2177" i="1"/>
  <c r="D2177" i="1"/>
  <c r="C2177" i="1"/>
  <c r="B2177" i="1"/>
  <c r="A2177" i="1"/>
  <c r="F2176" i="1"/>
  <c r="E2176" i="1"/>
  <c r="D2176" i="1"/>
  <c r="C2176" i="1"/>
  <c r="B2176" i="1"/>
  <c r="A2176" i="1"/>
  <c r="F2175" i="1"/>
  <c r="E2175" i="1"/>
  <c r="D2175" i="1"/>
  <c r="C2175" i="1"/>
  <c r="B2175" i="1"/>
  <c r="A2175" i="1"/>
  <c r="F2174" i="1"/>
  <c r="E2174" i="1"/>
  <c r="D2174" i="1"/>
  <c r="C2174" i="1"/>
  <c r="B2174" i="1"/>
  <c r="A2174" i="1"/>
  <c r="F2173" i="1"/>
  <c r="E2173" i="1"/>
  <c r="D2173" i="1"/>
  <c r="C2173" i="1"/>
  <c r="B2173" i="1"/>
  <c r="A2173" i="1"/>
  <c r="F2172" i="1"/>
  <c r="E2172" i="1"/>
  <c r="D2172" i="1"/>
  <c r="C2172" i="1"/>
  <c r="B2172" i="1"/>
  <c r="A2172" i="1"/>
  <c r="F2171" i="1"/>
  <c r="E2171" i="1"/>
  <c r="D2171" i="1"/>
  <c r="C2171" i="1"/>
  <c r="B2171" i="1"/>
  <c r="A2171" i="1"/>
  <c r="F2170" i="1"/>
  <c r="E2170" i="1"/>
  <c r="D2170" i="1"/>
  <c r="C2170" i="1"/>
  <c r="B2170" i="1"/>
  <c r="A2170" i="1"/>
  <c r="F2169" i="1"/>
  <c r="E2169" i="1"/>
  <c r="D2169" i="1"/>
  <c r="C2169" i="1"/>
  <c r="B2169" i="1"/>
  <c r="A2169" i="1"/>
  <c r="F2168" i="1"/>
  <c r="E2168" i="1"/>
  <c r="D2168" i="1"/>
  <c r="C2168" i="1"/>
  <c r="B2168" i="1"/>
  <c r="A2168" i="1"/>
  <c r="F2167" i="1"/>
  <c r="E2167" i="1"/>
  <c r="D2167" i="1"/>
  <c r="C2167" i="1"/>
  <c r="B2167" i="1"/>
  <c r="A2167" i="1"/>
  <c r="F2166" i="1"/>
  <c r="E2166" i="1"/>
  <c r="D2166" i="1"/>
  <c r="C2166" i="1"/>
  <c r="B2166" i="1"/>
  <c r="A2166" i="1"/>
  <c r="F2165" i="1"/>
  <c r="E2165" i="1"/>
  <c r="D2165" i="1"/>
  <c r="C2165" i="1"/>
  <c r="B2165" i="1"/>
  <c r="A2165" i="1"/>
  <c r="F2164" i="1"/>
  <c r="E2164" i="1"/>
  <c r="D2164" i="1"/>
  <c r="C2164" i="1"/>
  <c r="B2164" i="1"/>
  <c r="A2164" i="1"/>
  <c r="F2163" i="1"/>
  <c r="E2163" i="1"/>
  <c r="D2163" i="1"/>
  <c r="C2163" i="1"/>
  <c r="B2163" i="1"/>
  <c r="A2163" i="1"/>
  <c r="F2162" i="1"/>
  <c r="E2162" i="1"/>
  <c r="D2162" i="1"/>
  <c r="C2162" i="1"/>
  <c r="B2162" i="1"/>
  <c r="A2162" i="1"/>
  <c r="F2161" i="1"/>
  <c r="E2161" i="1"/>
  <c r="D2161" i="1"/>
  <c r="C2161" i="1"/>
  <c r="B2161" i="1"/>
  <c r="A2161" i="1"/>
  <c r="F2160" i="1"/>
  <c r="E2160" i="1"/>
  <c r="D2160" i="1"/>
  <c r="C2160" i="1"/>
  <c r="B2160" i="1"/>
  <c r="A2160" i="1"/>
  <c r="F2159" i="1"/>
  <c r="E2159" i="1"/>
  <c r="D2159" i="1"/>
  <c r="C2159" i="1"/>
  <c r="B2159" i="1"/>
  <c r="A2159" i="1"/>
  <c r="F2158" i="1"/>
  <c r="E2158" i="1"/>
  <c r="D2158" i="1"/>
  <c r="C2158" i="1"/>
  <c r="B2158" i="1"/>
  <c r="A2158" i="1"/>
  <c r="F2157" i="1"/>
  <c r="E2157" i="1"/>
  <c r="D2157" i="1"/>
  <c r="C2157" i="1"/>
  <c r="B2157" i="1"/>
  <c r="A2157" i="1"/>
  <c r="F2156" i="1"/>
  <c r="E2156" i="1"/>
  <c r="D2156" i="1"/>
  <c r="C2156" i="1"/>
  <c r="B2156" i="1"/>
  <c r="A2156" i="1"/>
  <c r="F2155" i="1"/>
  <c r="E2155" i="1"/>
  <c r="D2155" i="1"/>
  <c r="C2155" i="1"/>
  <c r="B2155" i="1"/>
  <c r="A2155" i="1"/>
  <c r="F2154" i="1"/>
  <c r="E2154" i="1"/>
  <c r="D2154" i="1"/>
  <c r="C2154" i="1"/>
  <c r="B2154" i="1"/>
  <c r="A2154" i="1"/>
  <c r="F2153" i="1"/>
  <c r="E2153" i="1"/>
  <c r="D2153" i="1"/>
  <c r="C2153" i="1"/>
  <c r="B2153" i="1"/>
  <c r="A2153" i="1"/>
  <c r="F2152" i="1"/>
  <c r="E2152" i="1"/>
  <c r="D2152" i="1"/>
  <c r="C2152" i="1"/>
  <c r="B2152" i="1"/>
  <c r="A2152" i="1"/>
  <c r="F2151" i="1"/>
  <c r="E2151" i="1"/>
  <c r="D2151" i="1"/>
  <c r="C2151" i="1"/>
  <c r="B2151" i="1"/>
  <c r="A2151" i="1"/>
  <c r="F2150" i="1"/>
  <c r="E2150" i="1"/>
  <c r="D2150" i="1"/>
  <c r="C2150" i="1"/>
  <c r="B2150" i="1"/>
  <c r="A2150" i="1"/>
  <c r="F2149" i="1"/>
  <c r="E2149" i="1"/>
  <c r="D2149" i="1"/>
  <c r="C2149" i="1"/>
  <c r="B2149" i="1"/>
  <c r="A2149" i="1"/>
  <c r="F2148" i="1"/>
  <c r="E2148" i="1"/>
  <c r="D2148" i="1"/>
  <c r="C2148" i="1"/>
  <c r="B2148" i="1"/>
  <c r="A2148" i="1"/>
  <c r="F2147" i="1"/>
  <c r="E2147" i="1"/>
  <c r="D2147" i="1"/>
  <c r="C2147" i="1"/>
  <c r="B2147" i="1"/>
  <c r="A2147" i="1"/>
  <c r="F2146" i="1"/>
  <c r="E2146" i="1"/>
  <c r="D2146" i="1"/>
  <c r="C2146" i="1"/>
  <c r="B2146" i="1"/>
  <c r="A2146" i="1"/>
  <c r="F2145" i="1"/>
  <c r="E2145" i="1"/>
  <c r="D2145" i="1"/>
  <c r="C2145" i="1"/>
  <c r="B2145" i="1"/>
  <c r="A2145" i="1"/>
  <c r="F2144" i="1"/>
  <c r="E2144" i="1"/>
  <c r="D2144" i="1"/>
  <c r="C2144" i="1"/>
  <c r="B2144" i="1"/>
  <c r="A2144" i="1"/>
  <c r="F2143" i="1"/>
  <c r="E2143" i="1"/>
  <c r="D2143" i="1"/>
  <c r="C2143" i="1"/>
  <c r="B2143" i="1"/>
  <c r="A2143" i="1"/>
  <c r="F2142" i="1"/>
  <c r="E2142" i="1"/>
  <c r="D2142" i="1"/>
  <c r="C2142" i="1"/>
  <c r="B2142" i="1"/>
  <c r="A2142" i="1"/>
  <c r="F2141" i="1"/>
  <c r="E2141" i="1"/>
  <c r="D2141" i="1"/>
  <c r="C2141" i="1"/>
  <c r="B2141" i="1"/>
  <c r="A2141" i="1"/>
  <c r="F2140" i="1"/>
  <c r="E2140" i="1"/>
  <c r="D2140" i="1"/>
  <c r="C2140" i="1"/>
  <c r="B2140" i="1"/>
  <c r="A2140" i="1"/>
  <c r="F2139" i="1"/>
  <c r="E2139" i="1"/>
  <c r="D2139" i="1"/>
  <c r="C2139" i="1"/>
  <c r="B2139" i="1"/>
  <c r="A2139" i="1"/>
  <c r="F2138" i="1"/>
  <c r="E2138" i="1"/>
  <c r="D2138" i="1"/>
  <c r="C2138" i="1"/>
  <c r="B2138" i="1"/>
  <c r="A2138" i="1"/>
  <c r="F2137" i="1"/>
  <c r="E2137" i="1"/>
  <c r="D2137" i="1"/>
  <c r="C2137" i="1"/>
  <c r="B2137" i="1"/>
  <c r="A2137" i="1"/>
  <c r="F2136" i="1"/>
  <c r="E2136" i="1"/>
  <c r="D2136" i="1"/>
  <c r="C2136" i="1"/>
  <c r="B2136" i="1"/>
  <c r="A2136" i="1"/>
  <c r="F2135" i="1"/>
  <c r="E2135" i="1"/>
  <c r="D2135" i="1"/>
  <c r="C2135" i="1"/>
  <c r="B2135" i="1"/>
  <c r="A2135" i="1"/>
  <c r="F2134" i="1"/>
  <c r="E2134" i="1"/>
  <c r="D2134" i="1"/>
  <c r="C2134" i="1"/>
  <c r="B2134" i="1"/>
  <c r="A2134" i="1"/>
  <c r="F2133" i="1"/>
  <c r="E2133" i="1"/>
  <c r="D2133" i="1"/>
  <c r="C2133" i="1"/>
  <c r="B2133" i="1"/>
  <c r="A2133" i="1"/>
  <c r="F2132" i="1"/>
  <c r="E2132" i="1"/>
  <c r="D2132" i="1"/>
  <c r="C2132" i="1"/>
  <c r="B2132" i="1"/>
  <c r="A2132" i="1"/>
  <c r="F2131" i="1"/>
  <c r="E2131" i="1"/>
  <c r="D2131" i="1"/>
  <c r="C2131" i="1"/>
  <c r="B2131" i="1"/>
  <c r="A2131" i="1"/>
  <c r="F2130" i="1"/>
  <c r="E2130" i="1"/>
  <c r="D2130" i="1"/>
  <c r="C2130" i="1"/>
  <c r="B2130" i="1"/>
  <c r="A2130" i="1"/>
  <c r="F2129" i="1"/>
  <c r="E2129" i="1"/>
  <c r="D2129" i="1"/>
  <c r="C2129" i="1"/>
  <c r="B2129" i="1"/>
  <c r="A2129" i="1"/>
  <c r="F2128" i="1"/>
  <c r="E2128" i="1"/>
  <c r="D2128" i="1"/>
  <c r="C2128" i="1"/>
  <c r="B2128" i="1"/>
  <c r="A2128" i="1"/>
  <c r="F2127" i="1"/>
  <c r="E2127" i="1"/>
  <c r="D2127" i="1"/>
  <c r="C2127" i="1"/>
  <c r="B2127" i="1"/>
  <c r="A2127" i="1"/>
  <c r="F2126" i="1"/>
  <c r="E2126" i="1"/>
  <c r="D2126" i="1"/>
  <c r="C2126" i="1"/>
  <c r="B2126" i="1"/>
  <c r="A2126" i="1"/>
  <c r="F2125" i="1"/>
  <c r="E2125" i="1"/>
  <c r="D2125" i="1"/>
  <c r="C2125" i="1"/>
  <c r="B2125" i="1"/>
  <c r="A2125" i="1"/>
  <c r="F2124" i="1"/>
  <c r="E2124" i="1"/>
  <c r="D2124" i="1"/>
  <c r="C2124" i="1"/>
  <c r="B2124" i="1"/>
  <c r="A2124" i="1"/>
  <c r="F2123" i="1"/>
  <c r="E2123" i="1"/>
  <c r="D2123" i="1"/>
  <c r="C2123" i="1"/>
  <c r="B2123" i="1"/>
  <c r="A2123" i="1"/>
  <c r="F2122" i="1"/>
  <c r="E2122" i="1"/>
  <c r="D2122" i="1"/>
  <c r="C2122" i="1"/>
  <c r="B2122" i="1"/>
  <c r="A2122" i="1"/>
  <c r="F2121" i="1"/>
  <c r="E2121" i="1"/>
  <c r="D2121" i="1"/>
  <c r="C2121" i="1"/>
  <c r="B2121" i="1"/>
  <c r="A2121" i="1"/>
  <c r="F2120" i="1"/>
  <c r="E2120" i="1"/>
  <c r="D2120" i="1"/>
  <c r="C2120" i="1"/>
  <c r="B2120" i="1"/>
  <c r="A2120" i="1"/>
  <c r="F2119" i="1"/>
  <c r="E2119" i="1"/>
  <c r="D2119" i="1"/>
  <c r="C2119" i="1"/>
  <c r="B2119" i="1"/>
  <c r="A2119" i="1"/>
  <c r="F2118" i="1"/>
  <c r="E2118" i="1"/>
  <c r="D2118" i="1"/>
  <c r="C2118" i="1"/>
  <c r="B2118" i="1"/>
  <c r="A2118" i="1"/>
  <c r="F2117" i="1"/>
  <c r="E2117" i="1"/>
  <c r="D2117" i="1"/>
  <c r="C2117" i="1"/>
  <c r="B2117" i="1"/>
  <c r="A2117" i="1"/>
  <c r="F2116" i="1"/>
  <c r="E2116" i="1"/>
  <c r="D2116" i="1"/>
  <c r="C2116" i="1"/>
  <c r="B2116" i="1"/>
  <c r="A2116" i="1"/>
  <c r="F2115" i="1"/>
  <c r="E2115" i="1"/>
  <c r="D2115" i="1"/>
  <c r="C2115" i="1"/>
  <c r="B2115" i="1"/>
  <c r="A2115" i="1"/>
  <c r="F2114" i="1"/>
  <c r="E2114" i="1"/>
  <c r="D2114" i="1"/>
  <c r="C2114" i="1"/>
  <c r="B2114" i="1"/>
  <c r="A2114" i="1"/>
  <c r="F2113" i="1"/>
  <c r="E2113" i="1"/>
  <c r="D2113" i="1"/>
  <c r="C2113" i="1"/>
  <c r="B2113" i="1"/>
  <c r="A2113" i="1"/>
  <c r="F2112" i="1"/>
  <c r="E2112" i="1"/>
  <c r="D2112" i="1"/>
  <c r="C2112" i="1"/>
  <c r="B2112" i="1"/>
  <c r="A2112" i="1"/>
  <c r="F2111" i="1"/>
  <c r="E2111" i="1"/>
  <c r="D2111" i="1"/>
  <c r="C2111" i="1"/>
  <c r="B2111" i="1"/>
  <c r="A2111" i="1"/>
  <c r="F2110" i="1"/>
  <c r="E2110" i="1"/>
  <c r="D2110" i="1"/>
  <c r="C2110" i="1"/>
  <c r="B2110" i="1"/>
  <c r="A2110" i="1"/>
  <c r="F2109" i="1"/>
  <c r="E2109" i="1"/>
  <c r="D2109" i="1"/>
  <c r="C2109" i="1"/>
  <c r="B2109" i="1"/>
  <c r="A2109" i="1"/>
  <c r="F2108" i="1"/>
  <c r="E2108" i="1"/>
  <c r="D2108" i="1"/>
  <c r="C2108" i="1"/>
  <c r="B2108" i="1"/>
  <c r="A2108" i="1"/>
  <c r="F2107" i="1"/>
  <c r="E2107" i="1"/>
  <c r="D2107" i="1"/>
  <c r="C2107" i="1"/>
  <c r="B2107" i="1"/>
  <c r="A2107" i="1"/>
  <c r="F2106" i="1"/>
  <c r="E2106" i="1"/>
  <c r="D2106" i="1"/>
  <c r="C2106" i="1"/>
  <c r="B2106" i="1"/>
  <c r="A2106" i="1"/>
  <c r="F2105" i="1"/>
  <c r="E2105" i="1"/>
  <c r="D2105" i="1"/>
  <c r="C2105" i="1"/>
  <c r="B2105" i="1"/>
  <c r="A2105" i="1"/>
  <c r="F2104" i="1"/>
  <c r="E2104" i="1"/>
  <c r="D2104" i="1"/>
  <c r="C2104" i="1"/>
  <c r="B2104" i="1"/>
  <c r="A2104" i="1"/>
  <c r="F2103" i="1"/>
  <c r="E2103" i="1"/>
  <c r="D2103" i="1"/>
  <c r="C2103" i="1"/>
  <c r="B2103" i="1"/>
  <c r="A2103" i="1"/>
  <c r="F2102" i="1"/>
  <c r="E2102" i="1"/>
  <c r="D2102" i="1"/>
  <c r="C2102" i="1"/>
  <c r="B2102" i="1"/>
  <c r="A2102" i="1"/>
  <c r="F2101" i="1"/>
  <c r="E2101" i="1"/>
  <c r="D2101" i="1"/>
  <c r="C2101" i="1"/>
  <c r="B2101" i="1"/>
  <c r="A2101" i="1"/>
  <c r="F2100" i="1"/>
  <c r="E2100" i="1"/>
  <c r="D2100" i="1"/>
  <c r="C2100" i="1"/>
  <c r="B2100" i="1"/>
  <c r="A2100" i="1"/>
  <c r="F2099" i="1"/>
  <c r="E2099" i="1"/>
  <c r="D2099" i="1"/>
  <c r="C2099" i="1"/>
  <c r="B2099" i="1"/>
  <c r="A2099" i="1"/>
  <c r="F2098" i="1"/>
  <c r="E2098" i="1"/>
  <c r="D2098" i="1"/>
  <c r="C2098" i="1"/>
  <c r="B2098" i="1"/>
  <c r="A2098" i="1"/>
  <c r="F2097" i="1"/>
  <c r="E2097" i="1"/>
  <c r="D2097" i="1"/>
  <c r="C2097" i="1"/>
  <c r="B2097" i="1"/>
  <c r="A2097" i="1"/>
  <c r="F2096" i="1"/>
  <c r="E2096" i="1"/>
  <c r="D2096" i="1"/>
  <c r="C2096" i="1"/>
  <c r="B2096" i="1"/>
  <c r="A2096" i="1"/>
  <c r="F2095" i="1"/>
  <c r="E2095" i="1"/>
  <c r="D2095" i="1"/>
  <c r="C2095" i="1"/>
  <c r="B2095" i="1"/>
  <c r="A2095" i="1"/>
  <c r="F2094" i="1"/>
  <c r="E2094" i="1"/>
  <c r="D2094" i="1"/>
  <c r="C2094" i="1"/>
  <c r="B2094" i="1"/>
  <c r="A2094" i="1"/>
  <c r="F2093" i="1"/>
  <c r="E2093" i="1"/>
  <c r="D2093" i="1"/>
  <c r="C2093" i="1"/>
  <c r="B2093" i="1"/>
  <c r="A2093" i="1"/>
  <c r="F2092" i="1"/>
  <c r="E2092" i="1"/>
  <c r="D2092" i="1"/>
  <c r="C2092" i="1"/>
  <c r="B2092" i="1"/>
  <c r="A2092" i="1"/>
  <c r="F2091" i="1"/>
  <c r="E2091" i="1"/>
  <c r="D2091" i="1"/>
  <c r="C2091" i="1"/>
  <c r="B2091" i="1"/>
  <c r="A2091" i="1"/>
  <c r="F2090" i="1"/>
  <c r="E2090" i="1"/>
  <c r="D2090" i="1"/>
  <c r="C2090" i="1"/>
  <c r="B2090" i="1"/>
  <c r="A2090" i="1"/>
  <c r="F2089" i="1"/>
  <c r="E2089" i="1"/>
  <c r="D2089" i="1"/>
  <c r="C2089" i="1"/>
  <c r="B2089" i="1"/>
  <c r="A2089" i="1"/>
  <c r="F2088" i="1"/>
  <c r="E2088" i="1"/>
  <c r="D2088" i="1"/>
  <c r="C2088" i="1"/>
  <c r="B2088" i="1"/>
  <c r="A2088" i="1"/>
  <c r="F2087" i="1"/>
  <c r="E2087" i="1"/>
  <c r="D2087" i="1"/>
  <c r="C2087" i="1"/>
  <c r="B2087" i="1"/>
  <c r="A2087" i="1"/>
  <c r="F2086" i="1"/>
  <c r="E2086" i="1"/>
  <c r="D2086" i="1"/>
  <c r="C2086" i="1"/>
  <c r="B2086" i="1"/>
  <c r="A2086" i="1"/>
  <c r="F2085" i="1"/>
  <c r="E2085" i="1"/>
  <c r="D2085" i="1"/>
  <c r="C2085" i="1"/>
  <c r="B2085" i="1"/>
  <c r="A2085" i="1"/>
  <c r="F2084" i="1"/>
  <c r="E2084" i="1"/>
  <c r="D2084" i="1"/>
  <c r="C2084" i="1"/>
  <c r="B2084" i="1"/>
  <c r="A2084" i="1"/>
  <c r="F2083" i="1"/>
  <c r="E2083" i="1"/>
  <c r="D2083" i="1"/>
  <c r="C2083" i="1"/>
  <c r="B2083" i="1"/>
  <c r="A2083" i="1"/>
  <c r="F2082" i="1"/>
  <c r="E2082" i="1"/>
  <c r="D2082" i="1"/>
  <c r="C2082" i="1"/>
  <c r="B2082" i="1"/>
  <c r="A2082" i="1"/>
  <c r="F2081" i="1"/>
  <c r="E2081" i="1"/>
  <c r="D2081" i="1"/>
  <c r="C2081" i="1"/>
  <c r="B2081" i="1"/>
  <c r="A2081" i="1"/>
  <c r="F2080" i="1"/>
  <c r="E2080" i="1"/>
  <c r="D2080" i="1"/>
  <c r="C2080" i="1"/>
  <c r="B2080" i="1"/>
  <c r="A2080" i="1"/>
  <c r="F2079" i="1"/>
  <c r="E2079" i="1"/>
  <c r="D2079" i="1"/>
  <c r="C2079" i="1"/>
  <c r="B2079" i="1"/>
  <c r="A2079" i="1"/>
  <c r="F2078" i="1"/>
  <c r="E2078" i="1"/>
  <c r="D2078" i="1"/>
  <c r="C2078" i="1"/>
  <c r="B2078" i="1"/>
  <c r="A2078" i="1"/>
  <c r="F2077" i="1"/>
  <c r="E2077" i="1"/>
  <c r="D2077" i="1"/>
  <c r="C2077" i="1"/>
  <c r="B2077" i="1"/>
  <c r="A2077" i="1"/>
  <c r="F2076" i="1"/>
  <c r="E2076" i="1"/>
  <c r="D2076" i="1"/>
  <c r="C2076" i="1"/>
  <c r="B2076" i="1"/>
  <c r="A2076" i="1"/>
  <c r="F2075" i="1"/>
  <c r="E2075" i="1"/>
  <c r="D2075" i="1"/>
  <c r="C2075" i="1"/>
  <c r="B2075" i="1"/>
  <c r="A2075" i="1"/>
  <c r="F2074" i="1"/>
  <c r="E2074" i="1"/>
  <c r="D2074" i="1"/>
  <c r="C2074" i="1"/>
  <c r="B2074" i="1"/>
  <c r="A2074" i="1"/>
  <c r="F2073" i="1"/>
  <c r="E2073" i="1"/>
  <c r="D2073" i="1"/>
  <c r="C2073" i="1"/>
  <c r="B2073" i="1"/>
  <c r="A2073" i="1"/>
  <c r="F2072" i="1"/>
  <c r="E2072" i="1"/>
  <c r="D2072" i="1"/>
  <c r="C2072" i="1"/>
  <c r="B2072" i="1"/>
  <c r="A2072" i="1"/>
  <c r="F2071" i="1"/>
  <c r="E2071" i="1"/>
  <c r="D2071" i="1"/>
  <c r="C2071" i="1"/>
  <c r="B2071" i="1"/>
  <c r="A2071" i="1"/>
  <c r="F2070" i="1"/>
  <c r="E2070" i="1"/>
  <c r="D2070" i="1"/>
  <c r="C2070" i="1"/>
  <c r="B2070" i="1"/>
  <c r="A2070" i="1"/>
  <c r="F2069" i="1"/>
  <c r="E2069" i="1"/>
  <c r="D2069" i="1"/>
  <c r="C2069" i="1"/>
  <c r="B2069" i="1"/>
  <c r="A2069" i="1"/>
  <c r="F2068" i="1"/>
  <c r="E2068" i="1"/>
  <c r="D2068" i="1"/>
  <c r="C2068" i="1"/>
  <c r="B2068" i="1"/>
  <c r="A2068" i="1"/>
  <c r="F2067" i="1"/>
  <c r="E2067" i="1"/>
  <c r="D2067" i="1"/>
  <c r="C2067" i="1"/>
  <c r="B2067" i="1"/>
  <c r="A2067" i="1"/>
  <c r="F2066" i="1"/>
  <c r="E2066" i="1"/>
  <c r="D2066" i="1"/>
  <c r="C2066" i="1"/>
  <c r="B2066" i="1"/>
  <c r="A2066" i="1"/>
  <c r="F2065" i="1"/>
  <c r="E2065" i="1"/>
  <c r="D2065" i="1"/>
  <c r="C2065" i="1"/>
  <c r="B2065" i="1"/>
  <c r="A2065" i="1"/>
  <c r="F2064" i="1"/>
  <c r="E2064" i="1"/>
  <c r="D2064" i="1"/>
  <c r="C2064" i="1"/>
  <c r="B2064" i="1"/>
  <c r="A2064" i="1"/>
  <c r="F2063" i="1"/>
  <c r="E2063" i="1"/>
  <c r="D2063" i="1"/>
  <c r="C2063" i="1"/>
  <c r="B2063" i="1"/>
  <c r="A2063" i="1"/>
  <c r="F2062" i="1"/>
  <c r="E2062" i="1"/>
  <c r="D2062" i="1"/>
  <c r="C2062" i="1"/>
  <c r="B2062" i="1"/>
  <c r="A2062" i="1"/>
  <c r="F2061" i="1"/>
  <c r="E2061" i="1"/>
  <c r="D2061" i="1"/>
  <c r="C2061" i="1"/>
  <c r="B2061" i="1"/>
  <c r="A2061" i="1"/>
  <c r="F2060" i="1"/>
  <c r="E2060" i="1"/>
  <c r="D2060" i="1"/>
  <c r="C2060" i="1"/>
  <c r="B2060" i="1"/>
  <c r="A2060" i="1"/>
  <c r="F2059" i="1"/>
  <c r="E2059" i="1"/>
  <c r="D2059" i="1"/>
  <c r="C2059" i="1"/>
  <c r="B2059" i="1"/>
  <c r="A2059" i="1"/>
  <c r="F2058" i="1"/>
  <c r="E2058" i="1"/>
  <c r="D2058" i="1"/>
  <c r="C2058" i="1"/>
  <c r="B2058" i="1"/>
  <c r="A2058" i="1"/>
  <c r="F2057" i="1"/>
  <c r="E2057" i="1"/>
  <c r="D2057" i="1"/>
  <c r="C2057" i="1"/>
  <c r="B2057" i="1"/>
  <c r="A2057" i="1"/>
  <c r="F2056" i="1"/>
  <c r="E2056" i="1"/>
  <c r="D2056" i="1"/>
  <c r="C2056" i="1"/>
  <c r="B2056" i="1"/>
  <c r="A2056" i="1"/>
  <c r="F2055" i="1"/>
  <c r="E2055" i="1"/>
  <c r="D2055" i="1"/>
  <c r="C2055" i="1"/>
  <c r="B2055" i="1"/>
  <c r="A2055" i="1"/>
  <c r="F2054" i="1"/>
  <c r="E2054" i="1"/>
  <c r="D2054" i="1"/>
  <c r="C2054" i="1"/>
  <c r="B2054" i="1"/>
  <c r="A2054" i="1"/>
  <c r="F2053" i="1"/>
  <c r="E2053" i="1"/>
  <c r="D2053" i="1"/>
  <c r="C2053" i="1"/>
  <c r="B2053" i="1"/>
  <c r="A2053" i="1"/>
  <c r="F2052" i="1"/>
  <c r="E2052" i="1"/>
  <c r="D2052" i="1"/>
  <c r="C2052" i="1"/>
  <c r="B2052" i="1"/>
  <c r="A2052" i="1"/>
  <c r="F2051" i="1"/>
  <c r="E2051" i="1"/>
  <c r="D2051" i="1"/>
  <c r="C2051" i="1"/>
  <c r="B2051" i="1"/>
  <c r="A2051" i="1"/>
  <c r="F2050" i="1"/>
  <c r="E2050" i="1"/>
  <c r="D2050" i="1"/>
  <c r="C2050" i="1"/>
  <c r="B2050" i="1"/>
  <c r="A2050" i="1"/>
  <c r="F2049" i="1"/>
  <c r="E2049" i="1"/>
  <c r="D2049" i="1"/>
  <c r="C2049" i="1"/>
  <c r="B2049" i="1"/>
  <c r="A2049" i="1"/>
  <c r="F2048" i="1"/>
  <c r="E2048" i="1"/>
  <c r="D2048" i="1"/>
  <c r="C2048" i="1"/>
  <c r="B2048" i="1"/>
  <c r="A2048" i="1"/>
  <c r="F2047" i="1"/>
  <c r="E2047" i="1"/>
  <c r="D2047" i="1"/>
  <c r="C2047" i="1"/>
  <c r="B2047" i="1"/>
  <c r="A2047" i="1"/>
  <c r="F2046" i="1"/>
  <c r="E2046" i="1"/>
  <c r="D2046" i="1"/>
  <c r="C2046" i="1"/>
  <c r="B2046" i="1"/>
  <c r="A2046" i="1"/>
  <c r="F2045" i="1"/>
  <c r="E2045" i="1"/>
  <c r="D2045" i="1"/>
  <c r="C2045" i="1"/>
  <c r="B2045" i="1"/>
  <c r="A2045" i="1"/>
  <c r="F2044" i="1"/>
  <c r="E2044" i="1"/>
  <c r="D2044" i="1"/>
  <c r="C2044" i="1"/>
  <c r="B2044" i="1"/>
  <c r="A2044" i="1"/>
  <c r="F2043" i="1"/>
  <c r="E2043" i="1"/>
  <c r="D2043" i="1"/>
  <c r="C2043" i="1"/>
  <c r="B2043" i="1"/>
  <c r="A2043" i="1"/>
  <c r="F2042" i="1"/>
  <c r="E2042" i="1"/>
  <c r="D2042" i="1"/>
  <c r="C2042" i="1"/>
  <c r="B2042" i="1"/>
  <c r="A2042" i="1"/>
  <c r="F2041" i="1"/>
  <c r="E2041" i="1"/>
  <c r="D2041" i="1"/>
  <c r="C2041" i="1"/>
  <c r="B2041" i="1"/>
  <c r="A2041" i="1"/>
  <c r="F2040" i="1"/>
  <c r="E2040" i="1"/>
  <c r="D2040" i="1"/>
  <c r="C2040" i="1"/>
  <c r="B2040" i="1"/>
  <c r="A2040" i="1"/>
  <c r="F2039" i="1"/>
  <c r="E2039" i="1"/>
  <c r="D2039" i="1"/>
  <c r="C2039" i="1"/>
  <c r="B2039" i="1"/>
  <c r="A2039" i="1"/>
  <c r="F2038" i="1"/>
  <c r="E2038" i="1"/>
  <c r="D2038" i="1"/>
  <c r="C2038" i="1"/>
  <c r="B2038" i="1"/>
  <c r="A2038" i="1"/>
  <c r="F2037" i="1"/>
  <c r="E2037" i="1"/>
  <c r="D2037" i="1"/>
  <c r="C2037" i="1"/>
  <c r="B2037" i="1"/>
  <c r="A2037" i="1"/>
  <c r="F2036" i="1"/>
  <c r="E2036" i="1"/>
  <c r="D2036" i="1"/>
  <c r="C2036" i="1"/>
  <c r="B2036" i="1"/>
  <c r="A2036" i="1"/>
  <c r="F2035" i="1"/>
  <c r="E2035" i="1"/>
  <c r="D2035" i="1"/>
  <c r="C2035" i="1"/>
  <c r="B2035" i="1"/>
  <c r="A2035" i="1"/>
  <c r="F2034" i="1"/>
  <c r="E2034" i="1"/>
  <c r="D2034" i="1"/>
  <c r="C2034" i="1"/>
  <c r="B2034" i="1"/>
  <c r="A2034" i="1"/>
  <c r="F2033" i="1"/>
  <c r="E2033" i="1"/>
  <c r="D2033" i="1"/>
  <c r="C2033" i="1"/>
  <c r="B2033" i="1"/>
  <c r="A2033" i="1"/>
  <c r="F2032" i="1"/>
  <c r="E2032" i="1"/>
  <c r="D2032" i="1"/>
  <c r="C2032" i="1"/>
  <c r="B2032" i="1"/>
  <c r="A2032" i="1"/>
  <c r="F2031" i="1"/>
  <c r="E2031" i="1"/>
  <c r="D2031" i="1"/>
  <c r="C2031" i="1"/>
  <c r="B2031" i="1"/>
  <c r="A2031" i="1"/>
  <c r="F2030" i="1"/>
  <c r="E2030" i="1"/>
  <c r="D2030" i="1"/>
  <c r="C2030" i="1"/>
  <c r="B2030" i="1"/>
  <c r="A2030" i="1"/>
  <c r="F2029" i="1"/>
  <c r="E2029" i="1"/>
  <c r="D2029" i="1"/>
  <c r="C2029" i="1"/>
  <c r="B2029" i="1"/>
  <c r="A2029" i="1"/>
  <c r="F2028" i="1"/>
  <c r="E2028" i="1"/>
  <c r="D2028" i="1"/>
  <c r="C2028" i="1"/>
  <c r="B2028" i="1"/>
  <c r="A2028" i="1"/>
  <c r="F2027" i="1"/>
  <c r="E2027" i="1"/>
  <c r="D2027" i="1"/>
  <c r="C2027" i="1"/>
  <c r="B2027" i="1"/>
  <c r="A2027" i="1"/>
  <c r="F2026" i="1"/>
  <c r="E2026" i="1"/>
  <c r="D2026" i="1"/>
  <c r="C2026" i="1"/>
  <c r="B2026" i="1"/>
  <c r="A2026" i="1"/>
  <c r="F2025" i="1"/>
  <c r="E2025" i="1"/>
  <c r="D2025" i="1"/>
  <c r="C2025" i="1"/>
  <c r="B2025" i="1"/>
  <c r="A2025" i="1"/>
  <c r="F2024" i="1"/>
  <c r="E2024" i="1"/>
  <c r="D2024" i="1"/>
  <c r="C2024" i="1"/>
  <c r="B2024" i="1"/>
  <c r="A2024" i="1"/>
  <c r="F2023" i="1"/>
  <c r="E2023" i="1"/>
  <c r="D2023" i="1"/>
  <c r="C2023" i="1"/>
  <c r="B2023" i="1"/>
  <c r="A2023" i="1"/>
  <c r="F2022" i="1"/>
  <c r="E2022" i="1"/>
  <c r="D2022" i="1"/>
  <c r="C2022" i="1"/>
  <c r="B2022" i="1"/>
  <c r="A2022" i="1"/>
  <c r="F2021" i="1"/>
  <c r="E2021" i="1"/>
  <c r="D2021" i="1"/>
  <c r="C2021" i="1"/>
  <c r="B2021" i="1"/>
  <c r="A2021" i="1"/>
  <c r="F2020" i="1"/>
  <c r="E2020" i="1"/>
  <c r="D2020" i="1"/>
  <c r="C2020" i="1"/>
  <c r="B2020" i="1"/>
  <c r="A2020" i="1"/>
  <c r="F2019" i="1"/>
  <c r="E2019" i="1"/>
  <c r="D2019" i="1"/>
  <c r="C2019" i="1"/>
  <c r="B2019" i="1"/>
  <c r="A2019" i="1"/>
  <c r="F2018" i="1"/>
  <c r="E2018" i="1"/>
  <c r="D2018" i="1"/>
  <c r="C2018" i="1"/>
  <c r="B2018" i="1"/>
  <c r="A2018" i="1"/>
  <c r="F2017" i="1"/>
  <c r="E2017" i="1"/>
  <c r="D2017" i="1"/>
  <c r="C2017" i="1"/>
  <c r="B2017" i="1"/>
  <c r="A2017" i="1"/>
  <c r="F2016" i="1"/>
  <c r="E2016" i="1"/>
  <c r="D2016" i="1"/>
  <c r="C2016" i="1"/>
  <c r="B2016" i="1"/>
  <c r="A2016" i="1"/>
  <c r="F2015" i="1"/>
  <c r="E2015" i="1"/>
  <c r="D2015" i="1"/>
  <c r="C2015" i="1"/>
  <c r="B2015" i="1"/>
  <c r="A2015" i="1"/>
  <c r="F2014" i="1"/>
  <c r="E2014" i="1"/>
  <c r="D2014" i="1"/>
  <c r="C2014" i="1"/>
  <c r="B2014" i="1"/>
  <c r="A2014" i="1"/>
  <c r="F2013" i="1"/>
  <c r="E2013" i="1"/>
  <c r="D2013" i="1"/>
  <c r="C2013" i="1"/>
  <c r="B2013" i="1"/>
  <c r="A2013" i="1"/>
  <c r="F2012" i="1"/>
  <c r="E2012" i="1"/>
  <c r="D2012" i="1"/>
  <c r="C2012" i="1"/>
  <c r="B2012" i="1"/>
  <c r="A2012" i="1"/>
  <c r="F2011" i="1"/>
  <c r="E2011" i="1"/>
  <c r="D2011" i="1"/>
  <c r="C2011" i="1"/>
  <c r="B2011" i="1"/>
  <c r="A2011" i="1"/>
  <c r="F2010" i="1"/>
  <c r="E2010" i="1"/>
  <c r="D2010" i="1"/>
  <c r="C2010" i="1"/>
  <c r="B2010" i="1"/>
  <c r="A2010" i="1"/>
  <c r="F2009" i="1"/>
  <c r="E2009" i="1"/>
  <c r="D2009" i="1"/>
  <c r="C2009" i="1"/>
  <c r="B2009" i="1"/>
  <c r="A2009" i="1"/>
  <c r="F2008" i="1"/>
  <c r="E2008" i="1"/>
  <c r="D2008" i="1"/>
  <c r="C2008" i="1"/>
  <c r="B2008" i="1"/>
  <c r="A2008" i="1"/>
  <c r="F2007" i="1"/>
  <c r="E2007" i="1"/>
  <c r="D2007" i="1"/>
  <c r="C2007" i="1"/>
  <c r="B2007" i="1"/>
  <c r="A2007" i="1"/>
  <c r="F2006" i="1"/>
  <c r="E2006" i="1"/>
  <c r="D2006" i="1"/>
  <c r="C2006" i="1"/>
  <c r="B2006" i="1"/>
  <c r="A2006" i="1"/>
  <c r="F2005" i="1"/>
  <c r="E2005" i="1"/>
  <c r="D2005" i="1"/>
  <c r="C2005" i="1"/>
  <c r="B2005" i="1"/>
  <c r="A2005" i="1"/>
  <c r="F2004" i="1"/>
  <c r="E2004" i="1"/>
  <c r="D2004" i="1"/>
  <c r="C2004" i="1"/>
  <c r="B2004" i="1"/>
  <c r="A2004" i="1"/>
  <c r="F2003" i="1"/>
  <c r="E2003" i="1"/>
  <c r="D2003" i="1"/>
  <c r="C2003" i="1"/>
  <c r="B2003" i="1"/>
  <c r="A2003" i="1"/>
  <c r="F2002" i="1"/>
  <c r="E2002" i="1"/>
  <c r="D2002" i="1"/>
  <c r="C2002" i="1"/>
  <c r="B2002" i="1"/>
  <c r="A2002" i="1"/>
  <c r="F2001" i="1"/>
  <c r="E2001" i="1"/>
  <c r="D2001" i="1"/>
  <c r="C2001" i="1"/>
  <c r="B2001" i="1"/>
  <c r="A2001" i="1"/>
  <c r="F2000" i="1"/>
  <c r="E2000" i="1"/>
  <c r="D2000" i="1"/>
  <c r="C2000" i="1"/>
  <c r="B2000" i="1"/>
  <c r="A2000" i="1"/>
  <c r="F1999" i="1"/>
  <c r="E1999" i="1"/>
  <c r="D1999" i="1"/>
  <c r="C1999" i="1"/>
  <c r="B1999" i="1"/>
  <c r="A1999" i="1"/>
  <c r="F1998" i="1"/>
  <c r="E1998" i="1"/>
  <c r="D1998" i="1"/>
  <c r="C1998" i="1"/>
  <c r="B1998" i="1"/>
  <c r="A1998" i="1"/>
  <c r="F1997" i="1"/>
  <c r="E1997" i="1"/>
  <c r="D1997" i="1"/>
  <c r="C1997" i="1"/>
  <c r="B1997" i="1"/>
  <c r="A1997" i="1"/>
  <c r="F1996" i="1"/>
  <c r="E1996" i="1"/>
  <c r="D1996" i="1"/>
  <c r="C1996" i="1"/>
  <c r="B1996" i="1"/>
  <c r="A1996" i="1"/>
  <c r="F1995" i="1"/>
  <c r="E1995" i="1"/>
  <c r="D1995" i="1"/>
  <c r="C1995" i="1"/>
  <c r="B1995" i="1"/>
  <c r="A1995" i="1"/>
  <c r="F1994" i="1"/>
  <c r="E1994" i="1"/>
  <c r="D1994" i="1"/>
  <c r="C1994" i="1"/>
  <c r="B1994" i="1"/>
  <c r="A1994" i="1"/>
  <c r="F1993" i="1"/>
  <c r="E1993" i="1"/>
  <c r="D1993" i="1"/>
  <c r="C1993" i="1"/>
  <c r="B1993" i="1"/>
  <c r="A1993" i="1"/>
  <c r="F1992" i="1"/>
  <c r="E1992" i="1"/>
  <c r="D1992" i="1"/>
  <c r="C1992" i="1"/>
  <c r="B1992" i="1"/>
  <c r="A1992" i="1"/>
  <c r="F1991" i="1"/>
  <c r="E1991" i="1"/>
  <c r="D1991" i="1"/>
  <c r="C1991" i="1"/>
  <c r="B1991" i="1"/>
  <c r="A1991" i="1"/>
  <c r="F1990" i="1"/>
  <c r="E1990" i="1"/>
  <c r="D1990" i="1"/>
  <c r="C1990" i="1"/>
  <c r="B1990" i="1"/>
  <c r="A1990" i="1"/>
  <c r="F1989" i="1"/>
  <c r="E1989" i="1"/>
  <c r="D1989" i="1"/>
  <c r="C1989" i="1"/>
  <c r="B1989" i="1"/>
  <c r="A1989" i="1"/>
  <c r="F1988" i="1"/>
  <c r="E1988" i="1"/>
  <c r="D1988" i="1"/>
  <c r="C1988" i="1"/>
  <c r="B1988" i="1"/>
  <c r="A1988" i="1"/>
  <c r="F1987" i="1"/>
  <c r="E1987" i="1"/>
  <c r="D1987" i="1"/>
  <c r="C1987" i="1"/>
  <c r="B1987" i="1"/>
  <c r="A1987" i="1"/>
  <c r="F1986" i="1"/>
  <c r="E1986" i="1"/>
  <c r="D1986" i="1"/>
  <c r="C1986" i="1"/>
  <c r="B1986" i="1"/>
  <c r="A1986" i="1"/>
  <c r="F1985" i="1"/>
  <c r="E1985" i="1"/>
  <c r="D1985" i="1"/>
  <c r="C1985" i="1"/>
  <c r="B1985" i="1"/>
  <c r="A1985" i="1"/>
  <c r="F1984" i="1"/>
  <c r="E1984" i="1"/>
  <c r="D1984" i="1"/>
  <c r="C1984" i="1"/>
  <c r="B1984" i="1"/>
  <c r="A1984" i="1"/>
  <c r="F1983" i="1"/>
  <c r="E1983" i="1"/>
  <c r="D1983" i="1"/>
  <c r="C1983" i="1"/>
  <c r="B1983" i="1"/>
  <c r="A1983" i="1"/>
  <c r="F1982" i="1"/>
  <c r="E1982" i="1"/>
  <c r="D1982" i="1"/>
  <c r="C1982" i="1"/>
  <c r="B1982" i="1"/>
  <c r="A1982" i="1"/>
  <c r="F1981" i="1"/>
  <c r="E1981" i="1"/>
  <c r="D1981" i="1"/>
  <c r="C1981" i="1"/>
  <c r="B1981" i="1"/>
  <c r="A1981" i="1"/>
  <c r="F1980" i="1"/>
  <c r="E1980" i="1"/>
  <c r="D1980" i="1"/>
  <c r="C1980" i="1"/>
  <c r="B1980" i="1"/>
  <c r="A1980" i="1"/>
  <c r="F1979" i="1"/>
  <c r="E1979" i="1"/>
  <c r="D1979" i="1"/>
  <c r="C1979" i="1"/>
  <c r="B1979" i="1"/>
  <c r="A1979" i="1"/>
  <c r="F1978" i="1"/>
  <c r="E1978" i="1"/>
  <c r="D1978" i="1"/>
  <c r="C1978" i="1"/>
  <c r="B1978" i="1"/>
  <c r="A1978" i="1"/>
  <c r="F1977" i="1"/>
  <c r="E1977" i="1"/>
  <c r="D1977" i="1"/>
  <c r="C1977" i="1"/>
  <c r="B1977" i="1"/>
  <c r="A1977" i="1"/>
  <c r="F1976" i="1"/>
  <c r="E1976" i="1"/>
  <c r="D1976" i="1"/>
  <c r="C1976" i="1"/>
  <c r="B1976" i="1"/>
  <c r="A1976" i="1"/>
  <c r="F1975" i="1"/>
  <c r="E1975" i="1"/>
  <c r="D1975" i="1"/>
  <c r="C1975" i="1"/>
  <c r="B1975" i="1"/>
  <c r="A1975" i="1"/>
  <c r="F1974" i="1"/>
  <c r="E1974" i="1"/>
  <c r="D1974" i="1"/>
  <c r="C1974" i="1"/>
  <c r="B1974" i="1"/>
  <c r="A1974" i="1"/>
  <c r="F1973" i="1"/>
  <c r="E1973" i="1"/>
  <c r="D1973" i="1"/>
  <c r="C1973" i="1"/>
  <c r="B1973" i="1"/>
  <c r="A1973" i="1"/>
  <c r="F1972" i="1"/>
  <c r="E1972" i="1"/>
  <c r="D1972" i="1"/>
  <c r="C1972" i="1"/>
  <c r="B1972" i="1"/>
  <c r="A1972" i="1"/>
  <c r="F1971" i="1"/>
  <c r="E1971" i="1"/>
  <c r="D1971" i="1"/>
  <c r="C1971" i="1"/>
  <c r="B1971" i="1"/>
  <c r="A1971" i="1"/>
  <c r="F1970" i="1"/>
  <c r="E1970" i="1"/>
  <c r="D1970" i="1"/>
  <c r="C1970" i="1"/>
  <c r="B1970" i="1"/>
  <c r="A1970" i="1"/>
  <c r="F1969" i="1"/>
  <c r="E1969" i="1"/>
  <c r="D1969" i="1"/>
  <c r="C1969" i="1"/>
  <c r="B1969" i="1"/>
  <c r="A1969" i="1"/>
  <c r="F1968" i="1"/>
  <c r="E1968" i="1"/>
  <c r="D1968" i="1"/>
  <c r="C1968" i="1"/>
  <c r="B1968" i="1"/>
  <c r="A1968" i="1"/>
  <c r="F1967" i="1"/>
  <c r="E1967" i="1"/>
  <c r="D1967" i="1"/>
  <c r="C1967" i="1"/>
  <c r="B1967" i="1"/>
  <c r="A1967" i="1"/>
  <c r="F1966" i="1"/>
  <c r="E1966" i="1"/>
  <c r="D1966" i="1"/>
  <c r="C1966" i="1"/>
  <c r="B1966" i="1"/>
  <c r="A1966" i="1"/>
  <c r="F1965" i="1"/>
  <c r="E1965" i="1"/>
  <c r="D1965" i="1"/>
  <c r="C1965" i="1"/>
  <c r="B1965" i="1"/>
  <c r="A1965" i="1"/>
  <c r="F1964" i="1"/>
  <c r="E1964" i="1"/>
  <c r="D1964" i="1"/>
  <c r="C1964" i="1"/>
  <c r="B1964" i="1"/>
  <c r="A1964" i="1"/>
  <c r="F1963" i="1"/>
  <c r="E1963" i="1"/>
  <c r="D1963" i="1"/>
  <c r="C1963" i="1"/>
  <c r="B1963" i="1"/>
  <c r="A1963" i="1"/>
  <c r="F1962" i="1"/>
  <c r="E1962" i="1"/>
  <c r="D1962" i="1"/>
  <c r="C1962" i="1"/>
  <c r="B1962" i="1"/>
  <c r="A1962" i="1"/>
  <c r="F1961" i="1"/>
  <c r="E1961" i="1"/>
  <c r="D1961" i="1"/>
  <c r="C1961" i="1"/>
  <c r="B1961" i="1"/>
  <c r="A1961" i="1"/>
  <c r="F1960" i="1"/>
  <c r="E1960" i="1"/>
  <c r="D1960" i="1"/>
  <c r="C1960" i="1"/>
  <c r="B1960" i="1"/>
  <c r="A1960" i="1"/>
  <c r="F1959" i="1"/>
  <c r="E1959" i="1"/>
  <c r="D1959" i="1"/>
  <c r="C1959" i="1"/>
  <c r="B1959" i="1"/>
  <c r="A1959" i="1"/>
  <c r="F1958" i="1"/>
  <c r="E1958" i="1"/>
  <c r="D1958" i="1"/>
  <c r="C1958" i="1"/>
  <c r="B1958" i="1"/>
  <c r="A1958" i="1"/>
  <c r="F1957" i="1"/>
  <c r="E1957" i="1"/>
  <c r="D1957" i="1"/>
  <c r="C1957" i="1"/>
  <c r="B1957" i="1"/>
  <c r="A1957" i="1"/>
  <c r="F1956" i="1"/>
  <c r="E1956" i="1"/>
  <c r="D1956" i="1"/>
  <c r="C1956" i="1"/>
  <c r="B1956" i="1"/>
  <c r="A1956" i="1"/>
  <c r="F1955" i="1"/>
  <c r="E1955" i="1"/>
  <c r="D1955" i="1"/>
  <c r="C1955" i="1"/>
  <c r="B1955" i="1"/>
  <c r="A1955" i="1"/>
  <c r="F1954" i="1"/>
  <c r="E1954" i="1"/>
  <c r="D1954" i="1"/>
  <c r="C1954" i="1"/>
  <c r="B1954" i="1"/>
  <c r="A1954" i="1"/>
  <c r="F1953" i="1"/>
  <c r="E1953" i="1"/>
  <c r="D1953" i="1"/>
  <c r="C1953" i="1"/>
  <c r="B1953" i="1"/>
  <c r="A1953" i="1"/>
  <c r="F1952" i="1"/>
  <c r="E1952" i="1"/>
  <c r="D1952" i="1"/>
  <c r="C1952" i="1"/>
  <c r="B1952" i="1"/>
  <c r="A1952" i="1"/>
  <c r="F1951" i="1"/>
  <c r="E1951" i="1"/>
  <c r="D1951" i="1"/>
  <c r="C1951" i="1"/>
  <c r="B1951" i="1"/>
  <c r="A1951" i="1"/>
  <c r="F1950" i="1"/>
  <c r="E1950" i="1"/>
  <c r="D1950" i="1"/>
  <c r="C1950" i="1"/>
  <c r="B1950" i="1"/>
  <c r="A1950" i="1"/>
  <c r="F1949" i="1"/>
  <c r="E1949" i="1"/>
  <c r="D1949" i="1"/>
  <c r="C1949" i="1"/>
  <c r="B1949" i="1"/>
  <c r="A1949" i="1"/>
  <c r="F1948" i="1"/>
  <c r="E1948" i="1"/>
  <c r="D1948" i="1"/>
  <c r="C1948" i="1"/>
  <c r="B1948" i="1"/>
  <c r="A1948" i="1"/>
  <c r="F1947" i="1"/>
  <c r="E1947" i="1"/>
  <c r="D1947" i="1"/>
  <c r="C1947" i="1"/>
  <c r="B1947" i="1"/>
  <c r="A1947" i="1"/>
  <c r="F1946" i="1"/>
  <c r="E1946" i="1"/>
  <c r="D1946" i="1"/>
  <c r="C1946" i="1"/>
  <c r="B1946" i="1"/>
  <c r="A1946" i="1"/>
  <c r="F1945" i="1"/>
  <c r="E1945" i="1"/>
  <c r="D1945" i="1"/>
  <c r="C1945" i="1"/>
  <c r="B1945" i="1"/>
  <c r="A1945" i="1"/>
  <c r="F1944" i="1"/>
  <c r="E1944" i="1"/>
  <c r="D1944" i="1"/>
  <c r="C1944" i="1"/>
  <c r="B1944" i="1"/>
  <c r="A1944" i="1"/>
  <c r="F1943" i="1"/>
  <c r="E1943" i="1"/>
  <c r="D1943" i="1"/>
  <c r="C1943" i="1"/>
  <c r="B1943" i="1"/>
  <c r="A1943" i="1"/>
  <c r="F1942" i="1"/>
  <c r="E1942" i="1"/>
  <c r="D1942" i="1"/>
  <c r="C1942" i="1"/>
  <c r="B1942" i="1"/>
  <c r="A1942" i="1"/>
  <c r="F1941" i="1"/>
  <c r="E1941" i="1"/>
  <c r="D1941" i="1"/>
  <c r="C1941" i="1"/>
  <c r="B1941" i="1"/>
  <c r="A1941" i="1"/>
  <c r="F1940" i="1"/>
  <c r="E1940" i="1"/>
  <c r="D1940" i="1"/>
  <c r="C1940" i="1"/>
  <c r="B1940" i="1"/>
  <c r="A1940" i="1"/>
  <c r="F1939" i="1"/>
  <c r="E1939" i="1"/>
  <c r="D1939" i="1"/>
  <c r="C1939" i="1"/>
  <c r="B1939" i="1"/>
  <c r="A1939" i="1"/>
  <c r="F1938" i="1"/>
  <c r="E1938" i="1"/>
  <c r="D1938" i="1"/>
  <c r="C1938" i="1"/>
  <c r="B1938" i="1"/>
  <c r="A1938" i="1"/>
  <c r="F1937" i="1"/>
  <c r="E1937" i="1"/>
  <c r="D1937" i="1"/>
  <c r="C1937" i="1"/>
  <c r="B1937" i="1"/>
  <c r="A1937" i="1"/>
  <c r="F1936" i="1"/>
  <c r="E1936" i="1"/>
  <c r="D1936" i="1"/>
  <c r="C1936" i="1"/>
  <c r="B1936" i="1"/>
  <c r="A1936" i="1"/>
  <c r="F1935" i="1"/>
  <c r="E1935" i="1"/>
  <c r="D1935" i="1"/>
  <c r="C1935" i="1"/>
  <c r="B1935" i="1"/>
  <c r="A1935" i="1"/>
  <c r="F1934" i="1"/>
  <c r="E1934" i="1"/>
  <c r="D1934" i="1"/>
  <c r="C1934" i="1"/>
  <c r="B1934" i="1"/>
  <c r="A1934" i="1"/>
  <c r="F1933" i="1"/>
  <c r="E1933" i="1"/>
  <c r="D1933" i="1"/>
  <c r="C1933" i="1"/>
  <c r="B1933" i="1"/>
  <c r="A1933" i="1"/>
  <c r="F1932" i="1"/>
  <c r="E1932" i="1"/>
  <c r="D1932" i="1"/>
  <c r="C1932" i="1"/>
  <c r="B1932" i="1"/>
  <c r="A1932" i="1"/>
  <c r="F1931" i="1"/>
  <c r="E1931" i="1"/>
  <c r="D1931" i="1"/>
  <c r="C1931" i="1"/>
  <c r="B1931" i="1"/>
  <c r="A1931" i="1"/>
  <c r="F1930" i="1"/>
  <c r="E1930" i="1"/>
  <c r="D1930" i="1"/>
  <c r="C1930" i="1"/>
  <c r="B1930" i="1"/>
  <c r="A1930" i="1"/>
  <c r="F1929" i="1"/>
  <c r="E1929" i="1"/>
  <c r="D1929" i="1"/>
  <c r="C1929" i="1"/>
  <c r="B1929" i="1"/>
  <c r="A1929" i="1"/>
  <c r="F1928" i="1"/>
  <c r="E1928" i="1"/>
  <c r="D1928" i="1"/>
  <c r="C1928" i="1"/>
  <c r="B1928" i="1"/>
  <c r="A1928" i="1"/>
  <c r="F1927" i="1"/>
  <c r="E1927" i="1"/>
  <c r="D1927" i="1"/>
  <c r="C1927" i="1"/>
  <c r="B1927" i="1"/>
  <c r="A1927" i="1"/>
  <c r="F1926" i="1"/>
  <c r="E1926" i="1"/>
  <c r="D1926" i="1"/>
  <c r="C1926" i="1"/>
  <c r="B1926" i="1"/>
  <c r="A1926" i="1"/>
  <c r="F1925" i="1"/>
  <c r="E1925" i="1"/>
  <c r="D1925" i="1"/>
  <c r="C1925" i="1"/>
  <c r="B1925" i="1"/>
  <c r="A1925" i="1"/>
  <c r="F1924" i="1"/>
  <c r="E1924" i="1"/>
  <c r="D1924" i="1"/>
  <c r="C1924" i="1"/>
  <c r="B1924" i="1"/>
  <c r="A1924" i="1"/>
  <c r="F1923" i="1"/>
  <c r="E1923" i="1"/>
  <c r="D1923" i="1"/>
  <c r="C1923" i="1"/>
  <c r="B1923" i="1"/>
  <c r="A1923" i="1"/>
  <c r="F1922" i="1"/>
  <c r="E1922" i="1"/>
  <c r="D1922" i="1"/>
  <c r="C1922" i="1"/>
  <c r="B1922" i="1"/>
  <c r="A1922" i="1"/>
  <c r="F1921" i="1"/>
  <c r="E1921" i="1"/>
  <c r="D1921" i="1"/>
  <c r="C1921" i="1"/>
  <c r="B1921" i="1"/>
  <c r="A1921" i="1"/>
  <c r="F1920" i="1"/>
  <c r="E1920" i="1"/>
  <c r="D1920" i="1"/>
  <c r="C1920" i="1"/>
  <c r="B1920" i="1"/>
  <c r="A1920" i="1"/>
  <c r="F1919" i="1"/>
  <c r="E1919" i="1"/>
  <c r="D1919" i="1"/>
  <c r="C1919" i="1"/>
  <c r="B1919" i="1"/>
  <c r="A1919" i="1"/>
  <c r="F1918" i="1"/>
  <c r="E1918" i="1"/>
  <c r="D1918" i="1"/>
  <c r="C1918" i="1"/>
  <c r="B1918" i="1"/>
  <c r="A1918" i="1"/>
  <c r="F1917" i="1"/>
  <c r="E1917" i="1"/>
  <c r="D1917" i="1"/>
  <c r="C1917" i="1"/>
  <c r="B1917" i="1"/>
  <c r="A1917" i="1"/>
  <c r="F1916" i="1"/>
  <c r="E1916" i="1"/>
  <c r="D1916" i="1"/>
  <c r="C1916" i="1"/>
  <c r="B1916" i="1"/>
  <c r="A1916" i="1"/>
  <c r="F1915" i="1"/>
  <c r="E1915" i="1"/>
  <c r="D1915" i="1"/>
  <c r="C1915" i="1"/>
  <c r="B1915" i="1"/>
  <c r="A1915" i="1"/>
  <c r="F1914" i="1"/>
  <c r="E1914" i="1"/>
  <c r="D1914" i="1"/>
  <c r="C1914" i="1"/>
  <c r="B1914" i="1"/>
  <c r="A1914" i="1"/>
  <c r="F1913" i="1"/>
  <c r="E1913" i="1"/>
  <c r="D1913" i="1"/>
  <c r="C1913" i="1"/>
  <c r="B1913" i="1"/>
  <c r="A1913" i="1"/>
  <c r="F1912" i="1"/>
  <c r="E1912" i="1"/>
  <c r="D1912" i="1"/>
  <c r="C1912" i="1"/>
  <c r="B1912" i="1"/>
  <c r="A1912" i="1"/>
  <c r="F1911" i="1"/>
  <c r="E1911" i="1"/>
  <c r="D1911" i="1"/>
  <c r="C1911" i="1"/>
  <c r="B1911" i="1"/>
  <c r="A1911" i="1"/>
  <c r="F1910" i="1"/>
  <c r="E1910" i="1"/>
  <c r="D1910" i="1"/>
  <c r="C1910" i="1"/>
  <c r="B1910" i="1"/>
  <c r="A1910" i="1"/>
  <c r="F1909" i="1"/>
  <c r="E1909" i="1"/>
  <c r="D1909" i="1"/>
  <c r="C1909" i="1"/>
  <c r="B1909" i="1"/>
  <c r="A1909" i="1"/>
  <c r="F1908" i="1"/>
  <c r="E1908" i="1"/>
  <c r="D1908" i="1"/>
  <c r="C1908" i="1"/>
  <c r="B1908" i="1"/>
  <c r="A1908" i="1"/>
  <c r="F1907" i="1"/>
  <c r="E1907" i="1"/>
  <c r="D1907" i="1"/>
  <c r="C1907" i="1"/>
  <c r="B1907" i="1"/>
  <c r="A1907" i="1"/>
  <c r="F1906" i="1"/>
  <c r="E1906" i="1"/>
  <c r="D1906" i="1"/>
  <c r="C1906" i="1"/>
  <c r="B1906" i="1"/>
  <c r="A1906" i="1"/>
  <c r="F1905" i="1"/>
  <c r="E1905" i="1"/>
  <c r="D1905" i="1"/>
  <c r="C1905" i="1"/>
  <c r="B1905" i="1"/>
  <c r="A1905" i="1"/>
  <c r="F1904" i="1"/>
  <c r="E1904" i="1"/>
  <c r="D1904" i="1"/>
  <c r="C1904" i="1"/>
  <c r="B1904" i="1"/>
  <c r="A1904" i="1"/>
  <c r="F1903" i="1"/>
  <c r="E1903" i="1"/>
  <c r="D1903" i="1"/>
  <c r="C1903" i="1"/>
  <c r="B1903" i="1"/>
  <c r="A1903" i="1"/>
  <c r="F1902" i="1"/>
  <c r="E1902" i="1"/>
  <c r="D1902" i="1"/>
  <c r="C1902" i="1"/>
  <c r="B1902" i="1"/>
  <c r="A1902" i="1"/>
  <c r="F1901" i="1"/>
  <c r="E1901" i="1"/>
  <c r="D1901" i="1"/>
  <c r="C1901" i="1"/>
  <c r="B1901" i="1"/>
  <c r="A1901" i="1"/>
  <c r="F1900" i="1"/>
  <c r="E1900" i="1"/>
  <c r="D1900" i="1"/>
  <c r="C1900" i="1"/>
  <c r="B1900" i="1"/>
  <c r="A1900" i="1"/>
  <c r="F1899" i="1"/>
  <c r="E1899" i="1"/>
  <c r="D1899" i="1"/>
  <c r="C1899" i="1"/>
  <c r="B1899" i="1"/>
  <c r="A1899" i="1"/>
  <c r="F1898" i="1"/>
  <c r="E1898" i="1"/>
  <c r="D1898" i="1"/>
  <c r="C1898" i="1"/>
  <c r="B1898" i="1"/>
  <c r="A1898" i="1"/>
  <c r="F1897" i="1"/>
  <c r="E1897" i="1"/>
  <c r="D1897" i="1"/>
  <c r="C1897" i="1"/>
  <c r="B1897" i="1"/>
  <c r="A1897" i="1"/>
  <c r="F1896" i="1"/>
  <c r="E1896" i="1"/>
  <c r="D1896" i="1"/>
  <c r="C1896" i="1"/>
  <c r="B1896" i="1"/>
  <c r="A1896" i="1"/>
  <c r="F1895" i="1"/>
  <c r="E1895" i="1"/>
  <c r="D1895" i="1"/>
  <c r="C1895" i="1"/>
  <c r="B1895" i="1"/>
  <c r="A1895" i="1"/>
  <c r="F1894" i="1"/>
  <c r="E1894" i="1"/>
  <c r="D1894" i="1"/>
  <c r="C1894" i="1"/>
  <c r="B1894" i="1"/>
  <c r="A1894" i="1"/>
  <c r="F1893" i="1"/>
  <c r="E1893" i="1"/>
  <c r="D1893" i="1"/>
  <c r="C1893" i="1"/>
  <c r="B1893" i="1"/>
  <c r="A1893" i="1"/>
  <c r="F1892" i="1"/>
  <c r="E1892" i="1"/>
  <c r="D1892" i="1"/>
  <c r="C1892" i="1"/>
  <c r="B1892" i="1"/>
  <c r="A1892" i="1"/>
  <c r="F1891" i="1"/>
  <c r="E1891" i="1"/>
  <c r="D1891" i="1"/>
  <c r="C1891" i="1"/>
  <c r="B1891" i="1"/>
  <c r="A1891" i="1"/>
  <c r="F1890" i="1"/>
  <c r="E1890" i="1"/>
  <c r="D1890" i="1"/>
  <c r="C1890" i="1"/>
  <c r="B1890" i="1"/>
  <c r="A1890" i="1"/>
  <c r="F1889" i="1"/>
  <c r="E1889" i="1"/>
  <c r="D1889" i="1"/>
  <c r="C1889" i="1"/>
  <c r="B1889" i="1"/>
  <c r="A1889" i="1"/>
  <c r="F1888" i="1"/>
  <c r="E1888" i="1"/>
  <c r="D1888" i="1"/>
  <c r="C1888" i="1"/>
  <c r="B1888" i="1"/>
  <c r="A1888" i="1"/>
  <c r="F1887" i="1"/>
  <c r="E1887" i="1"/>
  <c r="D1887" i="1"/>
  <c r="C1887" i="1"/>
  <c r="B1887" i="1"/>
  <c r="A1887" i="1"/>
  <c r="F1886" i="1"/>
  <c r="E1886" i="1"/>
  <c r="D1886" i="1"/>
  <c r="C1886" i="1"/>
  <c r="B1886" i="1"/>
  <c r="A1886" i="1"/>
  <c r="F1885" i="1"/>
  <c r="E1885" i="1"/>
  <c r="D1885" i="1"/>
  <c r="C1885" i="1"/>
  <c r="B1885" i="1"/>
  <c r="A1885" i="1"/>
  <c r="F1884" i="1"/>
  <c r="E1884" i="1"/>
  <c r="D1884" i="1"/>
  <c r="C1884" i="1"/>
  <c r="B1884" i="1"/>
  <c r="A1884" i="1"/>
  <c r="F1883" i="1"/>
  <c r="E1883" i="1"/>
  <c r="D1883" i="1"/>
  <c r="C1883" i="1"/>
  <c r="B1883" i="1"/>
  <c r="A1883" i="1"/>
  <c r="F1882" i="1"/>
  <c r="E1882" i="1"/>
  <c r="D1882" i="1"/>
  <c r="C1882" i="1"/>
  <c r="B1882" i="1"/>
  <c r="A1882" i="1"/>
  <c r="F1881" i="1"/>
  <c r="E1881" i="1"/>
  <c r="D1881" i="1"/>
  <c r="C1881" i="1"/>
  <c r="B1881" i="1"/>
  <c r="A1881" i="1"/>
  <c r="F1880" i="1"/>
  <c r="E1880" i="1"/>
  <c r="D1880" i="1"/>
  <c r="C1880" i="1"/>
  <c r="B1880" i="1"/>
  <c r="A1880" i="1"/>
  <c r="F1879" i="1"/>
  <c r="E1879" i="1"/>
  <c r="D1879" i="1"/>
  <c r="C1879" i="1"/>
  <c r="B1879" i="1"/>
  <c r="A1879" i="1"/>
  <c r="F1878" i="1"/>
  <c r="E1878" i="1"/>
  <c r="D1878" i="1"/>
  <c r="C1878" i="1"/>
  <c r="B1878" i="1"/>
  <c r="A1878" i="1"/>
  <c r="F1877" i="1"/>
  <c r="E1877" i="1"/>
  <c r="D1877" i="1"/>
  <c r="C1877" i="1"/>
  <c r="B1877" i="1"/>
  <c r="A1877" i="1"/>
  <c r="F1876" i="1"/>
  <c r="E1876" i="1"/>
  <c r="D1876" i="1"/>
  <c r="C1876" i="1"/>
  <c r="B1876" i="1"/>
  <c r="A1876" i="1"/>
  <c r="F1875" i="1"/>
  <c r="E1875" i="1"/>
  <c r="D1875" i="1"/>
  <c r="C1875" i="1"/>
  <c r="B1875" i="1"/>
  <c r="A1875" i="1"/>
  <c r="F1874" i="1"/>
  <c r="E1874" i="1"/>
  <c r="D1874" i="1"/>
  <c r="C1874" i="1"/>
  <c r="B1874" i="1"/>
  <c r="A1874" i="1"/>
  <c r="F1873" i="1"/>
  <c r="E1873" i="1"/>
  <c r="D1873" i="1"/>
  <c r="C1873" i="1"/>
  <c r="B1873" i="1"/>
  <c r="A1873" i="1"/>
  <c r="F1872" i="1"/>
  <c r="E1872" i="1"/>
  <c r="D1872" i="1"/>
  <c r="C1872" i="1"/>
  <c r="B1872" i="1"/>
  <c r="A1872" i="1"/>
  <c r="F1871" i="1"/>
  <c r="E1871" i="1"/>
  <c r="D1871" i="1"/>
  <c r="C1871" i="1"/>
  <c r="B1871" i="1"/>
  <c r="A1871" i="1"/>
  <c r="F1870" i="1"/>
  <c r="E1870" i="1"/>
  <c r="D1870" i="1"/>
  <c r="C1870" i="1"/>
  <c r="B1870" i="1"/>
  <c r="A1870" i="1"/>
  <c r="F1869" i="1"/>
  <c r="E1869" i="1"/>
  <c r="D1869" i="1"/>
  <c r="C1869" i="1"/>
  <c r="B1869" i="1"/>
  <c r="A1869" i="1"/>
  <c r="F1868" i="1"/>
  <c r="E1868" i="1"/>
  <c r="D1868" i="1"/>
  <c r="C1868" i="1"/>
  <c r="B1868" i="1"/>
  <c r="A1868" i="1"/>
  <c r="F1867" i="1"/>
  <c r="E1867" i="1"/>
  <c r="D1867" i="1"/>
  <c r="C1867" i="1"/>
  <c r="B1867" i="1"/>
  <c r="A1867" i="1"/>
  <c r="F1866" i="1"/>
  <c r="E1866" i="1"/>
  <c r="D1866" i="1"/>
  <c r="C1866" i="1"/>
  <c r="B1866" i="1"/>
  <c r="A1866" i="1"/>
  <c r="F1865" i="1"/>
  <c r="E1865" i="1"/>
  <c r="D1865" i="1"/>
  <c r="C1865" i="1"/>
  <c r="B1865" i="1"/>
  <c r="A1865" i="1"/>
  <c r="F1864" i="1"/>
  <c r="E1864" i="1"/>
  <c r="D1864" i="1"/>
  <c r="C1864" i="1"/>
  <c r="B1864" i="1"/>
  <c r="A1864" i="1"/>
  <c r="F1863" i="1"/>
  <c r="E1863" i="1"/>
  <c r="D1863" i="1"/>
  <c r="C1863" i="1"/>
  <c r="B1863" i="1"/>
  <c r="A1863" i="1"/>
  <c r="F1862" i="1"/>
  <c r="E1862" i="1"/>
  <c r="D1862" i="1"/>
  <c r="C1862" i="1"/>
  <c r="B1862" i="1"/>
  <c r="A1862" i="1"/>
  <c r="F1861" i="1"/>
  <c r="E1861" i="1"/>
  <c r="D1861" i="1"/>
  <c r="C1861" i="1"/>
  <c r="B1861" i="1"/>
  <c r="A1861" i="1"/>
  <c r="F1860" i="1"/>
  <c r="E1860" i="1"/>
  <c r="D1860" i="1"/>
  <c r="C1860" i="1"/>
  <c r="B1860" i="1"/>
  <c r="A1860" i="1"/>
  <c r="F1859" i="1"/>
  <c r="E1859" i="1"/>
  <c r="D1859" i="1"/>
  <c r="C1859" i="1"/>
  <c r="B1859" i="1"/>
  <c r="A1859" i="1"/>
  <c r="F1858" i="1"/>
  <c r="E1858" i="1"/>
  <c r="D1858" i="1"/>
  <c r="C1858" i="1"/>
  <c r="B1858" i="1"/>
  <c r="A1858" i="1"/>
  <c r="F1857" i="1"/>
  <c r="E1857" i="1"/>
  <c r="D1857" i="1"/>
  <c r="C1857" i="1"/>
  <c r="B1857" i="1"/>
  <c r="A1857" i="1"/>
  <c r="F1856" i="1"/>
  <c r="E1856" i="1"/>
  <c r="D1856" i="1"/>
  <c r="C1856" i="1"/>
  <c r="B1856" i="1"/>
  <c r="A1856" i="1"/>
  <c r="F1855" i="1"/>
  <c r="E1855" i="1"/>
  <c r="D1855" i="1"/>
  <c r="C1855" i="1"/>
  <c r="B1855" i="1"/>
  <c r="A1855" i="1"/>
  <c r="F1854" i="1"/>
  <c r="E1854" i="1"/>
  <c r="D1854" i="1"/>
  <c r="C1854" i="1"/>
  <c r="B1854" i="1"/>
  <c r="A1854" i="1"/>
  <c r="F1853" i="1"/>
  <c r="E1853" i="1"/>
  <c r="D1853" i="1"/>
  <c r="C1853" i="1"/>
  <c r="B1853" i="1"/>
  <c r="A1853" i="1"/>
  <c r="F1852" i="1"/>
  <c r="E1852" i="1"/>
  <c r="D1852" i="1"/>
  <c r="C1852" i="1"/>
  <c r="B1852" i="1"/>
  <c r="A1852" i="1"/>
  <c r="F1851" i="1"/>
  <c r="E1851" i="1"/>
  <c r="D1851" i="1"/>
  <c r="C1851" i="1"/>
  <c r="B1851" i="1"/>
  <c r="A1851" i="1"/>
  <c r="F1850" i="1"/>
  <c r="E1850" i="1"/>
  <c r="D1850" i="1"/>
  <c r="C1850" i="1"/>
  <c r="B1850" i="1"/>
  <c r="A1850" i="1"/>
  <c r="F1849" i="1"/>
  <c r="E1849" i="1"/>
  <c r="D1849" i="1"/>
  <c r="C1849" i="1"/>
  <c r="B1849" i="1"/>
  <c r="A1849" i="1"/>
  <c r="F1848" i="1"/>
  <c r="E1848" i="1"/>
  <c r="D1848" i="1"/>
  <c r="C1848" i="1"/>
  <c r="B1848" i="1"/>
  <c r="A1848" i="1"/>
  <c r="F1847" i="1"/>
  <c r="E1847" i="1"/>
  <c r="D1847" i="1"/>
  <c r="C1847" i="1"/>
  <c r="B1847" i="1"/>
  <c r="A1847" i="1"/>
  <c r="F1846" i="1"/>
  <c r="E1846" i="1"/>
  <c r="D1846" i="1"/>
  <c r="C1846" i="1"/>
  <c r="B1846" i="1"/>
  <c r="A1846" i="1"/>
  <c r="F1845" i="1"/>
  <c r="E1845" i="1"/>
  <c r="D1845" i="1"/>
  <c r="C1845" i="1"/>
  <c r="B1845" i="1"/>
  <c r="A1845" i="1"/>
  <c r="F1844" i="1"/>
  <c r="E1844" i="1"/>
  <c r="D1844" i="1"/>
  <c r="C1844" i="1"/>
  <c r="B1844" i="1"/>
  <c r="A1844" i="1"/>
  <c r="F1843" i="1"/>
  <c r="E1843" i="1"/>
  <c r="D1843" i="1"/>
  <c r="C1843" i="1"/>
  <c r="B1843" i="1"/>
  <c r="A1843" i="1"/>
  <c r="F1842" i="1"/>
  <c r="E1842" i="1"/>
  <c r="D1842" i="1"/>
  <c r="C1842" i="1"/>
  <c r="B1842" i="1"/>
  <c r="A1842" i="1"/>
  <c r="F1841" i="1"/>
  <c r="E1841" i="1"/>
  <c r="D1841" i="1"/>
  <c r="C1841" i="1"/>
  <c r="B1841" i="1"/>
  <c r="A1841" i="1"/>
  <c r="F1840" i="1"/>
  <c r="E1840" i="1"/>
  <c r="D1840" i="1"/>
  <c r="C1840" i="1"/>
  <c r="B1840" i="1"/>
  <c r="A1840" i="1"/>
  <c r="F1839" i="1"/>
  <c r="E1839" i="1"/>
  <c r="D1839" i="1"/>
  <c r="C1839" i="1"/>
  <c r="B1839" i="1"/>
  <c r="A1839" i="1"/>
  <c r="F1838" i="1"/>
  <c r="E1838" i="1"/>
  <c r="D1838" i="1"/>
  <c r="C1838" i="1"/>
  <c r="B1838" i="1"/>
  <c r="A1838" i="1"/>
  <c r="F1837" i="1"/>
  <c r="E1837" i="1"/>
  <c r="D1837" i="1"/>
  <c r="C1837" i="1"/>
  <c r="B1837" i="1"/>
  <c r="A1837" i="1"/>
  <c r="F1836" i="1"/>
  <c r="E1836" i="1"/>
  <c r="D1836" i="1"/>
  <c r="C1836" i="1"/>
  <c r="B1836" i="1"/>
  <c r="A1836" i="1"/>
  <c r="F1835" i="1"/>
  <c r="E1835" i="1"/>
  <c r="D1835" i="1"/>
  <c r="C1835" i="1"/>
  <c r="B1835" i="1"/>
  <c r="A1835" i="1"/>
  <c r="F1834" i="1"/>
  <c r="E1834" i="1"/>
  <c r="D1834" i="1"/>
  <c r="C1834" i="1"/>
  <c r="B1834" i="1"/>
  <c r="A1834" i="1"/>
  <c r="F1833" i="1"/>
  <c r="E1833" i="1"/>
  <c r="D1833" i="1"/>
  <c r="C1833" i="1"/>
  <c r="B1833" i="1"/>
  <c r="A1833" i="1"/>
  <c r="F1832" i="1"/>
  <c r="E1832" i="1"/>
  <c r="D1832" i="1"/>
  <c r="C1832" i="1"/>
  <c r="B1832" i="1"/>
  <c r="A1832" i="1"/>
  <c r="F1831" i="1"/>
  <c r="E1831" i="1"/>
  <c r="D1831" i="1"/>
  <c r="C1831" i="1"/>
  <c r="B1831" i="1"/>
  <c r="A1831" i="1"/>
  <c r="F1830" i="1"/>
  <c r="E1830" i="1"/>
  <c r="D1830" i="1"/>
  <c r="C1830" i="1"/>
  <c r="B1830" i="1"/>
  <c r="A1830" i="1"/>
  <c r="F1829" i="1"/>
  <c r="E1829" i="1"/>
  <c r="D1829" i="1"/>
  <c r="C1829" i="1"/>
  <c r="B1829" i="1"/>
  <c r="A1829" i="1"/>
  <c r="F1828" i="1"/>
  <c r="E1828" i="1"/>
  <c r="D1828" i="1"/>
  <c r="C1828" i="1"/>
  <c r="B1828" i="1"/>
  <c r="A1828" i="1"/>
  <c r="F1827" i="1"/>
  <c r="E1827" i="1"/>
  <c r="D1827" i="1"/>
  <c r="C1827" i="1"/>
  <c r="B1827" i="1"/>
  <c r="A1827" i="1"/>
  <c r="F1826" i="1"/>
  <c r="E1826" i="1"/>
  <c r="D1826" i="1"/>
  <c r="C1826" i="1"/>
  <c r="B1826" i="1"/>
  <c r="A1826" i="1"/>
  <c r="F1825" i="1"/>
  <c r="E1825" i="1"/>
  <c r="D1825" i="1"/>
  <c r="C1825" i="1"/>
  <c r="B1825" i="1"/>
  <c r="A1825" i="1"/>
  <c r="F1824" i="1"/>
  <c r="E1824" i="1"/>
  <c r="D1824" i="1"/>
  <c r="C1824" i="1"/>
  <c r="B1824" i="1"/>
  <c r="A1824" i="1"/>
  <c r="F1823" i="1"/>
  <c r="E1823" i="1"/>
  <c r="D1823" i="1"/>
  <c r="C1823" i="1"/>
  <c r="B1823" i="1"/>
  <c r="A1823" i="1"/>
  <c r="F1822" i="1"/>
  <c r="E1822" i="1"/>
  <c r="D1822" i="1"/>
  <c r="C1822" i="1"/>
  <c r="B1822" i="1"/>
  <c r="A1822" i="1"/>
  <c r="F1821" i="1"/>
  <c r="E1821" i="1"/>
  <c r="D1821" i="1"/>
  <c r="C1821" i="1"/>
  <c r="B1821" i="1"/>
  <c r="A1821" i="1"/>
  <c r="F1820" i="1"/>
  <c r="E1820" i="1"/>
  <c r="D1820" i="1"/>
  <c r="C1820" i="1"/>
  <c r="B1820" i="1"/>
  <c r="A1820" i="1"/>
  <c r="F1819" i="1"/>
  <c r="E1819" i="1"/>
  <c r="D1819" i="1"/>
  <c r="C1819" i="1"/>
  <c r="B1819" i="1"/>
  <c r="A1819" i="1"/>
  <c r="F1818" i="1"/>
  <c r="E1818" i="1"/>
  <c r="D1818" i="1"/>
  <c r="C1818" i="1"/>
  <c r="B1818" i="1"/>
  <c r="A1818" i="1"/>
  <c r="F1817" i="1"/>
  <c r="E1817" i="1"/>
  <c r="D1817" i="1"/>
  <c r="C1817" i="1"/>
  <c r="B1817" i="1"/>
  <c r="A1817" i="1"/>
  <c r="F1816" i="1"/>
  <c r="E1816" i="1"/>
  <c r="D1816" i="1"/>
  <c r="C1816" i="1"/>
  <c r="B1816" i="1"/>
  <c r="A1816" i="1"/>
  <c r="F1815" i="1"/>
  <c r="E1815" i="1"/>
  <c r="D1815" i="1"/>
  <c r="C1815" i="1"/>
  <c r="B1815" i="1"/>
  <c r="A1815" i="1"/>
  <c r="F1814" i="1"/>
  <c r="E1814" i="1"/>
  <c r="D1814" i="1"/>
  <c r="C1814" i="1"/>
  <c r="B1814" i="1"/>
  <c r="A1814" i="1"/>
  <c r="F1813" i="1"/>
  <c r="E1813" i="1"/>
  <c r="D1813" i="1"/>
  <c r="C1813" i="1"/>
  <c r="B1813" i="1"/>
  <c r="A1813" i="1"/>
  <c r="F1812" i="1"/>
  <c r="E1812" i="1"/>
  <c r="D1812" i="1"/>
  <c r="C1812" i="1"/>
  <c r="B1812" i="1"/>
  <c r="A1812" i="1"/>
  <c r="F1811" i="1"/>
  <c r="E1811" i="1"/>
  <c r="D1811" i="1"/>
  <c r="C1811" i="1"/>
  <c r="B1811" i="1"/>
  <c r="A1811" i="1"/>
  <c r="F1810" i="1"/>
  <c r="E1810" i="1"/>
  <c r="D1810" i="1"/>
  <c r="C1810" i="1"/>
  <c r="B1810" i="1"/>
  <c r="A1810" i="1"/>
  <c r="F1809" i="1"/>
  <c r="E1809" i="1"/>
  <c r="D1809" i="1"/>
  <c r="C1809" i="1"/>
  <c r="B1809" i="1"/>
  <c r="A1809" i="1"/>
  <c r="F1808" i="1"/>
  <c r="E1808" i="1"/>
  <c r="D1808" i="1"/>
  <c r="C1808" i="1"/>
  <c r="B1808" i="1"/>
  <c r="A1808" i="1"/>
  <c r="F1807" i="1"/>
  <c r="E1807" i="1"/>
  <c r="D1807" i="1"/>
  <c r="C1807" i="1"/>
  <c r="B1807" i="1"/>
  <c r="A1807" i="1"/>
  <c r="F1806" i="1"/>
  <c r="E1806" i="1"/>
  <c r="D1806" i="1"/>
  <c r="C1806" i="1"/>
  <c r="B1806" i="1"/>
  <c r="A1806" i="1"/>
  <c r="F1805" i="1"/>
  <c r="E1805" i="1"/>
  <c r="D1805" i="1"/>
  <c r="C1805" i="1"/>
  <c r="B1805" i="1"/>
  <c r="A1805" i="1"/>
  <c r="F1804" i="1"/>
  <c r="E1804" i="1"/>
  <c r="D1804" i="1"/>
  <c r="C1804" i="1"/>
  <c r="B1804" i="1"/>
  <c r="A1804" i="1"/>
  <c r="F1803" i="1"/>
  <c r="E1803" i="1"/>
  <c r="D1803" i="1"/>
  <c r="C1803" i="1"/>
  <c r="B1803" i="1"/>
  <c r="A1803" i="1"/>
  <c r="F1802" i="1"/>
  <c r="E1802" i="1"/>
  <c r="D1802" i="1"/>
  <c r="C1802" i="1"/>
  <c r="B1802" i="1"/>
  <c r="A1802" i="1"/>
  <c r="F1801" i="1"/>
  <c r="E1801" i="1"/>
  <c r="D1801" i="1"/>
  <c r="C1801" i="1"/>
  <c r="B1801" i="1"/>
  <c r="A1801" i="1"/>
  <c r="F1800" i="1"/>
  <c r="E1800" i="1"/>
  <c r="D1800" i="1"/>
  <c r="C1800" i="1"/>
  <c r="B1800" i="1"/>
  <c r="A1800" i="1"/>
  <c r="F1799" i="1"/>
  <c r="E1799" i="1"/>
  <c r="D1799" i="1"/>
  <c r="C1799" i="1"/>
  <c r="B1799" i="1"/>
  <c r="A1799" i="1"/>
  <c r="F1798" i="1"/>
  <c r="E1798" i="1"/>
  <c r="D1798" i="1"/>
  <c r="C1798" i="1"/>
  <c r="B1798" i="1"/>
  <c r="A1798" i="1"/>
  <c r="F1797" i="1"/>
  <c r="E1797" i="1"/>
  <c r="D1797" i="1"/>
  <c r="C1797" i="1"/>
  <c r="B1797" i="1"/>
  <c r="A1797" i="1"/>
  <c r="F1796" i="1"/>
  <c r="E1796" i="1"/>
  <c r="D1796" i="1"/>
  <c r="C1796" i="1"/>
  <c r="B1796" i="1"/>
  <c r="A1796" i="1"/>
  <c r="F1795" i="1"/>
  <c r="E1795" i="1"/>
  <c r="D1795" i="1"/>
  <c r="C1795" i="1"/>
  <c r="B1795" i="1"/>
  <c r="A1795" i="1"/>
  <c r="F1794" i="1"/>
  <c r="E1794" i="1"/>
  <c r="D1794" i="1"/>
  <c r="C1794" i="1"/>
  <c r="B1794" i="1"/>
  <c r="A1794" i="1"/>
  <c r="F1793" i="1"/>
  <c r="E1793" i="1"/>
  <c r="D1793" i="1"/>
  <c r="C1793" i="1"/>
  <c r="B1793" i="1"/>
  <c r="A1793" i="1"/>
  <c r="F1792" i="1"/>
  <c r="E1792" i="1"/>
  <c r="D1792" i="1"/>
  <c r="C1792" i="1"/>
  <c r="B1792" i="1"/>
  <c r="A1792" i="1"/>
  <c r="F1791" i="1"/>
  <c r="E1791" i="1"/>
  <c r="D1791" i="1"/>
  <c r="C1791" i="1"/>
  <c r="B1791" i="1"/>
  <c r="A1791" i="1"/>
  <c r="F1790" i="1"/>
  <c r="E1790" i="1"/>
  <c r="D1790" i="1"/>
  <c r="C1790" i="1"/>
  <c r="B1790" i="1"/>
  <c r="A1790" i="1"/>
  <c r="F1789" i="1"/>
  <c r="E1789" i="1"/>
  <c r="D1789" i="1"/>
  <c r="C1789" i="1"/>
  <c r="B1789" i="1"/>
  <c r="A1789" i="1"/>
  <c r="F1788" i="1"/>
  <c r="E1788" i="1"/>
  <c r="D1788" i="1"/>
  <c r="C1788" i="1"/>
  <c r="B1788" i="1"/>
  <c r="A1788" i="1"/>
  <c r="F1787" i="1"/>
  <c r="E1787" i="1"/>
  <c r="D1787" i="1"/>
  <c r="C1787" i="1"/>
  <c r="B1787" i="1"/>
  <c r="A1787" i="1"/>
  <c r="F1786" i="1"/>
  <c r="E1786" i="1"/>
  <c r="D1786" i="1"/>
  <c r="C1786" i="1"/>
  <c r="B1786" i="1"/>
  <c r="A1786" i="1"/>
  <c r="F1785" i="1"/>
  <c r="E1785" i="1"/>
  <c r="D1785" i="1"/>
  <c r="C1785" i="1"/>
  <c r="B1785" i="1"/>
  <c r="A1785" i="1"/>
  <c r="F1784" i="1"/>
  <c r="E1784" i="1"/>
  <c r="D1784" i="1"/>
  <c r="C1784" i="1"/>
  <c r="B1784" i="1"/>
  <c r="A1784" i="1"/>
  <c r="F1783" i="1"/>
  <c r="E1783" i="1"/>
  <c r="D1783" i="1"/>
  <c r="C1783" i="1"/>
  <c r="B1783" i="1"/>
  <c r="A1783" i="1"/>
  <c r="F1782" i="1"/>
  <c r="E1782" i="1"/>
  <c r="D1782" i="1"/>
  <c r="C1782" i="1"/>
  <c r="B1782" i="1"/>
  <c r="A1782" i="1"/>
  <c r="F1781" i="1"/>
  <c r="E1781" i="1"/>
  <c r="D1781" i="1"/>
  <c r="C1781" i="1"/>
  <c r="B1781" i="1"/>
  <c r="A1781" i="1"/>
  <c r="F1780" i="1"/>
  <c r="E1780" i="1"/>
  <c r="D1780" i="1"/>
  <c r="C1780" i="1"/>
  <c r="B1780" i="1"/>
  <c r="A1780" i="1"/>
  <c r="F1779" i="1"/>
  <c r="E1779" i="1"/>
  <c r="D1779" i="1"/>
  <c r="C1779" i="1"/>
  <c r="B1779" i="1"/>
  <c r="A1779" i="1"/>
  <c r="F1778" i="1"/>
  <c r="E1778" i="1"/>
  <c r="D1778" i="1"/>
  <c r="C1778" i="1"/>
  <c r="B1778" i="1"/>
  <c r="A1778" i="1"/>
  <c r="F1777" i="1"/>
  <c r="E1777" i="1"/>
  <c r="D1777" i="1"/>
  <c r="C1777" i="1"/>
  <c r="B1777" i="1"/>
  <c r="A1777" i="1"/>
  <c r="F1776" i="1"/>
  <c r="E1776" i="1"/>
  <c r="D1776" i="1"/>
  <c r="C1776" i="1"/>
  <c r="B1776" i="1"/>
  <c r="A1776" i="1"/>
  <c r="F1775" i="1"/>
  <c r="E1775" i="1"/>
  <c r="D1775" i="1"/>
  <c r="C1775" i="1"/>
  <c r="B1775" i="1"/>
  <c r="A1775" i="1"/>
  <c r="F1774" i="1"/>
  <c r="E1774" i="1"/>
  <c r="D1774" i="1"/>
  <c r="C1774" i="1"/>
  <c r="B1774" i="1"/>
  <c r="A1774" i="1"/>
  <c r="F1773" i="1"/>
  <c r="E1773" i="1"/>
  <c r="D1773" i="1"/>
  <c r="C1773" i="1"/>
  <c r="B1773" i="1"/>
  <c r="A1773" i="1"/>
  <c r="F1772" i="1"/>
  <c r="E1772" i="1"/>
  <c r="D1772" i="1"/>
  <c r="C1772" i="1"/>
  <c r="B1772" i="1"/>
  <c r="A1772" i="1"/>
  <c r="F1771" i="1"/>
  <c r="E1771" i="1"/>
  <c r="D1771" i="1"/>
  <c r="C1771" i="1"/>
  <c r="B1771" i="1"/>
  <c r="A1771" i="1"/>
  <c r="F1770" i="1"/>
  <c r="E1770" i="1"/>
  <c r="D1770" i="1"/>
  <c r="C1770" i="1"/>
  <c r="B1770" i="1"/>
  <c r="A1770" i="1"/>
  <c r="F1769" i="1"/>
  <c r="E1769" i="1"/>
  <c r="D1769" i="1"/>
  <c r="C1769" i="1"/>
  <c r="B1769" i="1"/>
  <c r="A1769" i="1"/>
  <c r="F1768" i="1"/>
  <c r="E1768" i="1"/>
  <c r="D1768" i="1"/>
  <c r="C1768" i="1"/>
  <c r="B1768" i="1"/>
  <c r="A1768" i="1"/>
  <c r="F1767" i="1"/>
  <c r="E1767" i="1"/>
  <c r="D1767" i="1"/>
  <c r="C1767" i="1"/>
  <c r="B1767" i="1"/>
  <c r="A1767" i="1"/>
  <c r="F1766" i="1"/>
  <c r="E1766" i="1"/>
  <c r="D1766" i="1"/>
  <c r="C1766" i="1"/>
  <c r="B1766" i="1"/>
  <c r="A1766" i="1"/>
  <c r="F1765" i="1"/>
  <c r="E1765" i="1"/>
  <c r="D1765" i="1"/>
  <c r="C1765" i="1"/>
  <c r="B1765" i="1"/>
  <c r="A1765" i="1"/>
  <c r="F1764" i="1"/>
  <c r="E1764" i="1"/>
  <c r="D1764" i="1"/>
  <c r="C1764" i="1"/>
  <c r="B1764" i="1"/>
  <c r="A1764" i="1"/>
  <c r="F1763" i="1"/>
  <c r="E1763" i="1"/>
  <c r="D1763" i="1"/>
  <c r="C1763" i="1"/>
  <c r="B1763" i="1"/>
  <c r="A1763" i="1"/>
  <c r="F1762" i="1"/>
  <c r="E1762" i="1"/>
  <c r="D1762" i="1"/>
  <c r="C1762" i="1"/>
  <c r="B1762" i="1"/>
  <c r="A1762" i="1"/>
  <c r="F1761" i="1"/>
  <c r="E1761" i="1"/>
  <c r="D1761" i="1"/>
  <c r="C1761" i="1"/>
  <c r="B1761" i="1"/>
  <c r="A1761" i="1"/>
  <c r="F1760" i="1"/>
  <c r="E1760" i="1"/>
  <c r="D1760" i="1"/>
  <c r="C1760" i="1"/>
  <c r="B1760" i="1"/>
  <c r="A1760" i="1"/>
  <c r="F1759" i="1"/>
  <c r="E1759" i="1"/>
  <c r="D1759" i="1"/>
  <c r="C1759" i="1"/>
  <c r="B1759" i="1"/>
  <c r="A1759" i="1"/>
  <c r="F1758" i="1"/>
  <c r="E1758" i="1"/>
  <c r="D1758" i="1"/>
  <c r="C1758" i="1"/>
  <c r="B1758" i="1"/>
  <c r="A1758" i="1"/>
  <c r="F1757" i="1"/>
  <c r="E1757" i="1"/>
  <c r="D1757" i="1"/>
  <c r="C1757" i="1"/>
  <c r="B1757" i="1"/>
  <c r="A1757" i="1"/>
  <c r="F1756" i="1"/>
  <c r="E1756" i="1"/>
  <c r="D1756" i="1"/>
  <c r="C1756" i="1"/>
  <c r="B1756" i="1"/>
  <c r="A1756" i="1"/>
  <c r="F1755" i="1"/>
  <c r="E1755" i="1"/>
  <c r="D1755" i="1"/>
  <c r="C1755" i="1"/>
  <c r="B1755" i="1"/>
  <c r="A1755" i="1"/>
  <c r="F1754" i="1"/>
  <c r="E1754" i="1"/>
  <c r="D1754" i="1"/>
  <c r="C1754" i="1"/>
  <c r="B1754" i="1"/>
  <c r="A1754" i="1"/>
  <c r="F1753" i="1"/>
  <c r="E1753" i="1"/>
  <c r="D1753" i="1"/>
  <c r="C1753" i="1"/>
  <c r="B1753" i="1"/>
  <c r="A1753" i="1"/>
  <c r="F1752" i="1"/>
  <c r="E1752" i="1"/>
  <c r="D1752" i="1"/>
  <c r="C1752" i="1"/>
  <c r="B1752" i="1"/>
  <c r="A1752" i="1"/>
  <c r="F1751" i="1"/>
  <c r="E1751" i="1"/>
  <c r="D1751" i="1"/>
  <c r="C1751" i="1"/>
  <c r="B1751" i="1"/>
  <c r="A1751" i="1"/>
  <c r="F1750" i="1"/>
  <c r="E1750" i="1"/>
  <c r="D1750" i="1"/>
  <c r="C1750" i="1"/>
  <c r="B1750" i="1"/>
  <c r="A1750" i="1"/>
  <c r="F1749" i="1"/>
  <c r="E1749" i="1"/>
  <c r="D1749" i="1"/>
  <c r="C1749" i="1"/>
  <c r="B1749" i="1"/>
  <c r="A1749" i="1"/>
  <c r="F1748" i="1"/>
  <c r="E1748" i="1"/>
  <c r="D1748" i="1"/>
  <c r="C1748" i="1"/>
  <c r="B1748" i="1"/>
  <c r="A1748" i="1"/>
  <c r="F1747" i="1"/>
  <c r="E1747" i="1"/>
  <c r="D1747" i="1"/>
  <c r="C1747" i="1"/>
  <c r="B1747" i="1"/>
  <c r="A1747" i="1"/>
  <c r="F1746" i="1"/>
  <c r="E1746" i="1"/>
  <c r="D1746" i="1"/>
  <c r="C1746" i="1"/>
  <c r="B1746" i="1"/>
  <c r="A1746" i="1"/>
  <c r="F1745" i="1"/>
  <c r="E1745" i="1"/>
  <c r="D1745" i="1"/>
  <c r="C1745" i="1"/>
  <c r="B1745" i="1"/>
  <c r="A1745" i="1"/>
  <c r="F1744" i="1"/>
  <c r="E1744" i="1"/>
  <c r="D1744" i="1"/>
  <c r="C1744" i="1"/>
  <c r="B1744" i="1"/>
  <c r="A1744" i="1"/>
  <c r="F1743" i="1"/>
  <c r="E1743" i="1"/>
  <c r="D1743" i="1"/>
  <c r="C1743" i="1"/>
  <c r="B1743" i="1"/>
  <c r="A1743" i="1"/>
  <c r="F1742" i="1"/>
  <c r="E1742" i="1"/>
  <c r="D1742" i="1"/>
  <c r="C1742" i="1"/>
  <c r="B1742" i="1"/>
  <c r="A1742" i="1"/>
  <c r="F1741" i="1"/>
  <c r="E1741" i="1"/>
  <c r="D1741" i="1"/>
  <c r="C1741" i="1"/>
  <c r="B1741" i="1"/>
  <c r="A1741" i="1"/>
  <c r="F1740" i="1"/>
  <c r="E1740" i="1"/>
  <c r="D1740" i="1"/>
  <c r="C1740" i="1"/>
  <c r="B1740" i="1"/>
  <c r="A1740" i="1"/>
  <c r="F1739" i="1"/>
  <c r="E1739" i="1"/>
  <c r="D1739" i="1"/>
  <c r="C1739" i="1"/>
  <c r="B1739" i="1"/>
  <c r="A1739" i="1"/>
  <c r="F1738" i="1"/>
  <c r="E1738" i="1"/>
  <c r="D1738" i="1"/>
  <c r="C1738" i="1"/>
  <c r="B1738" i="1"/>
  <c r="A1738" i="1"/>
  <c r="F1737" i="1"/>
  <c r="E1737" i="1"/>
  <c r="D1737" i="1"/>
  <c r="C1737" i="1"/>
  <c r="B1737" i="1"/>
  <c r="A1737" i="1"/>
  <c r="F1736" i="1"/>
  <c r="E1736" i="1"/>
  <c r="D1736" i="1"/>
  <c r="C1736" i="1"/>
  <c r="B1736" i="1"/>
  <c r="A1736" i="1"/>
  <c r="F1735" i="1"/>
  <c r="E1735" i="1"/>
  <c r="D1735" i="1"/>
  <c r="C1735" i="1"/>
  <c r="B1735" i="1"/>
  <c r="A1735" i="1"/>
  <c r="F1734" i="1"/>
  <c r="E1734" i="1"/>
  <c r="D1734" i="1"/>
  <c r="C1734" i="1"/>
  <c r="B1734" i="1"/>
  <c r="A1734" i="1"/>
  <c r="F1733" i="1"/>
  <c r="E1733" i="1"/>
  <c r="D1733" i="1"/>
  <c r="C1733" i="1"/>
  <c r="B1733" i="1"/>
  <c r="A1733" i="1"/>
  <c r="F1732" i="1"/>
  <c r="E1732" i="1"/>
  <c r="D1732" i="1"/>
  <c r="C1732" i="1"/>
  <c r="B1732" i="1"/>
  <c r="A1732" i="1"/>
  <c r="F1731" i="1"/>
  <c r="E1731" i="1"/>
  <c r="D1731" i="1"/>
  <c r="C1731" i="1"/>
  <c r="B1731" i="1"/>
  <c r="A1731" i="1"/>
  <c r="F1730" i="1"/>
  <c r="E1730" i="1"/>
  <c r="D1730" i="1"/>
  <c r="C1730" i="1"/>
  <c r="B1730" i="1"/>
  <c r="A1730" i="1"/>
  <c r="F1729" i="1"/>
  <c r="E1729" i="1"/>
  <c r="D1729" i="1"/>
  <c r="C1729" i="1"/>
  <c r="B1729" i="1"/>
  <c r="A1729" i="1"/>
  <c r="F1728" i="1"/>
  <c r="E1728" i="1"/>
  <c r="D1728" i="1"/>
  <c r="C1728" i="1"/>
  <c r="B1728" i="1"/>
  <c r="A1728" i="1"/>
  <c r="F1727" i="1"/>
  <c r="E1727" i="1"/>
  <c r="D1727" i="1"/>
  <c r="C1727" i="1"/>
  <c r="B1727" i="1"/>
  <c r="A1727" i="1"/>
  <c r="F1726" i="1"/>
  <c r="E1726" i="1"/>
  <c r="D1726" i="1"/>
  <c r="C1726" i="1"/>
  <c r="B1726" i="1"/>
  <c r="A1726" i="1"/>
  <c r="F1725" i="1"/>
  <c r="E1725" i="1"/>
  <c r="D1725" i="1"/>
  <c r="C1725" i="1"/>
  <c r="B1725" i="1"/>
  <c r="A1725" i="1"/>
  <c r="F1724" i="1"/>
  <c r="E1724" i="1"/>
  <c r="D1724" i="1"/>
  <c r="C1724" i="1"/>
  <c r="B1724" i="1"/>
  <c r="A1724" i="1"/>
  <c r="F1723" i="1"/>
  <c r="E1723" i="1"/>
  <c r="D1723" i="1"/>
  <c r="C1723" i="1"/>
  <c r="B1723" i="1"/>
  <c r="A1723" i="1"/>
  <c r="F1722" i="1"/>
  <c r="E1722" i="1"/>
  <c r="D1722" i="1"/>
  <c r="C1722" i="1"/>
  <c r="B1722" i="1"/>
  <c r="A1722" i="1"/>
  <c r="F1721" i="1"/>
  <c r="E1721" i="1"/>
  <c r="D1721" i="1"/>
  <c r="C1721" i="1"/>
  <c r="B1721" i="1"/>
  <c r="A1721" i="1"/>
  <c r="F1720" i="1"/>
  <c r="E1720" i="1"/>
  <c r="D1720" i="1"/>
  <c r="C1720" i="1"/>
  <c r="B1720" i="1"/>
  <c r="A1720" i="1"/>
  <c r="F1719" i="1"/>
  <c r="E1719" i="1"/>
  <c r="D1719" i="1"/>
  <c r="C1719" i="1"/>
  <c r="B1719" i="1"/>
  <c r="A1719" i="1"/>
  <c r="F1718" i="1"/>
  <c r="E1718" i="1"/>
  <c r="D1718" i="1"/>
  <c r="C1718" i="1"/>
  <c r="B1718" i="1"/>
  <c r="A1718" i="1"/>
  <c r="F1717" i="1"/>
  <c r="E1717" i="1"/>
  <c r="D1717" i="1"/>
  <c r="C1717" i="1"/>
  <c r="B1717" i="1"/>
  <c r="A1717" i="1"/>
  <c r="F1716" i="1"/>
  <c r="E1716" i="1"/>
  <c r="D1716" i="1"/>
  <c r="C1716" i="1"/>
  <c r="B1716" i="1"/>
  <c r="A1716" i="1"/>
  <c r="F1715" i="1"/>
  <c r="E1715" i="1"/>
  <c r="D1715" i="1"/>
  <c r="C1715" i="1"/>
  <c r="B1715" i="1"/>
  <c r="A1715" i="1"/>
  <c r="F1714" i="1"/>
  <c r="E1714" i="1"/>
  <c r="D1714" i="1"/>
  <c r="C1714" i="1"/>
  <c r="B1714" i="1"/>
  <c r="A1714" i="1"/>
  <c r="F1713" i="1"/>
  <c r="E1713" i="1"/>
  <c r="D1713" i="1"/>
  <c r="C1713" i="1"/>
  <c r="B1713" i="1"/>
  <c r="A1713" i="1"/>
  <c r="F1712" i="1"/>
  <c r="E1712" i="1"/>
  <c r="D1712" i="1"/>
  <c r="C1712" i="1"/>
  <c r="B1712" i="1"/>
  <c r="A1712" i="1"/>
  <c r="F1711" i="1"/>
  <c r="E1711" i="1"/>
  <c r="D1711" i="1"/>
  <c r="C1711" i="1"/>
  <c r="B1711" i="1"/>
  <c r="A1711" i="1"/>
  <c r="F1710" i="1"/>
  <c r="E1710" i="1"/>
  <c r="D1710" i="1"/>
  <c r="C1710" i="1"/>
  <c r="B1710" i="1"/>
  <c r="A1710" i="1"/>
  <c r="F1709" i="1"/>
  <c r="E1709" i="1"/>
  <c r="D1709" i="1"/>
  <c r="C1709" i="1"/>
  <c r="B1709" i="1"/>
  <c r="A1709" i="1"/>
  <c r="F1708" i="1"/>
  <c r="E1708" i="1"/>
  <c r="D1708" i="1"/>
  <c r="C1708" i="1"/>
  <c r="B1708" i="1"/>
  <c r="A1708" i="1"/>
  <c r="F1707" i="1"/>
  <c r="E1707" i="1"/>
  <c r="D1707" i="1"/>
  <c r="C1707" i="1"/>
  <c r="B1707" i="1"/>
  <c r="A1707" i="1"/>
  <c r="F1706" i="1"/>
  <c r="E1706" i="1"/>
  <c r="D1706" i="1"/>
  <c r="C1706" i="1"/>
  <c r="B1706" i="1"/>
  <c r="A1706" i="1"/>
  <c r="F1705" i="1"/>
  <c r="E1705" i="1"/>
  <c r="D1705" i="1"/>
  <c r="C1705" i="1"/>
  <c r="B1705" i="1"/>
  <c r="A1705" i="1"/>
  <c r="F1704" i="1"/>
  <c r="E1704" i="1"/>
  <c r="D1704" i="1"/>
  <c r="C1704" i="1"/>
  <c r="B1704" i="1"/>
  <c r="A1704" i="1"/>
  <c r="F1703" i="1"/>
  <c r="E1703" i="1"/>
  <c r="D1703" i="1"/>
  <c r="C1703" i="1"/>
  <c r="B1703" i="1"/>
  <c r="A1703" i="1"/>
  <c r="F1702" i="1"/>
  <c r="E1702" i="1"/>
  <c r="D1702" i="1"/>
  <c r="C1702" i="1"/>
  <c r="B1702" i="1"/>
  <c r="A1702" i="1"/>
  <c r="F1701" i="1"/>
  <c r="E1701" i="1"/>
  <c r="D1701" i="1"/>
  <c r="C1701" i="1"/>
  <c r="B1701" i="1"/>
  <c r="A1701" i="1"/>
  <c r="F1700" i="1"/>
  <c r="E1700" i="1"/>
  <c r="D1700" i="1"/>
  <c r="C1700" i="1"/>
  <c r="B1700" i="1"/>
  <c r="A1700" i="1"/>
  <c r="F1699" i="1"/>
  <c r="E1699" i="1"/>
  <c r="D1699" i="1"/>
  <c r="C1699" i="1"/>
  <c r="B1699" i="1"/>
  <c r="A1699" i="1"/>
  <c r="F1698" i="1"/>
  <c r="E1698" i="1"/>
  <c r="D1698" i="1"/>
  <c r="C1698" i="1"/>
  <c r="B1698" i="1"/>
  <c r="A1698" i="1"/>
  <c r="F1697" i="1"/>
  <c r="E1697" i="1"/>
  <c r="D1697" i="1"/>
  <c r="C1697" i="1"/>
  <c r="B1697" i="1"/>
  <c r="A1697" i="1"/>
  <c r="F1696" i="1"/>
  <c r="E1696" i="1"/>
  <c r="D1696" i="1"/>
  <c r="C1696" i="1"/>
  <c r="B1696" i="1"/>
  <c r="A1696" i="1"/>
  <c r="F1695" i="1"/>
  <c r="E1695" i="1"/>
  <c r="D1695" i="1"/>
  <c r="C1695" i="1"/>
  <c r="B1695" i="1"/>
  <c r="A1695" i="1"/>
  <c r="F1694" i="1"/>
  <c r="E1694" i="1"/>
  <c r="D1694" i="1"/>
  <c r="C1694" i="1"/>
  <c r="B1694" i="1"/>
  <c r="A1694" i="1"/>
  <c r="F1693" i="1"/>
  <c r="E1693" i="1"/>
  <c r="D1693" i="1"/>
  <c r="C1693" i="1"/>
  <c r="B1693" i="1"/>
  <c r="A1693" i="1"/>
  <c r="F1692" i="1"/>
  <c r="E1692" i="1"/>
  <c r="D1692" i="1"/>
  <c r="C1692" i="1"/>
  <c r="B1692" i="1"/>
  <c r="A1692" i="1"/>
  <c r="F1691" i="1"/>
  <c r="E1691" i="1"/>
  <c r="D1691" i="1"/>
  <c r="C1691" i="1"/>
  <c r="B1691" i="1"/>
  <c r="A1691" i="1"/>
  <c r="F1690" i="1"/>
  <c r="E1690" i="1"/>
  <c r="D1690" i="1"/>
  <c r="C1690" i="1"/>
  <c r="B1690" i="1"/>
  <c r="A1690" i="1"/>
  <c r="F1689" i="1"/>
  <c r="E1689" i="1"/>
  <c r="D1689" i="1"/>
  <c r="C1689" i="1"/>
  <c r="B1689" i="1"/>
  <c r="A1689" i="1"/>
  <c r="F1688" i="1"/>
  <c r="E1688" i="1"/>
  <c r="D1688" i="1"/>
  <c r="C1688" i="1"/>
  <c r="B1688" i="1"/>
  <c r="A1688" i="1"/>
  <c r="F1687" i="1"/>
  <c r="E1687" i="1"/>
  <c r="D1687" i="1"/>
  <c r="C1687" i="1"/>
  <c r="B1687" i="1"/>
  <c r="A1687" i="1"/>
  <c r="F1686" i="1"/>
  <c r="E1686" i="1"/>
  <c r="D1686" i="1"/>
  <c r="C1686" i="1"/>
  <c r="B1686" i="1"/>
  <c r="A1686" i="1"/>
  <c r="F1685" i="1"/>
  <c r="E1685" i="1"/>
  <c r="D1685" i="1"/>
  <c r="C1685" i="1"/>
  <c r="B1685" i="1"/>
  <c r="A1685" i="1"/>
  <c r="F1684" i="1"/>
  <c r="E1684" i="1"/>
  <c r="D1684" i="1"/>
  <c r="C1684" i="1"/>
  <c r="B1684" i="1"/>
  <c r="A1684" i="1"/>
  <c r="F1683" i="1"/>
  <c r="E1683" i="1"/>
  <c r="D1683" i="1"/>
  <c r="C1683" i="1"/>
  <c r="B1683" i="1"/>
  <c r="A1683" i="1"/>
  <c r="F1682" i="1"/>
  <c r="E1682" i="1"/>
  <c r="D1682" i="1"/>
  <c r="C1682" i="1"/>
  <c r="B1682" i="1"/>
  <c r="A1682" i="1"/>
  <c r="F1681" i="1"/>
  <c r="E1681" i="1"/>
  <c r="D1681" i="1"/>
  <c r="C1681" i="1"/>
  <c r="B1681" i="1"/>
  <c r="A1681" i="1"/>
  <c r="F1680" i="1"/>
  <c r="E1680" i="1"/>
  <c r="D1680" i="1"/>
  <c r="C1680" i="1"/>
  <c r="B1680" i="1"/>
  <c r="A1680" i="1"/>
  <c r="F1679" i="1"/>
  <c r="E1679" i="1"/>
  <c r="D1679" i="1"/>
  <c r="C1679" i="1"/>
  <c r="B1679" i="1"/>
  <c r="A1679" i="1"/>
  <c r="F1678" i="1"/>
  <c r="E1678" i="1"/>
  <c r="D1678" i="1"/>
  <c r="C1678" i="1"/>
  <c r="B1678" i="1"/>
  <c r="A1678" i="1"/>
  <c r="F1677" i="1"/>
  <c r="E1677" i="1"/>
  <c r="D1677" i="1"/>
  <c r="C1677" i="1"/>
  <c r="B1677" i="1"/>
  <c r="A1677" i="1"/>
  <c r="F1676" i="1"/>
  <c r="E1676" i="1"/>
  <c r="D1676" i="1"/>
  <c r="C1676" i="1"/>
  <c r="B1676" i="1"/>
  <c r="A1676" i="1"/>
  <c r="F1675" i="1"/>
  <c r="E1675" i="1"/>
  <c r="D1675" i="1"/>
  <c r="C1675" i="1"/>
  <c r="B1675" i="1"/>
  <c r="A1675" i="1"/>
  <c r="F1674" i="1"/>
  <c r="E1674" i="1"/>
  <c r="D1674" i="1"/>
  <c r="C1674" i="1"/>
  <c r="B1674" i="1"/>
  <c r="A1674" i="1"/>
  <c r="F1673" i="1"/>
  <c r="E1673" i="1"/>
  <c r="D1673" i="1"/>
  <c r="C1673" i="1"/>
  <c r="B1673" i="1"/>
  <c r="A1673" i="1"/>
  <c r="F1672" i="1"/>
  <c r="E1672" i="1"/>
  <c r="D1672" i="1"/>
  <c r="C1672" i="1"/>
  <c r="B1672" i="1"/>
  <c r="A1672" i="1"/>
  <c r="F1671" i="1"/>
  <c r="E1671" i="1"/>
  <c r="D1671" i="1"/>
  <c r="C1671" i="1"/>
  <c r="B1671" i="1"/>
  <c r="A1671" i="1"/>
  <c r="F1670" i="1"/>
  <c r="E1670" i="1"/>
  <c r="D1670" i="1"/>
  <c r="C1670" i="1"/>
  <c r="B1670" i="1"/>
  <c r="A1670" i="1"/>
  <c r="F1669" i="1"/>
  <c r="E1669" i="1"/>
  <c r="D1669" i="1"/>
  <c r="C1669" i="1"/>
  <c r="B1669" i="1"/>
  <c r="A1669" i="1"/>
  <c r="F1668" i="1"/>
  <c r="E1668" i="1"/>
  <c r="D1668" i="1"/>
  <c r="C1668" i="1"/>
  <c r="B1668" i="1"/>
  <c r="A1668" i="1"/>
  <c r="F1667" i="1"/>
  <c r="E1667" i="1"/>
  <c r="D1667" i="1"/>
  <c r="C1667" i="1"/>
  <c r="B1667" i="1"/>
  <c r="A1667" i="1"/>
  <c r="F1666" i="1"/>
  <c r="E1666" i="1"/>
  <c r="D1666" i="1"/>
  <c r="C1666" i="1"/>
  <c r="B1666" i="1"/>
  <c r="A1666" i="1"/>
  <c r="F1665" i="1"/>
  <c r="E1665" i="1"/>
  <c r="D1665" i="1"/>
  <c r="C1665" i="1"/>
  <c r="B1665" i="1"/>
  <c r="A1665" i="1"/>
  <c r="F1664" i="1"/>
  <c r="E1664" i="1"/>
  <c r="D1664" i="1"/>
  <c r="C1664" i="1"/>
  <c r="B1664" i="1"/>
  <c r="A1664" i="1"/>
  <c r="F1663" i="1"/>
  <c r="E1663" i="1"/>
  <c r="D1663" i="1"/>
  <c r="C1663" i="1"/>
  <c r="B1663" i="1"/>
  <c r="A1663" i="1"/>
  <c r="F1662" i="1"/>
  <c r="E1662" i="1"/>
  <c r="D1662" i="1"/>
  <c r="C1662" i="1"/>
  <c r="B1662" i="1"/>
  <c r="A1662" i="1"/>
  <c r="F1661" i="1"/>
  <c r="E1661" i="1"/>
  <c r="D1661" i="1"/>
  <c r="C1661" i="1"/>
  <c r="B1661" i="1"/>
  <c r="A1661" i="1"/>
  <c r="F1660" i="1"/>
  <c r="E1660" i="1"/>
  <c r="D1660" i="1"/>
  <c r="C1660" i="1"/>
  <c r="B1660" i="1"/>
  <c r="A1660" i="1"/>
  <c r="F1659" i="1"/>
  <c r="E1659" i="1"/>
  <c r="D1659" i="1"/>
  <c r="C1659" i="1"/>
  <c r="B1659" i="1"/>
  <c r="A1659" i="1"/>
  <c r="F1658" i="1"/>
  <c r="E1658" i="1"/>
  <c r="D1658" i="1"/>
  <c r="C1658" i="1"/>
  <c r="B1658" i="1"/>
  <c r="A1658" i="1"/>
  <c r="F1657" i="1"/>
  <c r="E1657" i="1"/>
  <c r="D1657" i="1"/>
  <c r="C1657" i="1"/>
  <c r="B1657" i="1"/>
  <c r="A1657" i="1"/>
  <c r="F1656" i="1"/>
  <c r="E1656" i="1"/>
  <c r="D1656" i="1"/>
  <c r="C1656" i="1"/>
  <c r="B1656" i="1"/>
  <c r="A1656" i="1"/>
  <c r="F1655" i="1"/>
  <c r="E1655" i="1"/>
  <c r="D1655" i="1"/>
  <c r="C1655" i="1"/>
  <c r="B1655" i="1"/>
  <c r="A1655" i="1"/>
  <c r="F1654" i="1"/>
  <c r="E1654" i="1"/>
  <c r="D1654" i="1"/>
  <c r="C1654" i="1"/>
  <c r="B1654" i="1"/>
  <c r="A1654" i="1"/>
  <c r="F1653" i="1"/>
  <c r="E1653" i="1"/>
  <c r="D1653" i="1"/>
  <c r="C1653" i="1"/>
  <c r="B1653" i="1"/>
  <c r="A1653" i="1"/>
  <c r="F1652" i="1"/>
  <c r="E1652" i="1"/>
  <c r="D1652" i="1"/>
  <c r="C1652" i="1"/>
  <c r="B1652" i="1"/>
  <c r="A1652" i="1"/>
  <c r="F1651" i="1"/>
  <c r="E1651" i="1"/>
  <c r="D1651" i="1"/>
  <c r="C1651" i="1"/>
  <c r="B1651" i="1"/>
  <c r="A1651" i="1"/>
  <c r="F1650" i="1"/>
  <c r="E1650" i="1"/>
  <c r="D1650" i="1"/>
  <c r="C1650" i="1"/>
  <c r="B1650" i="1"/>
  <c r="A1650" i="1"/>
  <c r="F1649" i="1"/>
  <c r="E1649" i="1"/>
  <c r="D1649" i="1"/>
  <c r="C1649" i="1"/>
  <c r="B1649" i="1"/>
  <c r="A1649" i="1"/>
  <c r="F1648" i="1"/>
  <c r="E1648" i="1"/>
  <c r="D1648" i="1"/>
  <c r="C1648" i="1"/>
  <c r="B1648" i="1"/>
  <c r="A1648" i="1"/>
  <c r="F1647" i="1"/>
  <c r="E1647" i="1"/>
  <c r="D1647" i="1"/>
  <c r="C1647" i="1"/>
  <c r="B1647" i="1"/>
  <c r="A1647" i="1"/>
  <c r="F1646" i="1"/>
  <c r="E1646" i="1"/>
  <c r="D1646" i="1"/>
  <c r="C1646" i="1"/>
  <c r="B1646" i="1"/>
  <c r="A1646" i="1"/>
  <c r="F1645" i="1"/>
  <c r="E1645" i="1"/>
  <c r="D1645" i="1"/>
  <c r="C1645" i="1"/>
  <c r="B1645" i="1"/>
  <c r="A1645" i="1"/>
  <c r="F1644" i="1"/>
  <c r="E1644" i="1"/>
  <c r="D1644" i="1"/>
  <c r="C1644" i="1"/>
  <c r="B1644" i="1"/>
  <c r="A1644" i="1"/>
  <c r="F1643" i="1"/>
  <c r="E1643" i="1"/>
  <c r="D1643" i="1"/>
  <c r="C1643" i="1"/>
  <c r="B1643" i="1"/>
  <c r="A1643" i="1"/>
  <c r="F1642" i="1"/>
  <c r="E1642" i="1"/>
  <c r="D1642" i="1"/>
  <c r="C1642" i="1"/>
  <c r="B1642" i="1"/>
  <c r="A1642" i="1"/>
  <c r="F1641" i="1"/>
  <c r="E1641" i="1"/>
  <c r="D1641" i="1"/>
  <c r="C1641" i="1"/>
  <c r="B1641" i="1"/>
  <c r="A1641" i="1"/>
  <c r="F1640" i="1"/>
  <c r="E1640" i="1"/>
  <c r="D1640" i="1"/>
  <c r="C1640" i="1"/>
  <c r="B1640" i="1"/>
  <c r="A1640" i="1"/>
  <c r="F1639" i="1"/>
  <c r="E1639" i="1"/>
  <c r="D1639" i="1"/>
  <c r="C1639" i="1"/>
  <c r="B1639" i="1"/>
  <c r="A1639" i="1"/>
  <c r="F1638" i="1"/>
  <c r="E1638" i="1"/>
  <c r="D1638" i="1"/>
  <c r="C1638" i="1"/>
  <c r="B1638" i="1"/>
  <c r="A1638" i="1"/>
  <c r="F1637" i="1"/>
  <c r="E1637" i="1"/>
  <c r="D1637" i="1"/>
  <c r="C1637" i="1"/>
  <c r="B1637" i="1"/>
  <c r="A1637" i="1"/>
  <c r="F1636" i="1"/>
  <c r="E1636" i="1"/>
  <c r="D1636" i="1"/>
  <c r="C1636" i="1"/>
  <c r="B1636" i="1"/>
  <c r="A1636" i="1"/>
  <c r="F1635" i="1"/>
  <c r="E1635" i="1"/>
  <c r="D1635" i="1"/>
  <c r="C1635" i="1"/>
  <c r="B1635" i="1"/>
  <c r="A1635" i="1"/>
  <c r="F1634" i="1"/>
  <c r="E1634" i="1"/>
  <c r="D1634" i="1"/>
  <c r="C1634" i="1"/>
  <c r="B1634" i="1"/>
  <c r="A1634" i="1"/>
  <c r="F1633" i="1"/>
  <c r="E1633" i="1"/>
  <c r="D1633" i="1"/>
  <c r="C1633" i="1"/>
  <c r="B1633" i="1"/>
  <c r="A1633" i="1"/>
  <c r="F1632" i="1"/>
  <c r="E1632" i="1"/>
  <c r="D1632" i="1"/>
  <c r="C1632" i="1"/>
  <c r="B1632" i="1"/>
  <c r="A1632" i="1"/>
  <c r="F1631" i="1"/>
  <c r="E1631" i="1"/>
  <c r="D1631" i="1"/>
  <c r="C1631" i="1"/>
  <c r="B1631" i="1"/>
  <c r="A1631" i="1"/>
  <c r="F1630" i="1"/>
  <c r="E1630" i="1"/>
  <c r="D1630" i="1"/>
  <c r="C1630" i="1"/>
  <c r="B1630" i="1"/>
  <c r="A1630" i="1"/>
  <c r="F1629" i="1"/>
  <c r="E1629" i="1"/>
  <c r="D1629" i="1"/>
  <c r="C1629" i="1"/>
  <c r="B1629" i="1"/>
  <c r="A1629" i="1"/>
  <c r="F1628" i="1"/>
  <c r="E1628" i="1"/>
  <c r="D1628" i="1"/>
  <c r="C1628" i="1"/>
  <c r="B1628" i="1"/>
  <c r="A1628" i="1"/>
  <c r="F1627" i="1"/>
  <c r="E1627" i="1"/>
  <c r="D1627" i="1"/>
  <c r="C1627" i="1"/>
  <c r="B1627" i="1"/>
  <c r="A1627" i="1"/>
  <c r="F1626" i="1"/>
  <c r="E1626" i="1"/>
  <c r="D1626" i="1"/>
  <c r="C1626" i="1"/>
  <c r="B1626" i="1"/>
  <c r="A1626" i="1"/>
  <c r="F1625" i="1"/>
  <c r="E1625" i="1"/>
  <c r="D1625" i="1"/>
  <c r="C1625" i="1"/>
  <c r="B1625" i="1"/>
  <c r="A1625" i="1"/>
  <c r="F1624" i="1"/>
  <c r="E1624" i="1"/>
  <c r="D1624" i="1"/>
  <c r="C1624" i="1"/>
  <c r="B1624" i="1"/>
  <c r="A1624" i="1"/>
  <c r="F1623" i="1"/>
  <c r="E1623" i="1"/>
  <c r="D1623" i="1"/>
  <c r="C1623" i="1"/>
  <c r="B1623" i="1"/>
  <c r="A1623" i="1"/>
  <c r="F1622" i="1"/>
  <c r="E1622" i="1"/>
  <c r="D1622" i="1"/>
  <c r="C1622" i="1"/>
  <c r="B1622" i="1"/>
  <c r="A1622" i="1"/>
  <c r="F1621" i="1"/>
  <c r="E1621" i="1"/>
  <c r="D1621" i="1"/>
  <c r="C1621" i="1"/>
  <c r="B1621" i="1"/>
  <c r="A1621" i="1"/>
  <c r="F1620" i="1"/>
  <c r="E1620" i="1"/>
  <c r="D1620" i="1"/>
  <c r="C1620" i="1"/>
  <c r="B1620" i="1"/>
  <c r="A1620" i="1"/>
  <c r="F1619" i="1"/>
  <c r="E1619" i="1"/>
  <c r="D1619" i="1"/>
  <c r="C1619" i="1"/>
  <c r="B1619" i="1"/>
  <c r="A1619" i="1"/>
  <c r="F1618" i="1"/>
  <c r="E1618" i="1"/>
  <c r="D1618" i="1"/>
  <c r="C1618" i="1"/>
  <c r="B1618" i="1"/>
  <c r="A1618" i="1"/>
  <c r="F1617" i="1"/>
  <c r="E1617" i="1"/>
  <c r="D1617" i="1"/>
  <c r="C1617" i="1"/>
  <c r="B1617" i="1"/>
  <c r="A1617" i="1"/>
  <c r="F1616" i="1"/>
  <c r="E1616" i="1"/>
  <c r="D1616" i="1"/>
  <c r="C1616" i="1"/>
  <c r="B1616" i="1"/>
  <c r="A1616" i="1"/>
  <c r="F1615" i="1"/>
  <c r="E1615" i="1"/>
  <c r="D1615" i="1"/>
  <c r="C1615" i="1"/>
  <c r="B1615" i="1"/>
  <c r="A1615" i="1"/>
  <c r="F1614" i="1"/>
  <c r="E1614" i="1"/>
  <c r="D1614" i="1"/>
  <c r="C1614" i="1"/>
  <c r="B1614" i="1"/>
  <c r="A1614" i="1"/>
  <c r="F1613" i="1"/>
  <c r="E1613" i="1"/>
  <c r="D1613" i="1"/>
  <c r="C1613" i="1"/>
  <c r="B1613" i="1"/>
  <c r="A1613" i="1"/>
  <c r="F1612" i="1"/>
  <c r="E1612" i="1"/>
  <c r="D1612" i="1"/>
  <c r="C1612" i="1"/>
  <c r="B1612" i="1"/>
  <c r="A1612" i="1"/>
  <c r="F1611" i="1"/>
  <c r="E1611" i="1"/>
  <c r="D1611" i="1"/>
  <c r="C1611" i="1"/>
  <c r="B1611" i="1"/>
  <c r="A1611" i="1"/>
  <c r="F1610" i="1"/>
  <c r="E1610" i="1"/>
  <c r="D1610" i="1"/>
  <c r="C1610" i="1"/>
  <c r="B1610" i="1"/>
  <c r="A1610" i="1"/>
  <c r="F1609" i="1"/>
  <c r="E1609" i="1"/>
  <c r="D1609" i="1"/>
  <c r="C1609" i="1"/>
  <c r="B1609" i="1"/>
  <c r="A1609" i="1"/>
  <c r="F1608" i="1"/>
  <c r="E1608" i="1"/>
  <c r="D1608" i="1"/>
  <c r="C1608" i="1"/>
  <c r="B1608" i="1"/>
  <c r="A1608" i="1"/>
  <c r="F1607" i="1"/>
  <c r="E1607" i="1"/>
  <c r="D1607" i="1"/>
  <c r="C1607" i="1"/>
  <c r="B1607" i="1"/>
  <c r="A1607" i="1"/>
  <c r="F1606" i="1"/>
  <c r="E1606" i="1"/>
  <c r="D1606" i="1"/>
  <c r="C1606" i="1"/>
  <c r="B1606" i="1"/>
  <c r="A1606" i="1"/>
  <c r="F1605" i="1"/>
  <c r="E1605" i="1"/>
  <c r="D1605" i="1"/>
  <c r="C1605" i="1"/>
  <c r="B1605" i="1"/>
  <c r="A1605" i="1"/>
  <c r="F1604" i="1"/>
  <c r="E1604" i="1"/>
  <c r="D1604" i="1"/>
  <c r="C1604" i="1"/>
  <c r="B1604" i="1"/>
  <c r="A1604" i="1"/>
  <c r="F1603" i="1"/>
  <c r="E1603" i="1"/>
  <c r="D1603" i="1"/>
  <c r="C1603" i="1"/>
  <c r="B1603" i="1"/>
  <c r="A1603" i="1"/>
  <c r="F1602" i="1"/>
  <c r="E1602" i="1"/>
  <c r="D1602" i="1"/>
  <c r="C1602" i="1"/>
  <c r="B1602" i="1"/>
  <c r="A1602" i="1"/>
  <c r="F1601" i="1"/>
  <c r="E1601" i="1"/>
  <c r="D1601" i="1"/>
  <c r="C1601" i="1"/>
  <c r="B1601" i="1"/>
  <c r="A1601" i="1"/>
  <c r="F1600" i="1"/>
  <c r="E1600" i="1"/>
  <c r="D1600" i="1"/>
  <c r="C1600" i="1"/>
  <c r="B1600" i="1"/>
  <c r="A1600" i="1"/>
  <c r="F1599" i="1"/>
  <c r="E1599" i="1"/>
  <c r="D1599" i="1"/>
  <c r="C1599" i="1"/>
  <c r="B1599" i="1"/>
  <c r="A1599" i="1"/>
  <c r="F1598" i="1"/>
  <c r="E1598" i="1"/>
  <c r="D1598" i="1"/>
  <c r="C1598" i="1"/>
  <c r="B1598" i="1"/>
  <c r="A1598" i="1"/>
  <c r="F1597" i="1"/>
  <c r="E1597" i="1"/>
  <c r="D1597" i="1"/>
  <c r="C1597" i="1"/>
  <c r="B1597" i="1"/>
  <c r="A1597" i="1"/>
  <c r="F1596" i="1"/>
  <c r="E1596" i="1"/>
  <c r="D1596" i="1"/>
  <c r="C1596" i="1"/>
  <c r="B1596" i="1"/>
  <c r="A1596" i="1"/>
  <c r="F1595" i="1"/>
  <c r="E1595" i="1"/>
  <c r="D1595" i="1"/>
  <c r="C1595" i="1"/>
  <c r="B1595" i="1"/>
  <c r="A1595" i="1"/>
  <c r="F1594" i="1"/>
  <c r="E1594" i="1"/>
  <c r="D1594" i="1"/>
  <c r="C1594" i="1"/>
  <c r="B1594" i="1"/>
  <c r="A1594" i="1"/>
  <c r="F1593" i="1"/>
  <c r="E1593" i="1"/>
  <c r="D1593" i="1"/>
  <c r="C1593" i="1"/>
  <c r="B1593" i="1"/>
  <c r="A1593" i="1"/>
  <c r="F1592" i="1"/>
  <c r="E1592" i="1"/>
  <c r="D1592" i="1"/>
  <c r="C1592" i="1"/>
  <c r="B1592" i="1"/>
  <c r="A1592" i="1"/>
  <c r="F1591" i="1"/>
  <c r="E1591" i="1"/>
  <c r="D1591" i="1"/>
  <c r="C1591" i="1"/>
  <c r="B1591" i="1"/>
  <c r="A1591" i="1"/>
  <c r="F1590" i="1"/>
  <c r="E1590" i="1"/>
  <c r="D1590" i="1"/>
  <c r="C1590" i="1"/>
  <c r="B1590" i="1"/>
  <c r="A1590" i="1"/>
  <c r="F1589" i="1"/>
  <c r="E1589" i="1"/>
  <c r="D1589" i="1"/>
  <c r="C1589" i="1"/>
  <c r="B1589" i="1"/>
  <c r="A1589" i="1"/>
  <c r="F1588" i="1"/>
  <c r="E1588" i="1"/>
  <c r="D1588" i="1"/>
  <c r="C1588" i="1"/>
  <c r="B1588" i="1"/>
  <c r="A1588" i="1"/>
  <c r="F1587" i="1"/>
  <c r="E1587" i="1"/>
  <c r="D1587" i="1"/>
  <c r="C1587" i="1"/>
  <c r="B1587" i="1"/>
  <c r="A1587" i="1"/>
  <c r="F1586" i="1"/>
  <c r="E1586" i="1"/>
  <c r="D1586" i="1"/>
  <c r="C1586" i="1"/>
  <c r="B1586" i="1"/>
  <c r="A1586" i="1"/>
  <c r="F1585" i="1"/>
  <c r="E1585" i="1"/>
  <c r="D1585" i="1"/>
  <c r="C1585" i="1"/>
  <c r="B1585" i="1"/>
  <c r="A1585" i="1"/>
  <c r="F1584" i="1"/>
  <c r="E1584" i="1"/>
  <c r="D1584" i="1"/>
  <c r="C1584" i="1"/>
  <c r="B1584" i="1"/>
  <c r="A1584" i="1"/>
  <c r="F1583" i="1"/>
  <c r="E1583" i="1"/>
  <c r="D1583" i="1"/>
  <c r="C1583" i="1"/>
  <c r="B1583" i="1"/>
  <c r="A1583" i="1"/>
  <c r="F1582" i="1"/>
  <c r="E1582" i="1"/>
  <c r="D1582" i="1"/>
  <c r="C1582" i="1"/>
  <c r="B1582" i="1"/>
  <c r="A1582" i="1"/>
  <c r="F1581" i="1"/>
  <c r="E1581" i="1"/>
  <c r="D1581" i="1"/>
  <c r="C1581" i="1"/>
  <c r="B1581" i="1"/>
  <c r="A1581" i="1"/>
  <c r="F1580" i="1"/>
  <c r="E1580" i="1"/>
  <c r="D1580" i="1"/>
  <c r="C1580" i="1"/>
  <c r="B1580" i="1"/>
  <c r="A1580" i="1"/>
  <c r="F1579" i="1"/>
  <c r="E1579" i="1"/>
  <c r="D1579" i="1"/>
  <c r="C1579" i="1"/>
  <c r="B1579" i="1"/>
  <c r="A1579" i="1"/>
  <c r="F1578" i="1"/>
  <c r="E1578" i="1"/>
  <c r="D1578" i="1"/>
  <c r="C1578" i="1"/>
  <c r="B1578" i="1"/>
  <c r="A1578" i="1"/>
  <c r="F1577" i="1"/>
  <c r="E1577" i="1"/>
  <c r="D1577" i="1"/>
  <c r="C1577" i="1"/>
  <c r="B1577" i="1"/>
  <c r="A1577" i="1"/>
  <c r="F1576" i="1"/>
  <c r="E1576" i="1"/>
  <c r="D1576" i="1"/>
  <c r="C1576" i="1"/>
  <c r="B1576" i="1"/>
  <c r="A1576" i="1"/>
  <c r="F1575" i="1"/>
  <c r="E1575" i="1"/>
  <c r="D1575" i="1"/>
  <c r="C1575" i="1"/>
  <c r="B1575" i="1"/>
  <c r="A1575" i="1"/>
  <c r="F1574" i="1"/>
  <c r="E1574" i="1"/>
  <c r="D1574" i="1"/>
  <c r="C1574" i="1"/>
  <c r="B1574" i="1"/>
  <c r="A1574" i="1"/>
  <c r="F1573" i="1"/>
  <c r="E1573" i="1"/>
  <c r="D1573" i="1"/>
  <c r="C1573" i="1"/>
  <c r="B1573" i="1"/>
  <c r="A1573" i="1"/>
  <c r="F1572" i="1"/>
  <c r="E1572" i="1"/>
  <c r="D1572" i="1"/>
  <c r="C1572" i="1"/>
  <c r="B1572" i="1"/>
  <c r="A1572" i="1"/>
  <c r="F1571" i="1"/>
  <c r="E1571" i="1"/>
  <c r="D1571" i="1"/>
  <c r="C1571" i="1"/>
  <c r="B1571" i="1"/>
  <c r="A1571" i="1"/>
  <c r="F1570" i="1"/>
  <c r="E1570" i="1"/>
  <c r="D1570" i="1"/>
  <c r="C1570" i="1"/>
  <c r="B1570" i="1"/>
  <c r="A1570" i="1"/>
  <c r="F1569" i="1"/>
  <c r="E1569" i="1"/>
  <c r="D1569" i="1"/>
  <c r="C1569" i="1"/>
  <c r="B1569" i="1"/>
  <c r="A1569" i="1"/>
  <c r="F1568" i="1"/>
  <c r="E1568" i="1"/>
  <c r="D1568" i="1"/>
  <c r="C1568" i="1"/>
  <c r="B1568" i="1"/>
  <c r="A1568" i="1"/>
  <c r="F1567" i="1"/>
  <c r="E1567" i="1"/>
  <c r="D1567" i="1"/>
  <c r="C1567" i="1"/>
  <c r="B1567" i="1"/>
  <c r="A1567" i="1"/>
  <c r="F1566" i="1"/>
  <c r="E1566" i="1"/>
  <c r="D1566" i="1"/>
  <c r="C1566" i="1"/>
  <c r="B1566" i="1"/>
  <c r="A1566" i="1"/>
  <c r="F1565" i="1"/>
  <c r="E1565" i="1"/>
  <c r="D1565" i="1"/>
  <c r="C1565" i="1"/>
  <c r="B1565" i="1"/>
  <c r="A1565" i="1"/>
  <c r="F1564" i="1"/>
  <c r="E1564" i="1"/>
  <c r="D1564" i="1"/>
  <c r="C1564" i="1"/>
  <c r="B1564" i="1"/>
  <c r="A1564" i="1"/>
  <c r="F1563" i="1"/>
  <c r="E1563" i="1"/>
  <c r="D1563" i="1"/>
  <c r="C1563" i="1"/>
  <c r="B1563" i="1"/>
  <c r="A1563" i="1"/>
  <c r="F1562" i="1"/>
  <c r="E1562" i="1"/>
  <c r="D1562" i="1"/>
  <c r="C1562" i="1"/>
  <c r="B1562" i="1"/>
  <c r="A1562" i="1"/>
  <c r="F1561" i="1"/>
  <c r="E1561" i="1"/>
  <c r="D1561" i="1"/>
  <c r="C1561" i="1"/>
  <c r="B1561" i="1"/>
  <c r="A1561" i="1"/>
  <c r="F1560" i="1"/>
  <c r="E1560" i="1"/>
  <c r="D1560" i="1"/>
  <c r="C1560" i="1"/>
  <c r="B1560" i="1"/>
  <c r="A1560" i="1"/>
  <c r="F1559" i="1"/>
  <c r="E1559" i="1"/>
  <c r="D1559" i="1"/>
  <c r="C1559" i="1"/>
  <c r="B1559" i="1"/>
  <c r="A1559" i="1"/>
  <c r="F1558" i="1"/>
  <c r="E1558" i="1"/>
  <c r="D1558" i="1"/>
  <c r="C1558" i="1"/>
  <c r="B1558" i="1"/>
  <c r="A1558" i="1"/>
  <c r="F1557" i="1"/>
  <c r="E1557" i="1"/>
  <c r="D1557" i="1"/>
  <c r="C1557" i="1"/>
  <c r="B1557" i="1"/>
  <c r="A1557" i="1"/>
  <c r="F1556" i="1"/>
  <c r="E1556" i="1"/>
  <c r="D1556" i="1"/>
  <c r="C1556" i="1"/>
  <c r="B1556" i="1"/>
  <c r="A1556" i="1"/>
  <c r="F1555" i="1"/>
  <c r="E1555" i="1"/>
  <c r="D1555" i="1"/>
  <c r="C1555" i="1"/>
  <c r="B1555" i="1"/>
  <c r="A1555" i="1"/>
  <c r="F1554" i="1"/>
  <c r="E1554" i="1"/>
  <c r="D1554" i="1"/>
  <c r="C1554" i="1"/>
  <c r="B1554" i="1"/>
  <c r="A1554" i="1"/>
  <c r="F1553" i="1"/>
  <c r="E1553" i="1"/>
  <c r="D1553" i="1"/>
  <c r="C1553" i="1"/>
  <c r="B1553" i="1"/>
  <c r="A1553" i="1"/>
  <c r="F1552" i="1"/>
  <c r="E1552" i="1"/>
  <c r="D1552" i="1"/>
  <c r="C1552" i="1"/>
  <c r="B1552" i="1"/>
  <c r="A1552" i="1"/>
  <c r="F1551" i="1"/>
  <c r="E1551" i="1"/>
  <c r="D1551" i="1"/>
  <c r="C1551" i="1"/>
  <c r="B1551" i="1"/>
  <c r="A1551" i="1"/>
  <c r="F1550" i="1"/>
  <c r="E1550" i="1"/>
  <c r="D1550" i="1"/>
  <c r="C1550" i="1"/>
  <c r="B1550" i="1"/>
  <c r="A1550" i="1"/>
  <c r="F1549" i="1"/>
  <c r="E1549" i="1"/>
  <c r="D1549" i="1"/>
  <c r="C1549" i="1"/>
  <c r="B1549" i="1"/>
  <c r="A1549" i="1"/>
  <c r="F1548" i="1"/>
  <c r="E1548" i="1"/>
  <c r="D1548" i="1"/>
  <c r="C1548" i="1"/>
  <c r="B1548" i="1"/>
  <c r="A1548" i="1"/>
  <c r="F1547" i="1"/>
  <c r="E1547" i="1"/>
  <c r="D1547" i="1"/>
  <c r="C1547" i="1"/>
  <c r="B1547" i="1"/>
  <c r="A1547" i="1"/>
  <c r="F1546" i="1"/>
  <c r="E1546" i="1"/>
  <c r="D1546" i="1"/>
  <c r="C1546" i="1"/>
  <c r="B1546" i="1"/>
  <c r="A1546" i="1"/>
  <c r="F1545" i="1"/>
  <c r="E1545" i="1"/>
  <c r="D1545" i="1"/>
  <c r="C1545" i="1"/>
  <c r="B1545" i="1"/>
  <c r="A1545" i="1"/>
  <c r="F1544" i="1"/>
  <c r="E1544" i="1"/>
  <c r="D1544" i="1"/>
  <c r="C1544" i="1"/>
  <c r="B1544" i="1"/>
  <c r="A1544" i="1"/>
  <c r="F1543" i="1"/>
  <c r="E1543" i="1"/>
  <c r="D1543" i="1"/>
  <c r="C1543" i="1"/>
  <c r="B1543" i="1"/>
  <c r="A1543" i="1"/>
  <c r="F1542" i="1"/>
  <c r="E1542" i="1"/>
  <c r="D1542" i="1"/>
  <c r="C1542" i="1"/>
  <c r="B1542" i="1"/>
  <c r="A1542" i="1"/>
  <c r="F1541" i="1"/>
  <c r="E1541" i="1"/>
  <c r="D1541" i="1"/>
  <c r="C1541" i="1"/>
  <c r="B1541" i="1"/>
  <c r="A1541" i="1"/>
  <c r="F1540" i="1"/>
  <c r="E1540" i="1"/>
  <c r="D1540" i="1"/>
  <c r="C1540" i="1"/>
  <c r="B1540" i="1"/>
  <c r="A1540" i="1"/>
  <c r="F1539" i="1"/>
  <c r="E1539" i="1"/>
  <c r="D1539" i="1"/>
  <c r="C1539" i="1"/>
  <c r="B1539" i="1"/>
  <c r="A1539" i="1"/>
  <c r="F1538" i="1"/>
  <c r="E1538" i="1"/>
  <c r="D1538" i="1"/>
  <c r="C1538" i="1"/>
  <c r="B1538" i="1"/>
  <c r="A1538" i="1"/>
  <c r="F1537" i="1"/>
  <c r="E1537" i="1"/>
  <c r="D1537" i="1"/>
  <c r="C1537" i="1"/>
  <c r="B1537" i="1"/>
  <c r="A1537" i="1"/>
  <c r="F1536" i="1"/>
  <c r="E1536" i="1"/>
  <c r="D1536" i="1"/>
  <c r="C1536" i="1"/>
  <c r="B1536" i="1"/>
  <c r="A1536" i="1"/>
  <c r="F1535" i="1"/>
  <c r="E1535" i="1"/>
  <c r="D1535" i="1"/>
  <c r="C1535" i="1"/>
  <c r="B1535" i="1"/>
  <c r="A1535" i="1"/>
  <c r="F1534" i="1"/>
  <c r="E1534" i="1"/>
  <c r="D1534" i="1"/>
  <c r="C1534" i="1"/>
  <c r="B1534" i="1"/>
  <c r="A1534" i="1"/>
  <c r="F1533" i="1"/>
  <c r="E1533" i="1"/>
  <c r="D1533" i="1"/>
  <c r="C1533" i="1"/>
  <c r="B1533" i="1"/>
  <c r="A1533" i="1"/>
  <c r="F1532" i="1"/>
  <c r="E1532" i="1"/>
  <c r="D1532" i="1"/>
  <c r="C1532" i="1"/>
  <c r="B1532" i="1"/>
  <c r="A1532" i="1"/>
  <c r="F1531" i="1"/>
  <c r="E1531" i="1"/>
  <c r="D1531" i="1"/>
  <c r="C1531" i="1"/>
  <c r="B1531" i="1"/>
  <c r="A1531" i="1"/>
  <c r="F1530" i="1"/>
  <c r="E1530" i="1"/>
  <c r="D1530" i="1"/>
  <c r="C1530" i="1"/>
  <c r="B1530" i="1"/>
  <c r="A1530" i="1"/>
  <c r="F1529" i="1"/>
  <c r="E1529" i="1"/>
  <c r="D1529" i="1"/>
  <c r="C1529" i="1"/>
  <c r="B1529" i="1"/>
  <c r="A1529" i="1"/>
  <c r="F1528" i="1"/>
  <c r="E1528" i="1"/>
  <c r="D1528" i="1"/>
  <c r="C1528" i="1"/>
  <c r="B1528" i="1"/>
  <c r="A1528" i="1"/>
  <c r="F1527" i="1"/>
  <c r="E1527" i="1"/>
  <c r="D1527" i="1"/>
  <c r="C1527" i="1"/>
  <c r="B1527" i="1"/>
  <c r="A1527" i="1"/>
  <c r="F1526" i="1"/>
  <c r="E1526" i="1"/>
  <c r="D1526" i="1"/>
  <c r="C1526" i="1"/>
  <c r="B1526" i="1"/>
  <c r="A1526" i="1"/>
  <c r="F1525" i="1"/>
  <c r="E1525" i="1"/>
  <c r="D1525" i="1"/>
  <c r="C1525" i="1"/>
  <c r="B1525" i="1"/>
  <c r="A1525" i="1"/>
  <c r="F1524" i="1"/>
  <c r="E1524" i="1"/>
  <c r="D1524" i="1"/>
  <c r="C1524" i="1"/>
  <c r="B1524" i="1"/>
  <c r="A1524" i="1"/>
  <c r="F1523" i="1"/>
  <c r="E1523" i="1"/>
  <c r="D1523" i="1"/>
  <c r="C1523" i="1"/>
  <c r="B1523" i="1"/>
  <c r="A1523" i="1"/>
  <c r="F1522" i="1"/>
  <c r="E1522" i="1"/>
  <c r="D1522" i="1"/>
  <c r="C1522" i="1"/>
  <c r="B1522" i="1"/>
  <c r="A1522" i="1"/>
  <c r="F1521" i="1"/>
  <c r="E1521" i="1"/>
  <c r="D1521" i="1"/>
  <c r="C1521" i="1"/>
  <c r="B1521" i="1"/>
  <c r="A1521" i="1"/>
  <c r="F1520" i="1"/>
  <c r="E1520" i="1"/>
  <c r="D1520" i="1"/>
  <c r="C1520" i="1"/>
  <c r="B1520" i="1"/>
  <c r="A1520" i="1"/>
  <c r="F1519" i="1"/>
  <c r="E1519" i="1"/>
  <c r="D1519" i="1"/>
  <c r="C1519" i="1"/>
  <c r="B1519" i="1"/>
  <c r="A1519" i="1"/>
  <c r="F1518" i="1"/>
  <c r="E1518" i="1"/>
  <c r="D1518" i="1"/>
  <c r="C1518" i="1"/>
  <c r="B1518" i="1"/>
  <c r="A1518" i="1"/>
  <c r="F1517" i="1"/>
  <c r="E1517" i="1"/>
  <c r="D1517" i="1"/>
  <c r="C1517" i="1"/>
  <c r="B1517" i="1"/>
  <c r="A1517" i="1"/>
  <c r="F1516" i="1"/>
  <c r="E1516" i="1"/>
  <c r="D1516" i="1"/>
  <c r="C1516" i="1"/>
  <c r="B1516" i="1"/>
  <c r="A1516" i="1"/>
  <c r="F1515" i="1"/>
  <c r="E1515" i="1"/>
  <c r="D1515" i="1"/>
  <c r="C1515" i="1"/>
  <c r="B1515" i="1"/>
  <c r="A1515" i="1"/>
  <c r="F1514" i="1"/>
  <c r="E1514" i="1"/>
  <c r="D1514" i="1"/>
  <c r="C1514" i="1"/>
  <c r="B1514" i="1"/>
  <c r="A1514" i="1"/>
  <c r="F1513" i="1"/>
  <c r="E1513" i="1"/>
  <c r="D1513" i="1"/>
  <c r="C1513" i="1"/>
  <c r="B1513" i="1"/>
  <c r="A1513" i="1"/>
  <c r="F1512" i="1"/>
  <c r="E1512" i="1"/>
  <c r="D1512" i="1"/>
  <c r="C1512" i="1"/>
  <c r="B1512" i="1"/>
  <c r="A1512" i="1"/>
  <c r="F1511" i="1"/>
  <c r="E1511" i="1"/>
  <c r="D1511" i="1"/>
  <c r="C1511" i="1"/>
  <c r="B1511" i="1"/>
  <c r="A1511" i="1"/>
  <c r="F1510" i="1"/>
  <c r="E1510" i="1"/>
  <c r="D1510" i="1"/>
  <c r="C1510" i="1"/>
  <c r="B1510" i="1"/>
  <c r="A1510" i="1"/>
  <c r="F1509" i="1"/>
  <c r="E1509" i="1"/>
  <c r="D1509" i="1"/>
  <c r="C1509" i="1"/>
  <c r="B1509" i="1"/>
  <c r="A1509" i="1"/>
  <c r="F1508" i="1"/>
  <c r="E1508" i="1"/>
  <c r="D1508" i="1"/>
  <c r="C1508" i="1"/>
  <c r="B1508" i="1"/>
  <c r="A1508" i="1"/>
  <c r="F1507" i="1"/>
  <c r="E1507" i="1"/>
  <c r="D1507" i="1"/>
  <c r="C1507" i="1"/>
  <c r="B1507" i="1"/>
  <c r="A1507" i="1"/>
  <c r="F1506" i="1"/>
  <c r="E1506" i="1"/>
  <c r="D1506" i="1"/>
  <c r="C1506" i="1"/>
  <c r="B1506" i="1"/>
  <c r="A1506" i="1"/>
  <c r="F1505" i="1"/>
  <c r="E1505" i="1"/>
  <c r="D1505" i="1"/>
  <c r="C1505" i="1"/>
  <c r="B1505" i="1"/>
  <c r="A1505" i="1"/>
  <c r="F1504" i="1"/>
  <c r="E1504" i="1"/>
  <c r="D1504" i="1"/>
  <c r="C1504" i="1"/>
  <c r="B1504" i="1"/>
  <c r="A1504" i="1"/>
  <c r="F1503" i="1"/>
  <c r="E1503" i="1"/>
  <c r="D1503" i="1"/>
  <c r="C1503" i="1"/>
  <c r="B1503" i="1"/>
  <c r="A1503" i="1"/>
  <c r="F1502" i="1"/>
  <c r="E1502" i="1"/>
  <c r="D1502" i="1"/>
  <c r="C1502" i="1"/>
  <c r="B1502" i="1"/>
  <c r="A1502" i="1"/>
  <c r="F1501" i="1"/>
  <c r="E1501" i="1"/>
  <c r="D1501" i="1"/>
  <c r="C1501" i="1"/>
  <c r="B1501" i="1"/>
  <c r="A1501" i="1"/>
  <c r="F1500" i="1"/>
  <c r="E1500" i="1"/>
  <c r="D1500" i="1"/>
  <c r="C1500" i="1"/>
  <c r="B1500" i="1"/>
  <c r="A1500" i="1"/>
  <c r="F1499" i="1"/>
  <c r="E1499" i="1"/>
  <c r="D1499" i="1"/>
  <c r="C1499" i="1"/>
  <c r="B1499" i="1"/>
  <c r="A1499" i="1"/>
  <c r="F1498" i="1"/>
  <c r="E1498" i="1"/>
  <c r="D1498" i="1"/>
  <c r="C1498" i="1"/>
  <c r="B1498" i="1"/>
  <c r="A1498" i="1"/>
  <c r="F1497" i="1"/>
  <c r="E1497" i="1"/>
  <c r="D1497" i="1"/>
  <c r="C1497" i="1"/>
  <c r="B1497" i="1"/>
  <c r="A1497" i="1"/>
  <c r="F1496" i="1"/>
  <c r="E1496" i="1"/>
  <c r="D1496" i="1"/>
  <c r="C1496" i="1"/>
  <c r="B1496" i="1"/>
  <c r="A1496" i="1"/>
  <c r="F1495" i="1"/>
  <c r="E1495" i="1"/>
  <c r="D1495" i="1"/>
  <c r="C1495" i="1"/>
  <c r="B1495" i="1"/>
  <c r="A1495" i="1"/>
  <c r="F1494" i="1"/>
  <c r="E1494" i="1"/>
  <c r="D1494" i="1"/>
  <c r="C1494" i="1"/>
  <c r="B1494" i="1"/>
  <c r="A1494" i="1"/>
  <c r="F1493" i="1"/>
  <c r="E1493" i="1"/>
  <c r="D1493" i="1"/>
  <c r="C1493" i="1"/>
  <c r="B1493" i="1"/>
  <c r="A1493" i="1"/>
  <c r="F1492" i="1"/>
  <c r="E1492" i="1"/>
  <c r="D1492" i="1"/>
  <c r="C1492" i="1"/>
  <c r="B1492" i="1"/>
  <c r="A1492" i="1"/>
  <c r="F1491" i="1"/>
  <c r="E1491" i="1"/>
  <c r="D1491" i="1"/>
  <c r="C1491" i="1"/>
  <c r="B1491" i="1"/>
  <c r="A1491" i="1"/>
  <c r="F1490" i="1"/>
  <c r="E1490" i="1"/>
  <c r="D1490" i="1"/>
  <c r="C1490" i="1"/>
  <c r="B1490" i="1"/>
  <c r="A1490" i="1"/>
  <c r="F1489" i="1"/>
  <c r="E1489" i="1"/>
  <c r="D1489" i="1"/>
  <c r="C1489" i="1"/>
  <c r="B1489" i="1"/>
  <c r="A1489" i="1"/>
  <c r="F1488" i="1"/>
  <c r="E1488" i="1"/>
  <c r="D1488" i="1"/>
  <c r="C1488" i="1"/>
  <c r="B1488" i="1"/>
  <c r="A1488" i="1"/>
  <c r="F1487" i="1"/>
  <c r="E1487" i="1"/>
  <c r="D1487" i="1"/>
  <c r="C1487" i="1"/>
  <c r="B1487" i="1"/>
  <c r="A1487" i="1"/>
  <c r="F1486" i="1"/>
  <c r="E1486" i="1"/>
  <c r="D1486" i="1"/>
  <c r="C1486" i="1"/>
  <c r="B1486" i="1"/>
  <c r="A1486" i="1"/>
  <c r="F1485" i="1"/>
  <c r="E1485" i="1"/>
  <c r="D1485" i="1"/>
  <c r="C1485" i="1"/>
  <c r="B1485" i="1"/>
  <c r="A1485" i="1"/>
  <c r="F1484" i="1"/>
  <c r="E1484" i="1"/>
  <c r="D1484" i="1"/>
  <c r="C1484" i="1"/>
  <c r="B1484" i="1"/>
  <c r="A1484" i="1"/>
  <c r="F1483" i="1"/>
  <c r="E1483" i="1"/>
  <c r="D1483" i="1"/>
  <c r="C1483" i="1"/>
  <c r="B1483" i="1"/>
  <c r="A1483" i="1"/>
  <c r="F1482" i="1"/>
  <c r="E1482" i="1"/>
  <c r="D1482" i="1"/>
  <c r="C1482" i="1"/>
  <c r="B1482" i="1"/>
  <c r="A1482" i="1"/>
  <c r="F1481" i="1"/>
  <c r="E1481" i="1"/>
  <c r="D1481" i="1"/>
  <c r="C1481" i="1"/>
  <c r="B1481" i="1"/>
  <c r="A1481" i="1"/>
  <c r="F1480" i="1"/>
  <c r="E1480" i="1"/>
  <c r="D1480" i="1"/>
  <c r="C1480" i="1"/>
  <c r="B1480" i="1"/>
  <c r="A1480" i="1"/>
  <c r="F1479" i="1"/>
  <c r="E1479" i="1"/>
  <c r="D1479" i="1"/>
  <c r="C1479" i="1"/>
  <c r="B1479" i="1"/>
  <c r="A1479" i="1"/>
  <c r="F1478" i="1"/>
  <c r="E1478" i="1"/>
  <c r="D1478" i="1"/>
  <c r="C1478" i="1"/>
  <c r="B1478" i="1"/>
  <c r="A1478" i="1"/>
  <c r="F1477" i="1"/>
  <c r="E1477" i="1"/>
  <c r="D1477" i="1"/>
  <c r="C1477" i="1"/>
  <c r="B1477" i="1"/>
  <c r="A1477" i="1"/>
  <c r="F1476" i="1"/>
  <c r="E1476" i="1"/>
  <c r="D1476" i="1"/>
  <c r="C1476" i="1"/>
  <c r="B1476" i="1"/>
  <c r="A1476" i="1"/>
  <c r="F1475" i="1"/>
  <c r="E1475" i="1"/>
  <c r="D1475" i="1"/>
  <c r="C1475" i="1"/>
  <c r="B1475" i="1"/>
  <c r="A1475" i="1"/>
  <c r="F1474" i="1"/>
  <c r="E1474" i="1"/>
  <c r="D1474" i="1"/>
  <c r="C1474" i="1"/>
  <c r="B1474" i="1"/>
  <c r="A1474" i="1"/>
  <c r="F1473" i="1"/>
  <c r="E1473" i="1"/>
  <c r="D1473" i="1"/>
  <c r="C1473" i="1"/>
  <c r="B1473" i="1"/>
  <c r="A1473" i="1"/>
  <c r="F1472" i="1"/>
  <c r="E1472" i="1"/>
  <c r="D1472" i="1"/>
  <c r="C1472" i="1"/>
  <c r="B1472" i="1"/>
  <c r="A1472" i="1"/>
  <c r="F1471" i="1"/>
  <c r="E1471" i="1"/>
  <c r="D1471" i="1"/>
  <c r="C1471" i="1"/>
  <c r="B1471" i="1"/>
  <c r="A1471" i="1"/>
  <c r="F1470" i="1"/>
  <c r="E1470" i="1"/>
  <c r="D1470" i="1"/>
  <c r="C1470" i="1"/>
  <c r="B1470" i="1"/>
  <c r="A1470" i="1"/>
  <c r="F1469" i="1"/>
  <c r="E1469" i="1"/>
  <c r="D1469" i="1"/>
  <c r="C1469" i="1"/>
  <c r="B1469" i="1"/>
  <c r="A1469" i="1"/>
  <c r="F1468" i="1"/>
  <c r="E1468" i="1"/>
  <c r="D1468" i="1"/>
  <c r="C1468" i="1"/>
  <c r="B1468" i="1"/>
  <c r="A1468" i="1"/>
  <c r="F1467" i="1"/>
  <c r="E1467" i="1"/>
  <c r="D1467" i="1"/>
  <c r="C1467" i="1"/>
  <c r="B1467" i="1"/>
  <c r="A1467" i="1"/>
  <c r="F1466" i="1"/>
  <c r="E1466" i="1"/>
  <c r="D1466" i="1"/>
  <c r="C1466" i="1"/>
  <c r="B1466" i="1"/>
  <c r="A1466" i="1"/>
  <c r="F1465" i="1"/>
  <c r="E1465" i="1"/>
  <c r="D1465" i="1"/>
  <c r="C1465" i="1"/>
  <c r="B1465" i="1"/>
  <c r="A1465" i="1"/>
  <c r="F1464" i="1"/>
  <c r="E1464" i="1"/>
  <c r="D1464" i="1"/>
  <c r="C1464" i="1"/>
  <c r="B1464" i="1"/>
  <c r="A1464" i="1"/>
  <c r="F1463" i="1"/>
  <c r="E1463" i="1"/>
  <c r="D1463" i="1"/>
  <c r="C1463" i="1"/>
  <c r="B1463" i="1"/>
  <c r="A1463" i="1"/>
  <c r="F1462" i="1"/>
  <c r="E1462" i="1"/>
  <c r="D1462" i="1"/>
  <c r="C1462" i="1"/>
  <c r="B1462" i="1"/>
  <c r="A1462" i="1"/>
  <c r="F1461" i="1"/>
  <c r="E1461" i="1"/>
  <c r="D1461" i="1"/>
  <c r="C1461" i="1"/>
  <c r="B1461" i="1"/>
  <c r="A1461" i="1"/>
  <c r="F1460" i="1"/>
  <c r="E1460" i="1"/>
  <c r="D1460" i="1"/>
  <c r="C1460" i="1"/>
  <c r="B1460" i="1"/>
  <c r="A1460" i="1"/>
  <c r="F1459" i="1"/>
  <c r="E1459" i="1"/>
  <c r="D1459" i="1"/>
  <c r="C1459" i="1"/>
  <c r="B1459" i="1"/>
  <c r="A1459" i="1"/>
  <c r="F1458" i="1"/>
  <c r="E1458" i="1"/>
  <c r="D1458" i="1"/>
  <c r="C1458" i="1"/>
  <c r="B1458" i="1"/>
  <c r="A1458" i="1"/>
  <c r="F1457" i="1"/>
  <c r="E1457" i="1"/>
  <c r="D1457" i="1"/>
  <c r="C1457" i="1"/>
  <c r="B1457" i="1"/>
  <c r="A1457" i="1"/>
  <c r="F1456" i="1"/>
  <c r="E1456" i="1"/>
  <c r="D1456" i="1"/>
  <c r="C1456" i="1"/>
  <c r="B1456" i="1"/>
  <c r="A1456" i="1"/>
  <c r="F1455" i="1"/>
  <c r="E1455" i="1"/>
  <c r="D1455" i="1"/>
  <c r="C1455" i="1"/>
  <c r="B1455" i="1"/>
  <c r="A1455" i="1"/>
  <c r="F1454" i="1"/>
  <c r="E1454" i="1"/>
  <c r="D1454" i="1"/>
  <c r="C1454" i="1"/>
  <c r="B1454" i="1"/>
  <c r="A1454" i="1"/>
  <c r="F1453" i="1"/>
  <c r="E1453" i="1"/>
  <c r="D1453" i="1"/>
  <c r="C1453" i="1"/>
  <c r="B1453" i="1"/>
  <c r="A1453" i="1"/>
  <c r="F1452" i="1"/>
  <c r="E1452" i="1"/>
  <c r="D1452" i="1"/>
  <c r="C1452" i="1"/>
  <c r="B1452" i="1"/>
  <c r="A1452" i="1"/>
  <c r="F1451" i="1"/>
  <c r="E1451" i="1"/>
  <c r="D1451" i="1"/>
  <c r="C1451" i="1"/>
  <c r="B1451" i="1"/>
  <c r="A1451" i="1"/>
  <c r="F1450" i="1"/>
  <c r="E1450" i="1"/>
  <c r="D1450" i="1"/>
  <c r="C1450" i="1"/>
  <c r="B1450" i="1"/>
  <c r="A1450" i="1"/>
  <c r="F1449" i="1"/>
  <c r="E1449" i="1"/>
  <c r="D1449" i="1"/>
  <c r="C1449" i="1"/>
  <c r="B1449" i="1"/>
  <c r="A1449" i="1"/>
  <c r="F1448" i="1"/>
  <c r="E1448" i="1"/>
  <c r="D1448" i="1"/>
  <c r="C1448" i="1"/>
  <c r="B1448" i="1"/>
  <c r="A1448" i="1"/>
  <c r="F1447" i="1"/>
  <c r="E1447" i="1"/>
  <c r="D1447" i="1"/>
  <c r="C1447" i="1"/>
  <c r="B1447" i="1"/>
  <c r="A1447" i="1"/>
  <c r="F1446" i="1"/>
  <c r="E1446" i="1"/>
  <c r="D1446" i="1"/>
  <c r="C1446" i="1"/>
  <c r="B1446" i="1"/>
  <c r="A1446" i="1"/>
  <c r="F1445" i="1"/>
  <c r="E1445" i="1"/>
  <c r="D1445" i="1"/>
  <c r="C1445" i="1"/>
  <c r="B1445" i="1"/>
  <c r="A1445" i="1"/>
  <c r="F1444" i="1"/>
  <c r="E1444" i="1"/>
  <c r="D1444" i="1"/>
  <c r="C1444" i="1"/>
  <c r="B1444" i="1"/>
  <c r="A1444" i="1"/>
  <c r="F1443" i="1"/>
  <c r="E1443" i="1"/>
  <c r="D1443" i="1"/>
  <c r="C1443" i="1"/>
  <c r="B1443" i="1"/>
  <c r="A1443" i="1"/>
  <c r="F1442" i="1"/>
  <c r="E1442" i="1"/>
  <c r="D1442" i="1"/>
  <c r="C1442" i="1"/>
  <c r="B1442" i="1"/>
  <c r="A1442" i="1"/>
  <c r="F1441" i="1"/>
  <c r="E1441" i="1"/>
  <c r="D1441" i="1"/>
  <c r="C1441" i="1"/>
  <c r="B1441" i="1"/>
  <c r="A1441" i="1"/>
  <c r="F1440" i="1"/>
  <c r="E1440" i="1"/>
  <c r="D1440" i="1"/>
  <c r="C1440" i="1"/>
  <c r="B1440" i="1"/>
  <c r="A1440" i="1"/>
  <c r="F1439" i="1"/>
  <c r="E1439" i="1"/>
  <c r="D1439" i="1"/>
  <c r="C1439" i="1"/>
  <c r="B1439" i="1"/>
  <c r="A1439" i="1"/>
  <c r="F1438" i="1"/>
  <c r="E1438" i="1"/>
  <c r="D1438" i="1"/>
  <c r="C1438" i="1"/>
  <c r="B1438" i="1"/>
  <c r="A1438" i="1"/>
  <c r="F1437" i="1"/>
  <c r="E1437" i="1"/>
  <c r="D1437" i="1"/>
  <c r="C1437" i="1"/>
  <c r="B1437" i="1"/>
  <c r="A1437" i="1"/>
  <c r="F1436" i="1"/>
  <c r="E1436" i="1"/>
  <c r="D1436" i="1"/>
  <c r="C1436" i="1"/>
  <c r="B1436" i="1"/>
  <c r="A1436" i="1"/>
  <c r="F1435" i="1"/>
  <c r="E1435" i="1"/>
  <c r="D1435" i="1"/>
  <c r="C1435" i="1"/>
  <c r="B1435" i="1"/>
  <c r="A1435" i="1"/>
  <c r="F1434" i="1"/>
  <c r="E1434" i="1"/>
  <c r="D1434" i="1"/>
  <c r="C1434" i="1"/>
  <c r="B1434" i="1"/>
  <c r="A1434" i="1"/>
  <c r="F1433" i="1"/>
  <c r="E1433" i="1"/>
  <c r="D1433" i="1"/>
  <c r="C1433" i="1"/>
  <c r="B1433" i="1"/>
  <c r="A1433" i="1"/>
  <c r="F1432" i="1"/>
  <c r="E1432" i="1"/>
  <c r="D1432" i="1"/>
  <c r="C1432" i="1"/>
  <c r="B1432" i="1"/>
  <c r="A1432" i="1"/>
  <c r="F1431" i="1"/>
  <c r="E1431" i="1"/>
  <c r="D1431" i="1"/>
  <c r="C1431" i="1"/>
  <c r="B1431" i="1"/>
  <c r="A1431" i="1"/>
  <c r="F1430" i="1"/>
  <c r="E1430" i="1"/>
  <c r="D1430" i="1"/>
  <c r="C1430" i="1"/>
  <c r="B1430" i="1"/>
  <c r="A1430" i="1"/>
  <c r="F1429" i="1"/>
  <c r="E1429" i="1"/>
  <c r="D1429" i="1"/>
  <c r="C1429" i="1"/>
  <c r="B1429" i="1"/>
  <c r="A1429" i="1"/>
  <c r="F1428" i="1"/>
  <c r="E1428" i="1"/>
  <c r="D1428" i="1"/>
  <c r="C1428" i="1"/>
  <c r="B1428" i="1"/>
  <c r="A1428" i="1"/>
  <c r="F1427" i="1"/>
  <c r="E1427" i="1"/>
  <c r="D1427" i="1"/>
  <c r="C1427" i="1"/>
  <c r="B1427" i="1"/>
  <c r="A1427" i="1"/>
  <c r="F1426" i="1"/>
  <c r="E1426" i="1"/>
  <c r="D1426" i="1"/>
  <c r="C1426" i="1"/>
  <c r="B1426" i="1"/>
  <c r="A1426" i="1"/>
  <c r="F1425" i="1"/>
  <c r="E1425" i="1"/>
  <c r="D1425" i="1"/>
  <c r="C1425" i="1"/>
  <c r="B1425" i="1"/>
  <c r="A1425" i="1"/>
  <c r="F1424" i="1"/>
  <c r="E1424" i="1"/>
  <c r="D1424" i="1"/>
  <c r="C1424" i="1"/>
  <c r="B1424" i="1"/>
  <c r="A1424" i="1"/>
  <c r="F1423" i="1"/>
  <c r="E1423" i="1"/>
  <c r="D1423" i="1"/>
  <c r="C1423" i="1"/>
  <c r="B1423" i="1"/>
  <c r="A1423" i="1"/>
  <c r="F1422" i="1"/>
  <c r="E1422" i="1"/>
  <c r="D1422" i="1"/>
  <c r="C1422" i="1"/>
  <c r="B1422" i="1"/>
  <c r="A1422" i="1"/>
  <c r="F1421" i="1"/>
  <c r="E1421" i="1"/>
  <c r="D1421" i="1"/>
  <c r="C1421" i="1"/>
  <c r="B1421" i="1"/>
  <c r="A1421" i="1"/>
  <c r="F1420" i="1"/>
  <c r="E1420" i="1"/>
  <c r="D1420" i="1"/>
  <c r="C1420" i="1"/>
  <c r="B1420" i="1"/>
  <c r="A1420" i="1"/>
  <c r="F1419" i="1"/>
  <c r="E1419" i="1"/>
  <c r="D1419" i="1"/>
  <c r="C1419" i="1"/>
  <c r="B1419" i="1"/>
  <c r="A1419" i="1"/>
  <c r="F1418" i="1"/>
  <c r="E1418" i="1"/>
  <c r="D1418" i="1"/>
  <c r="C1418" i="1"/>
  <c r="B1418" i="1"/>
  <c r="A1418" i="1"/>
  <c r="F1417" i="1"/>
  <c r="E1417" i="1"/>
  <c r="D1417" i="1"/>
  <c r="C1417" i="1"/>
  <c r="B1417" i="1"/>
  <c r="A1417" i="1"/>
  <c r="F1416" i="1"/>
  <c r="E1416" i="1"/>
  <c r="D1416" i="1"/>
  <c r="C1416" i="1"/>
  <c r="B1416" i="1"/>
  <c r="A1416" i="1"/>
  <c r="F1415" i="1"/>
  <c r="E1415" i="1"/>
  <c r="D1415" i="1"/>
  <c r="C1415" i="1"/>
  <c r="B1415" i="1"/>
  <c r="A1415" i="1"/>
  <c r="F1414" i="1"/>
  <c r="E1414" i="1"/>
  <c r="D1414" i="1"/>
  <c r="C1414" i="1"/>
  <c r="B1414" i="1"/>
  <c r="A1414" i="1"/>
  <c r="F1413" i="1"/>
  <c r="E1413" i="1"/>
  <c r="D1413" i="1"/>
  <c r="C1413" i="1"/>
  <c r="B1413" i="1"/>
  <c r="A1413" i="1"/>
  <c r="F1412" i="1"/>
  <c r="E1412" i="1"/>
  <c r="D1412" i="1"/>
  <c r="C1412" i="1"/>
  <c r="B1412" i="1"/>
  <c r="A1412" i="1"/>
  <c r="F1411" i="1"/>
  <c r="E1411" i="1"/>
  <c r="D1411" i="1"/>
  <c r="C1411" i="1"/>
  <c r="B1411" i="1"/>
  <c r="A1411" i="1"/>
  <c r="F1410" i="1"/>
  <c r="E1410" i="1"/>
  <c r="D1410" i="1"/>
  <c r="C1410" i="1"/>
  <c r="B1410" i="1"/>
  <c r="A1410" i="1"/>
  <c r="F1409" i="1"/>
  <c r="E1409" i="1"/>
  <c r="D1409" i="1"/>
  <c r="C1409" i="1"/>
  <c r="B1409" i="1"/>
  <c r="A1409" i="1"/>
  <c r="F1408" i="1"/>
  <c r="E1408" i="1"/>
  <c r="D1408" i="1"/>
  <c r="C1408" i="1"/>
  <c r="B1408" i="1"/>
  <c r="A1408" i="1"/>
  <c r="F1407" i="1"/>
  <c r="E1407" i="1"/>
  <c r="D1407" i="1"/>
  <c r="C1407" i="1"/>
  <c r="B1407" i="1"/>
  <c r="A1407" i="1"/>
  <c r="F1406" i="1"/>
  <c r="E1406" i="1"/>
  <c r="D1406" i="1"/>
  <c r="C1406" i="1"/>
  <c r="B1406" i="1"/>
  <c r="A1406" i="1"/>
  <c r="F1405" i="1"/>
  <c r="E1405" i="1"/>
  <c r="D1405" i="1"/>
  <c r="C1405" i="1"/>
  <c r="B1405" i="1"/>
  <c r="A1405" i="1"/>
  <c r="F1404" i="1"/>
  <c r="E1404" i="1"/>
  <c r="D1404" i="1"/>
  <c r="C1404" i="1"/>
  <c r="B1404" i="1"/>
  <c r="A1404" i="1"/>
  <c r="F1403" i="1"/>
  <c r="E1403" i="1"/>
  <c r="D1403" i="1"/>
  <c r="C1403" i="1"/>
  <c r="B1403" i="1"/>
  <c r="A1403" i="1"/>
  <c r="F1402" i="1"/>
  <c r="E1402" i="1"/>
  <c r="D1402" i="1"/>
  <c r="C1402" i="1"/>
  <c r="B1402" i="1"/>
  <c r="A1402" i="1"/>
  <c r="F1401" i="1"/>
  <c r="E1401" i="1"/>
  <c r="D1401" i="1"/>
  <c r="C1401" i="1"/>
  <c r="B1401" i="1"/>
  <c r="A1401" i="1"/>
  <c r="F1400" i="1"/>
  <c r="E1400" i="1"/>
  <c r="D1400" i="1"/>
  <c r="C1400" i="1"/>
  <c r="B1400" i="1"/>
  <c r="A1400" i="1"/>
  <c r="F1399" i="1"/>
  <c r="E1399" i="1"/>
  <c r="D1399" i="1"/>
  <c r="C1399" i="1"/>
  <c r="B1399" i="1"/>
  <c r="A1399" i="1"/>
  <c r="F1398" i="1"/>
  <c r="E1398" i="1"/>
  <c r="D1398" i="1"/>
  <c r="C1398" i="1"/>
  <c r="B1398" i="1"/>
  <c r="A1398" i="1"/>
  <c r="F1397" i="1"/>
  <c r="E1397" i="1"/>
  <c r="D1397" i="1"/>
  <c r="C1397" i="1"/>
  <c r="B1397" i="1"/>
  <c r="A1397" i="1"/>
  <c r="F1396" i="1"/>
  <c r="E1396" i="1"/>
  <c r="D1396" i="1"/>
  <c r="C1396" i="1"/>
  <c r="B1396" i="1"/>
  <c r="A1396" i="1"/>
  <c r="F1395" i="1"/>
  <c r="E1395" i="1"/>
  <c r="D1395" i="1"/>
  <c r="C1395" i="1"/>
  <c r="B1395" i="1"/>
  <c r="A1395" i="1"/>
  <c r="F1394" i="1"/>
  <c r="E1394" i="1"/>
  <c r="D1394" i="1"/>
  <c r="C1394" i="1"/>
  <c r="B1394" i="1"/>
  <c r="A1394" i="1"/>
  <c r="F1393" i="1"/>
  <c r="E1393" i="1"/>
  <c r="D1393" i="1"/>
  <c r="C1393" i="1"/>
  <c r="B1393" i="1"/>
  <c r="A1393" i="1"/>
  <c r="F1392" i="1"/>
  <c r="E1392" i="1"/>
  <c r="D1392" i="1"/>
  <c r="C1392" i="1"/>
  <c r="B1392" i="1"/>
  <c r="A1392" i="1"/>
  <c r="F1391" i="1"/>
  <c r="E1391" i="1"/>
  <c r="D1391" i="1"/>
  <c r="C1391" i="1"/>
  <c r="B1391" i="1"/>
  <c r="A1391" i="1"/>
  <c r="F1390" i="1"/>
  <c r="E1390" i="1"/>
  <c r="D1390" i="1"/>
  <c r="C1390" i="1"/>
  <c r="B1390" i="1"/>
  <c r="A1390" i="1"/>
  <c r="F1389" i="1"/>
  <c r="E1389" i="1"/>
  <c r="D1389" i="1"/>
  <c r="C1389" i="1"/>
  <c r="B1389" i="1"/>
  <c r="A1389" i="1"/>
  <c r="F1388" i="1"/>
  <c r="E1388" i="1"/>
  <c r="D1388" i="1"/>
  <c r="C1388" i="1"/>
  <c r="B1388" i="1"/>
  <c r="A1388" i="1"/>
  <c r="F1387" i="1"/>
  <c r="E1387" i="1"/>
  <c r="D1387" i="1"/>
  <c r="C1387" i="1"/>
  <c r="B1387" i="1"/>
  <c r="A1387" i="1"/>
  <c r="F1386" i="1"/>
  <c r="E1386" i="1"/>
  <c r="D1386" i="1"/>
  <c r="C1386" i="1"/>
  <c r="B1386" i="1"/>
  <c r="A1386" i="1"/>
  <c r="F1385" i="1"/>
  <c r="E1385" i="1"/>
  <c r="D1385" i="1"/>
  <c r="C1385" i="1"/>
  <c r="B1385" i="1"/>
  <c r="A1385" i="1"/>
  <c r="F1384" i="1"/>
  <c r="E1384" i="1"/>
  <c r="D1384" i="1"/>
  <c r="C1384" i="1"/>
  <c r="B1384" i="1"/>
  <c r="A1384" i="1"/>
  <c r="F1383" i="1"/>
  <c r="E1383" i="1"/>
  <c r="D1383" i="1"/>
  <c r="C1383" i="1"/>
  <c r="B1383" i="1"/>
  <c r="A1383" i="1"/>
  <c r="F1382" i="1"/>
  <c r="E1382" i="1"/>
  <c r="D1382" i="1"/>
  <c r="C1382" i="1"/>
  <c r="B1382" i="1"/>
  <c r="A1382" i="1"/>
  <c r="F1381" i="1"/>
  <c r="E1381" i="1"/>
  <c r="D1381" i="1"/>
  <c r="C1381" i="1"/>
  <c r="B1381" i="1"/>
  <c r="A1381" i="1"/>
  <c r="F1380" i="1"/>
  <c r="E1380" i="1"/>
  <c r="D1380" i="1"/>
  <c r="C1380" i="1"/>
  <c r="B1380" i="1"/>
  <c r="A1380" i="1"/>
  <c r="F1379" i="1"/>
  <c r="E1379" i="1"/>
  <c r="D1379" i="1"/>
  <c r="C1379" i="1"/>
  <c r="B1379" i="1"/>
  <c r="A1379" i="1"/>
  <c r="F1378" i="1"/>
  <c r="E1378" i="1"/>
  <c r="D1378" i="1"/>
  <c r="C1378" i="1"/>
  <c r="B1378" i="1"/>
  <c r="A1378" i="1"/>
  <c r="F1377" i="1"/>
  <c r="E1377" i="1"/>
  <c r="D1377" i="1"/>
  <c r="C1377" i="1"/>
  <c r="B1377" i="1"/>
  <c r="A1377" i="1"/>
  <c r="F1376" i="1"/>
  <c r="E1376" i="1"/>
  <c r="D1376" i="1"/>
  <c r="C1376" i="1"/>
  <c r="B1376" i="1"/>
  <c r="A1376" i="1"/>
  <c r="F1375" i="1"/>
  <c r="E1375" i="1"/>
  <c r="D1375" i="1"/>
  <c r="C1375" i="1"/>
  <c r="B1375" i="1"/>
  <c r="A1375" i="1"/>
  <c r="F1374" i="1"/>
  <c r="E1374" i="1"/>
  <c r="D1374" i="1"/>
  <c r="C1374" i="1"/>
  <c r="B1374" i="1"/>
  <c r="A1374" i="1"/>
  <c r="F1373" i="1"/>
  <c r="E1373" i="1"/>
  <c r="D1373" i="1"/>
  <c r="C1373" i="1"/>
  <c r="B1373" i="1"/>
  <c r="A1373" i="1"/>
  <c r="F1372" i="1"/>
  <c r="E1372" i="1"/>
  <c r="D1372" i="1"/>
  <c r="C1372" i="1"/>
  <c r="B1372" i="1"/>
  <c r="A1372" i="1"/>
  <c r="F1371" i="1"/>
  <c r="E1371" i="1"/>
  <c r="D1371" i="1"/>
  <c r="C1371" i="1"/>
  <c r="B1371" i="1"/>
  <c r="A1371" i="1"/>
  <c r="F1370" i="1"/>
  <c r="E1370" i="1"/>
  <c r="D1370" i="1"/>
  <c r="C1370" i="1"/>
  <c r="B1370" i="1"/>
  <c r="A1370" i="1"/>
  <c r="F1369" i="1"/>
  <c r="E1369" i="1"/>
  <c r="D1369" i="1"/>
  <c r="C1369" i="1"/>
  <c r="B1369" i="1"/>
  <c r="A1369" i="1"/>
  <c r="F1368" i="1"/>
  <c r="E1368" i="1"/>
  <c r="D1368" i="1"/>
  <c r="C1368" i="1"/>
  <c r="B1368" i="1"/>
  <c r="A1368" i="1"/>
  <c r="F1367" i="1"/>
  <c r="E1367" i="1"/>
  <c r="D1367" i="1"/>
  <c r="C1367" i="1"/>
  <c r="B1367" i="1"/>
  <c r="A1367" i="1"/>
  <c r="F1366" i="1"/>
  <c r="E1366" i="1"/>
  <c r="D1366" i="1"/>
  <c r="C1366" i="1"/>
  <c r="B1366" i="1"/>
  <c r="A1366" i="1"/>
  <c r="F1365" i="1"/>
  <c r="E1365" i="1"/>
  <c r="D1365" i="1"/>
  <c r="C1365" i="1"/>
  <c r="B1365" i="1"/>
  <c r="A1365" i="1"/>
  <c r="F1364" i="1"/>
  <c r="E1364" i="1"/>
  <c r="D1364" i="1"/>
  <c r="C1364" i="1"/>
  <c r="B1364" i="1"/>
  <c r="A1364" i="1"/>
  <c r="F1363" i="1"/>
  <c r="E1363" i="1"/>
  <c r="D1363" i="1"/>
  <c r="C1363" i="1"/>
  <c r="B1363" i="1"/>
  <c r="A1363" i="1"/>
  <c r="F1362" i="1"/>
  <c r="E1362" i="1"/>
  <c r="D1362" i="1"/>
  <c r="C1362" i="1"/>
  <c r="B1362" i="1"/>
  <c r="A1362" i="1"/>
  <c r="F1361" i="1"/>
  <c r="E1361" i="1"/>
  <c r="D1361" i="1"/>
  <c r="C1361" i="1"/>
  <c r="B1361" i="1"/>
  <c r="A1361" i="1"/>
  <c r="F1360" i="1"/>
  <c r="E1360" i="1"/>
  <c r="D1360" i="1"/>
  <c r="C1360" i="1"/>
  <c r="B1360" i="1"/>
  <c r="A1360" i="1"/>
  <c r="F1359" i="1"/>
  <c r="E1359" i="1"/>
  <c r="D1359" i="1"/>
  <c r="C1359" i="1"/>
  <c r="B1359" i="1"/>
  <c r="A1359" i="1"/>
  <c r="F1358" i="1"/>
  <c r="E1358" i="1"/>
  <c r="D1358" i="1"/>
  <c r="C1358" i="1"/>
  <c r="B1358" i="1"/>
  <c r="A1358" i="1"/>
  <c r="F1357" i="1"/>
  <c r="E1357" i="1"/>
  <c r="D1357" i="1"/>
  <c r="C1357" i="1"/>
  <c r="B1357" i="1"/>
  <c r="A1357" i="1"/>
  <c r="F1356" i="1"/>
  <c r="E1356" i="1"/>
  <c r="D1356" i="1"/>
  <c r="C1356" i="1"/>
  <c r="B1356" i="1"/>
  <c r="A1356" i="1"/>
  <c r="F1355" i="1"/>
  <c r="E1355" i="1"/>
  <c r="D1355" i="1"/>
  <c r="C1355" i="1"/>
  <c r="B1355" i="1"/>
  <c r="A1355" i="1"/>
  <c r="F1354" i="1"/>
  <c r="E1354" i="1"/>
  <c r="D1354" i="1"/>
  <c r="C1354" i="1"/>
  <c r="B1354" i="1"/>
  <c r="A1354" i="1"/>
  <c r="F1353" i="1"/>
  <c r="E1353" i="1"/>
  <c r="D1353" i="1"/>
  <c r="C1353" i="1"/>
  <c r="B1353" i="1"/>
  <c r="A1353" i="1"/>
  <c r="F1352" i="1"/>
  <c r="E1352" i="1"/>
  <c r="D1352" i="1"/>
  <c r="C1352" i="1"/>
  <c r="B1352" i="1"/>
  <c r="A1352" i="1"/>
  <c r="F1351" i="1"/>
  <c r="E1351" i="1"/>
  <c r="D1351" i="1"/>
  <c r="C1351" i="1"/>
  <c r="B1351" i="1"/>
  <c r="A1351" i="1"/>
  <c r="F1350" i="1"/>
  <c r="E1350" i="1"/>
  <c r="D1350" i="1"/>
  <c r="C1350" i="1"/>
  <c r="B1350" i="1"/>
  <c r="A1350" i="1"/>
  <c r="F1349" i="1"/>
  <c r="E1349" i="1"/>
  <c r="D1349" i="1"/>
  <c r="C1349" i="1"/>
  <c r="B1349" i="1"/>
  <c r="A1349" i="1"/>
  <c r="F1348" i="1"/>
  <c r="E1348" i="1"/>
  <c r="D1348" i="1"/>
  <c r="C1348" i="1"/>
  <c r="B1348" i="1"/>
  <c r="A1348" i="1"/>
  <c r="F1347" i="1"/>
  <c r="E1347" i="1"/>
  <c r="D1347" i="1"/>
  <c r="C1347" i="1"/>
  <c r="B1347" i="1"/>
  <c r="A1347" i="1"/>
  <c r="F1346" i="1"/>
  <c r="E1346" i="1"/>
  <c r="D1346" i="1"/>
  <c r="C1346" i="1"/>
  <c r="B1346" i="1"/>
  <c r="A1346" i="1"/>
  <c r="F1345" i="1"/>
  <c r="E1345" i="1"/>
  <c r="D1345" i="1"/>
  <c r="C1345" i="1"/>
  <c r="B1345" i="1"/>
  <c r="A1345" i="1"/>
  <c r="F1344" i="1"/>
  <c r="E1344" i="1"/>
  <c r="D1344" i="1"/>
  <c r="C1344" i="1"/>
  <c r="B1344" i="1"/>
  <c r="A1344" i="1"/>
  <c r="F1343" i="1"/>
  <c r="E1343" i="1"/>
  <c r="D1343" i="1"/>
  <c r="C1343" i="1"/>
  <c r="B1343" i="1"/>
  <c r="A1343" i="1"/>
  <c r="F1342" i="1"/>
  <c r="E1342" i="1"/>
  <c r="D1342" i="1"/>
  <c r="C1342" i="1"/>
  <c r="B1342" i="1"/>
  <c r="A1342" i="1"/>
  <c r="F1341" i="1"/>
  <c r="E1341" i="1"/>
  <c r="D1341" i="1"/>
  <c r="C1341" i="1"/>
  <c r="B1341" i="1"/>
  <c r="A1341" i="1"/>
  <c r="F1340" i="1"/>
  <c r="E1340" i="1"/>
  <c r="D1340" i="1"/>
  <c r="C1340" i="1"/>
  <c r="B1340" i="1"/>
  <c r="A1340" i="1"/>
  <c r="F1339" i="1"/>
  <c r="E1339" i="1"/>
  <c r="D1339" i="1"/>
  <c r="C1339" i="1"/>
  <c r="B1339" i="1"/>
  <c r="A1339" i="1"/>
  <c r="F1338" i="1"/>
  <c r="E1338" i="1"/>
  <c r="D1338" i="1"/>
  <c r="C1338" i="1"/>
  <c r="B1338" i="1"/>
  <c r="A1338" i="1"/>
  <c r="F1337" i="1"/>
  <c r="E1337" i="1"/>
  <c r="D1337" i="1"/>
  <c r="C1337" i="1"/>
  <c r="B1337" i="1"/>
  <c r="A1337" i="1"/>
  <c r="F1336" i="1"/>
  <c r="E1336" i="1"/>
  <c r="D1336" i="1"/>
  <c r="C1336" i="1"/>
  <c r="B1336" i="1"/>
  <c r="A1336" i="1"/>
  <c r="F1335" i="1"/>
  <c r="E1335" i="1"/>
  <c r="D1335" i="1"/>
  <c r="C1335" i="1"/>
  <c r="B1335" i="1"/>
  <c r="A1335" i="1"/>
  <c r="F1334" i="1"/>
  <c r="E1334" i="1"/>
  <c r="D1334" i="1"/>
  <c r="C1334" i="1"/>
  <c r="B1334" i="1"/>
  <c r="A1334" i="1"/>
  <c r="F1333" i="1"/>
  <c r="E1333" i="1"/>
  <c r="D1333" i="1"/>
  <c r="C1333" i="1"/>
  <c r="B1333" i="1"/>
  <c r="A1333" i="1"/>
  <c r="F1332" i="1"/>
  <c r="E1332" i="1"/>
  <c r="D1332" i="1"/>
  <c r="C1332" i="1"/>
  <c r="B1332" i="1"/>
  <c r="A1332" i="1"/>
  <c r="F1331" i="1"/>
  <c r="E1331" i="1"/>
  <c r="D1331" i="1"/>
  <c r="C1331" i="1"/>
  <c r="B1331" i="1"/>
  <c r="A1331" i="1"/>
  <c r="F1330" i="1"/>
  <c r="E1330" i="1"/>
  <c r="D1330" i="1"/>
  <c r="C1330" i="1"/>
  <c r="B1330" i="1"/>
  <c r="A1330" i="1"/>
  <c r="F1329" i="1"/>
  <c r="E1329" i="1"/>
  <c r="D1329" i="1"/>
  <c r="C1329" i="1"/>
  <c r="B1329" i="1"/>
  <c r="A1329" i="1"/>
  <c r="F1328" i="1"/>
  <c r="E1328" i="1"/>
  <c r="D1328" i="1"/>
  <c r="C1328" i="1"/>
  <c r="B1328" i="1"/>
  <c r="A1328" i="1"/>
  <c r="F1327" i="1"/>
  <c r="E1327" i="1"/>
  <c r="D1327" i="1"/>
  <c r="C1327" i="1"/>
  <c r="B1327" i="1"/>
  <c r="A1327" i="1"/>
  <c r="F1326" i="1"/>
  <c r="E1326" i="1"/>
  <c r="D1326" i="1"/>
  <c r="C1326" i="1"/>
  <c r="B1326" i="1"/>
  <c r="A1326" i="1"/>
  <c r="F1325" i="1"/>
  <c r="E1325" i="1"/>
  <c r="D1325" i="1"/>
  <c r="C1325" i="1"/>
  <c r="B1325" i="1"/>
  <c r="A1325" i="1"/>
  <c r="F1324" i="1"/>
  <c r="E1324" i="1"/>
  <c r="D1324" i="1"/>
  <c r="C1324" i="1"/>
  <c r="B1324" i="1"/>
  <c r="A1324" i="1"/>
  <c r="F1323" i="1"/>
  <c r="E1323" i="1"/>
  <c r="D1323" i="1"/>
  <c r="C1323" i="1"/>
  <c r="B1323" i="1"/>
  <c r="A1323" i="1"/>
  <c r="F1322" i="1"/>
  <c r="E1322" i="1"/>
  <c r="D1322" i="1"/>
  <c r="C1322" i="1"/>
  <c r="B1322" i="1"/>
  <c r="A1322" i="1"/>
  <c r="F1321" i="1"/>
  <c r="E1321" i="1"/>
  <c r="D1321" i="1"/>
  <c r="C1321" i="1"/>
  <c r="B1321" i="1"/>
  <c r="A1321" i="1"/>
  <c r="F1320" i="1"/>
  <c r="E1320" i="1"/>
  <c r="D1320" i="1"/>
  <c r="C1320" i="1"/>
  <c r="B1320" i="1"/>
  <c r="A1320" i="1"/>
  <c r="F1319" i="1"/>
  <c r="E1319" i="1"/>
  <c r="D1319" i="1"/>
  <c r="C1319" i="1"/>
  <c r="B1319" i="1"/>
  <c r="A1319" i="1"/>
  <c r="F1318" i="1"/>
  <c r="E1318" i="1"/>
  <c r="D1318" i="1"/>
  <c r="C1318" i="1"/>
  <c r="B1318" i="1"/>
  <c r="A1318" i="1"/>
  <c r="F1317" i="1"/>
  <c r="E1317" i="1"/>
  <c r="D1317" i="1"/>
  <c r="C1317" i="1"/>
  <c r="B1317" i="1"/>
  <c r="A1317" i="1"/>
  <c r="F1316" i="1"/>
  <c r="E1316" i="1"/>
  <c r="D1316" i="1"/>
  <c r="C1316" i="1"/>
  <c r="B1316" i="1"/>
  <c r="A1316" i="1"/>
  <c r="F1315" i="1"/>
  <c r="E1315" i="1"/>
  <c r="D1315" i="1"/>
  <c r="C1315" i="1"/>
  <c r="B1315" i="1"/>
  <c r="A1315" i="1"/>
  <c r="F1314" i="1"/>
  <c r="E1314" i="1"/>
  <c r="D1314" i="1"/>
  <c r="C1314" i="1"/>
  <c r="B1314" i="1"/>
  <c r="A1314" i="1"/>
  <c r="F1313" i="1"/>
  <c r="E1313" i="1"/>
  <c r="D1313" i="1"/>
  <c r="C1313" i="1"/>
  <c r="B1313" i="1"/>
  <c r="A1313" i="1"/>
  <c r="F1312" i="1"/>
  <c r="E1312" i="1"/>
  <c r="D1312" i="1"/>
  <c r="C1312" i="1"/>
  <c r="B1312" i="1"/>
  <c r="A1312" i="1"/>
  <c r="F1311" i="1"/>
  <c r="E1311" i="1"/>
  <c r="D1311" i="1"/>
  <c r="C1311" i="1"/>
  <c r="B1311" i="1"/>
  <c r="A1311" i="1"/>
  <c r="F1310" i="1"/>
  <c r="E1310" i="1"/>
  <c r="D1310" i="1"/>
  <c r="C1310" i="1"/>
  <c r="B1310" i="1"/>
  <c r="A1310" i="1"/>
  <c r="F1309" i="1"/>
  <c r="E1309" i="1"/>
  <c r="D1309" i="1"/>
  <c r="C1309" i="1"/>
  <c r="B1309" i="1"/>
  <c r="A1309" i="1"/>
  <c r="F1308" i="1"/>
  <c r="E1308" i="1"/>
  <c r="D1308" i="1"/>
  <c r="C1308" i="1"/>
  <c r="B1308" i="1"/>
  <c r="A1308" i="1"/>
  <c r="F1307" i="1"/>
  <c r="E1307" i="1"/>
  <c r="D1307" i="1"/>
  <c r="C1307" i="1"/>
  <c r="B1307" i="1"/>
  <c r="A1307" i="1"/>
  <c r="F1306" i="1"/>
  <c r="E1306" i="1"/>
  <c r="D1306" i="1"/>
  <c r="C1306" i="1"/>
  <c r="B1306" i="1"/>
  <c r="A1306" i="1"/>
  <c r="F1305" i="1"/>
  <c r="E1305" i="1"/>
  <c r="D1305" i="1"/>
  <c r="C1305" i="1"/>
  <c r="B1305" i="1"/>
  <c r="A1305" i="1"/>
  <c r="F1304" i="1"/>
  <c r="E1304" i="1"/>
  <c r="D1304" i="1"/>
  <c r="C1304" i="1"/>
  <c r="B1304" i="1"/>
  <c r="A1304" i="1"/>
  <c r="F1303" i="1"/>
  <c r="E1303" i="1"/>
  <c r="D1303" i="1"/>
  <c r="C1303" i="1"/>
  <c r="B1303" i="1"/>
  <c r="A1303" i="1"/>
  <c r="F1302" i="1"/>
  <c r="E1302" i="1"/>
  <c r="D1302" i="1"/>
  <c r="C1302" i="1"/>
  <c r="B1302" i="1"/>
  <c r="A1302" i="1"/>
  <c r="F1301" i="1"/>
  <c r="E1301" i="1"/>
  <c r="D1301" i="1"/>
  <c r="C1301" i="1"/>
  <c r="B1301" i="1"/>
  <c r="A1301" i="1"/>
  <c r="F1300" i="1"/>
  <c r="E1300" i="1"/>
  <c r="D1300" i="1"/>
  <c r="C1300" i="1"/>
  <c r="B1300" i="1"/>
  <c r="A1300" i="1"/>
  <c r="F1299" i="1"/>
  <c r="E1299" i="1"/>
  <c r="D1299" i="1"/>
  <c r="C1299" i="1"/>
  <c r="B1299" i="1"/>
  <c r="A1299" i="1"/>
  <c r="F1298" i="1"/>
  <c r="E1298" i="1"/>
  <c r="D1298" i="1"/>
  <c r="C1298" i="1"/>
  <c r="B1298" i="1"/>
  <c r="A1298" i="1"/>
  <c r="F1297" i="1"/>
  <c r="E1297" i="1"/>
  <c r="D1297" i="1"/>
  <c r="C1297" i="1"/>
  <c r="B1297" i="1"/>
  <c r="A1297" i="1"/>
  <c r="F1296" i="1"/>
  <c r="E1296" i="1"/>
  <c r="D1296" i="1"/>
  <c r="C1296" i="1"/>
  <c r="B1296" i="1"/>
  <c r="A1296" i="1"/>
  <c r="F1295" i="1"/>
  <c r="E1295" i="1"/>
  <c r="D1295" i="1"/>
  <c r="C1295" i="1"/>
  <c r="B1295" i="1"/>
  <c r="A1295" i="1"/>
  <c r="F1294" i="1"/>
  <c r="E1294" i="1"/>
  <c r="D1294" i="1"/>
  <c r="C1294" i="1"/>
  <c r="B1294" i="1"/>
  <c r="A1294" i="1"/>
  <c r="F1293" i="1"/>
  <c r="E1293" i="1"/>
  <c r="D1293" i="1"/>
  <c r="C1293" i="1"/>
  <c r="B1293" i="1"/>
  <c r="A1293" i="1"/>
  <c r="F1292" i="1"/>
  <c r="E1292" i="1"/>
  <c r="D1292" i="1"/>
  <c r="C1292" i="1"/>
  <c r="B1292" i="1"/>
  <c r="A1292" i="1"/>
  <c r="F1291" i="1"/>
  <c r="E1291" i="1"/>
  <c r="D1291" i="1"/>
  <c r="C1291" i="1"/>
  <c r="B1291" i="1"/>
  <c r="A1291" i="1"/>
  <c r="F1290" i="1"/>
  <c r="E1290" i="1"/>
  <c r="D1290" i="1"/>
  <c r="C1290" i="1"/>
  <c r="B1290" i="1"/>
  <c r="A1290" i="1"/>
  <c r="F1289" i="1"/>
  <c r="E1289" i="1"/>
  <c r="D1289" i="1"/>
  <c r="C1289" i="1"/>
  <c r="B1289" i="1"/>
  <c r="A1289" i="1"/>
  <c r="F1288" i="1"/>
  <c r="E1288" i="1"/>
  <c r="D1288" i="1"/>
  <c r="C1288" i="1"/>
  <c r="B1288" i="1"/>
  <c r="A1288" i="1"/>
  <c r="F1287" i="1"/>
  <c r="E1287" i="1"/>
  <c r="D1287" i="1"/>
  <c r="C1287" i="1"/>
  <c r="B1287" i="1"/>
  <c r="A1287" i="1"/>
  <c r="F1286" i="1"/>
  <c r="E1286" i="1"/>
  <c r="D1286" i="1"/>
  <c r="C1286" i="1"/>
  <c r="B1286" i="1"/>
  <c r="A1286" i="1"/>
  <c r="F1285" i="1"/>
  <c r="E1285" i="1"/>
  <c r="D1285" i="1"/>
  <c r="C1285" i="1"/>
  <c r="B1285" i="1"/>
  <c r="A1285" i="1"/>
  <c r="F1284" i="1"/>
  <c r="E1284" i="1"/>
  <c r="D1284" i="1"/>
  <c r="C1284" i="1"/>
  <c r="B1284" i="1"/>
  <c r="A1284" i="1"/>
  <c r="F1283" i="1"/>
  <c r="E1283" i="1"/>
  <c r="D1283" i="1"/>
  <c r="C1283" i="1"/>
  <c r="B1283" i="1"/>
  <c r="A1283" i="1"/>
  <c r="F1282" i="1"/>
  <c r="E1282" i="1"/>
  <c r="D1282" i="1"/>
  <c r="C1282" i="1"/>
  <c r="B1282" i="1"/>
  <c r="A1282" i="1"/>
  <c r="F1281" i="1"/>
  <c r="E1281" i="1"/>
  <c r="D1281" i="1"/>
  <c r="C1281" i="1"/>
  <c r="B1281" i="1"/>
  <c r="A1281" i="1"/>
  <c r="F1280" i="1"/>
  <c r="E1280" i="1"/>
  <c r="D1280" i="1"/>
  <c r="C1280" i="1"/>
  <c r="B1280" i="1"/>
  <c r="A1280" i="1"/>
  <c r="F1279" i="1"/>
  <c r="E1279" i="1"/>
  <c r="D1279" i="1"/>
  <c r="C1279" i="1"/>
  <c r="B1279" i="1"/>
  <c r="A1279" i="1"/>
  <c r="F1278" i="1"/>
  <c r="E1278" i="1"/>
  <c r="D1278" i="1"/>
  <c r="C1278" i="1"/>
  <c r="B1278" i="1"/>
  <c r="A1278" i="1"/>
  <c r="F1277" i="1"/>
  <c r="E1277" i="1"/>
  <c r="D1277" i="1"/>
  <c r="C1277" i="1"/>
  <c r="B1277" i="1"/>
  <c r="A1277" i="1"/>
  <c r="F1276" i="1"/>
  <c r="E1276" i="1"/>
  <c r="D1276" i="1"/>
  <c r="C1276" i="1"/>
  <c r="B1276" i="1"/>
  <c r="A1276" i="1"/>
  <c r="F1275" i="1"/>
  <c r="E1275" i="1"/>
  <c r="D1275" i="1"/>
  <c r="C1275" i="1"/>
  <c r="B1275" i="1"/>
  <c r="A1275" i="1"/>
  <c r="F1274" i="1"/>
  <c r="E1274" i="1"/>
  <c r="D1274" i="1"/>
  <c r="C1274" i="1"/>
  <c r="B1274" i="1"/>
  <c r="A1274" i="1"/>
  <c r="F1273" i="1"/>
  <c r="E1273" i="1"/>
  <c r="D1273" i="1"/>
  <c r="C1273" i="1"/>
  <c r="B1273" i="1"/>
  <c r="A1273" i="1"/>
  <c r="F1272" i="1"/>
  <c r="E1272" i="1"/>
  <c r="D1272" i="1"/>
  <c r="C1272" i="1"/>
  <c r="B1272" i="1"/>
  <c r="A1272" i="1"/>
  <c r="F1271" i="1"/>
  <c r="E1271" i="1"/>
  <c r="D1271" i="1"/>
  <c r="C1271" i="1"/>
  <c r="B1271" i="1"/>
  <c r="A1271" i="1"/>
  <c r="F1270" i="1"/>
  <c r="E1270" i="1"/>
  <c r="D1270" i="1"/>
  <c r="C1270" i="1"/>
  <c r="B1270" i="1"/>
  <c r="A1270" i="1"/>
  <c r="F1269" i="1"/>
  <c r="E1269" i="1"/>
  <c r="D1269" i="1"/>
  <c r="C1269" i="1"/>
  <c r="B1269" i="1"/>
  <c r="A1269" i="1"/>
  <c r="F1268" i="1"/>
  <c r="E1268" i="1"/>
  <c r="D1268" i="1"/>
  <c r="C1268" i="1"/>
  <c r="B1268" i="1"/>
  <c r="A1268" i="1"/>
  <c r="F1267" i="1"/>
  <c r="E1267" i="1"/>
  <c r="D1267" i="1"/>
  <c r="C1267" i="1"/>
  <c r="B1267" i="1"/>
  <c r="A1267" i="1"/>
  <c r="F1266" i="1"/>
  <c r="E1266" i="1"/>
  <c r="D1266" i="1"/>
  <c r="C1266" i="1"/>
  <c r="B1266" i="1"/>
  <c r="A1266" i="1"/>
  <c r="F1265" i="1"/>
  <c r="E1265" i="1"/>
  <c r="D1265" i="1"/>
  <c r="C1265" i="1"/>
  <c r="B1265" i="1"/>
  <c r="A1265" i="1"/>
  <c r="F1264" i="1"/>
  <c r="E1264" i="1"/>
  <c r="D1264" i="1"/>
  <c r="C1264" i="1"/>
  <c r="B1264" i="1"/>
  <c r="A1264" i="1"/>
  <c r="F1263" i="1"/>
  <c r="E1263" i="1"/>
  <c r="D1263" i="1"/>
  <c r="C1263" i="1"/>
  <c r="B1263" i="1"/>
  <c r="A1263" i="1"/>
  <c r="F1262" i="1"/>
  <c r="E1262" i="1"/>
  <c r="D1262" i="1"/>
  <c r="C1262" i="1"/>
  <c r="B1262" i="1"/>
  <c r="A1262" i="1"/>
  <c r="F1261" i="1"/>
  <c r="E1261" i="1"/>
  <c r="D1261" i="1"/>
  <c r="C1261" i="1"/>
  <c r="B1261" i="1"/>
  <c r="A1261" i="1"/>
  <c r="F1260" i="1"/>
  <c r="E1260" i="1"/>
  <c r="D1260" i="1"/>
  <c r="C1260" i="1"/>
  <c r="B1260" i="1"/>
  <c r="A1260" i="1"/>
  <c r="F1259" i="1"/>
  <c r="E1259" i="1"/>
  <c r="D1259" i="1"/>
  <c r="C1259" i="1"/>
  <c r="B1259" i="1"/>
  <c r="A1259" i="1"/>
  <c r="F1258" i="1"/>
  <c r="E1258" i="1"/>
  <c r="D1258" i="1"/>
  <c r="C1258" i="1"/>
  <c r="B1258" i="1"/>
  <c r="A1258" i="1"/>
  <c r="F1257" i="1"/>
  <c r="E1257" i="1"/>
  <c r="D1257" i="1"/>
  <c r="C1257" i="1"/>
  <c r="B1257" i="1"/>
  <c r="A1257" i="1"/>
  <c r="F1256" i="1"/>
  <c r="E1256" i="1"/>
  <c r="D1256" i="1"/>
  <c r="C1256" i="1"/>
  <c r="B1256" i="1"/>
  <c r="A1256" i="1"/>
  <c r="F1255" i="1"/>
  <c r="E1255" i="1"/>
  <c r="D1255" i="1"/>
  <c r="C1255" i="1"/>
  <c r="B1255" i="1"/>
  <c r="A1255" i="1"/>
  <c r="F1254" i="1"/>
  <c r="E1254" i="1"/>
  <c r="D1254" i="1"/>
  <c r="C1254" i="1"/>
  <c r="B1254" i="1"/>
  <c r="A1254" i="1"/>
  <c r="F1253" i="1"/>
  <c r="E1253" i="1"/>
  <c r="D1253" i="1"/>
  <c r="C1253" i="1"/>
  <c r="B1253" i="1"/>
  <c r="A1253" i="1"/>
  <c r="F1252" i="1"/>
  <c r="E1252" i="1"/>
  <c r="D1252" i="1"/>
  <c r="C1252" i="1"/>
  <c r="B1252" i="1"/>
  <c r="A1252" i="1"/>
  <c r="F1251" i="1"/>
  <c r="E1251" i="1"/>
  <c r="D1251" i="1"/>
  <c r="C1251" i="1"/>
  <c r="B1251" i="1"/>
  <c r="A1251" i="1"/>
  <c r="F1250" i="1"/>
  <c r="E1250" i="1"/>
  <c r="D1250" i="1"/>
  <c r="C1250" i="1"/>
  <c r="B1250" i="1"/>
  <c r="A1250" i="1"/>
  <c r="F1249" i="1"/>
  <c r="E1249" i="1"/>
  <c r="D1249" i="1"/>
  <c r="C1249" i="1"/>
  <c r="B1249" i="1"/>
  <c r="A1249" i="1"/>
  <c r="F1248" i="1"/>
  <c r="E1248" i="1"/>
  <c r="D1248" i="1"/>
  <c r="C1248" i="1"/>
  <c r="B1248" i="1"/>
  <c r="A1248" i="1"/>
  <c r="F1247" i="1"/>
  <c r="E1247" i="1"/>
  <c r="D1247" i="1"/>
  <c r="C1247" i="1"/>
  <c r="B1247" i="1"/>
  <c r="A1247" i="1"/>
  <c r="F1246" i="1"/>
  <c r="E1246" i="1"/>
  <c r="D1246" i="1"/>
  <c r="C1246" i="1"/>
  <c r="B1246" i="1"/>
  <c r="A1246" i="1"/>
  <c r="F1245" i="1"/>
  <c r="E1245" i="1"/>
  <c r="D1245" i="1"/>
  <c r="C1245" i="1"/>
  <c r="B1245" i="1"/>
  <c r="A1245" i="1"/>
  <c r="F1244" i="1"/>
  <c r="E1244" i="1"/>
  <c r="D1244" i="1"/>
  <c r="C1244" i="1"/>
  <c r="B1244" i="1"/>
  <c r="A1244" i="1"/>
  <c r="F1243" i="1"/>
  <c r="E1243" i="1"/>
  <c r="D1243" i="1"/>
  <c r="C1243" i="1"/>
  <c r="B1243" i="1"/>
  <c r="A1243" i="1"/>
  <c r="F1242" i="1"/>
  <c r="E1242" i="1"/>
  <c r="D1242" i="1"/>
  <c r="C1242" i="1"/>
  <c r="B1242" i="1"/>
  <c r="A1242" i="1"/>
  <c r="F1241" i="1"/>
  <c r="E1241" i="1"/>
  <c r="D1241" i="1"/>
  <c r="C1241" i="1"/>
  <c r="B1241" i="1"/>
  <c r="A1241" i="1"/>
  <c r="F1240" i="1"/>
  <c r="E1240" i="1"/>
  <c r="D1240" i="1"/>
  <c r="C1240" i="1"/>
  <c r="B1240" i="1"/>
  <c r="A1240" i="1"/>
  <c r="F1239" i="1"/>
  <c r="E1239" i="1"/>
  <c r="D1239" i="1"/>
  <c r="C1239" i="1"/>
  <c r="B1239" i="1"/>
  <c r="A1239" i="1"/>
  <c r="F1238" i="1"/>
  <c r="E1238" i="1"/>
  <c r="D1238" i="1"/>
  <c r="C1238" i="1"/>
  <c r="B1238" i="1"/>
  <c r="A1238" i="1"/>
  <c r="F1237" i="1"/>
  <c r="E1237" i="1"/>
  <c r="D1237" i="1"/>
  <c r="C1237" i="1"/>
  <c r="B1237" i="1"/>
  <c r="A1237" i="1"/>
  <c r="F1236" i="1"/>
  <c r="E1236" i="1"/>
  <c r="D1236" i="1"/>
  <c r="C1236" i="1"/>
  <c r="B1236" i="1"/>
  <c r="A1236" i="1"/>
  <c r="F1235" i="1"/>
  <c r="E1235" i="1"/>
  <c r="D1235" i="1"/>
  <c r="C1235" i="1"/>
  <c r="B1235" i="1"/>
  <c r="A1235" i="1"/>
  <c r="F1234" i="1"/>
  <c r="E1234" i="1"/>
  <c r="D1234" i="1"/>
  <c r="C1234" i="1"/>
  <c r="B1234" i="1"/>
  <c r="A1234" i="1"/>
  <c r="F1233" i="1"/>
  <c r="E1233" i="1"/>
  <c r="D1233" i="1"/>
  <c r="C1233" i="1"/>
  <c r="B1233" i="1"/>
  <c r="A1233" i="1"/>
  <c r="F1232" i="1"/>
  <c r="E1232" i="1"/>
  <c r="D1232" i="1"/>
  <c r="C1232" i="1"/>
  <c r="B1232" i="1"/>
  <c r="A1232" i="1"/>
  <c r="F1231" i="1"/>
  <c r="E1231" i="1"/>
  <c r="D1231" i="1"/>
  <c r="C1231" i="1"/>
  <c r="B1231" i="1"/>
  <c r="A1231" i="1"/>
  <c r="F1230" i="1"/>
  <c r="E1230" i="1"/>
  <c r="D1230" i="1"/>
  <c r="C1230" i="1"/>
  <c r="B1230" i="1"/>
  <c r="A1230" i="1"/>
  <c r="F1229" i="1"/>
  <c r="E1229" i="1"/>
  <c r="D1229" i="1"/>
  <c r="C1229" i="1"/>
  <c r="B1229" i="1"/>
  <c r="A1229" i="1"/>
  <c r="F1228" i="1"/>
  <c r="E1228" i="1"/>
  <c r="D1228" i="1"/>
  <c r="C1228" i="1"/>
  <c r="B1228" i="1"/>
  <c r="A1228" i="1"/>
  <c r="F1227" i="1"/>
  <c r="E1227" i="1"/>
  <c r="D1227" i="1"/>
  <c r="C1227" i="1"/>
  <c r="B1227" i="1"/>
  <c r="A1227" i="1"/>
  <c r="F1226" i="1"/>
  <c r="E1226" i="1"/>
  <c r="D1226" i="1"/>
  <c r="C1226" i="1"/>
  <c r="B1226" i="1"/>
  <c r="A1226" i="1"/>
  <c r="F1225" i="1"/>
  <c r="E1225" i="1"/>
  <c r="D1225" i="1"/>
  <c r="C1225" i="1"/>
  <c r="B1225" i="1"/>
  <c r="A1225" i="1"/>
  <c r="F1224" i="1"/>
  <c r="E1224" i="1"/>
  <c r="D1224" i="1"/>
  <c r="C1224" i="1"/>
  <c r="B1224" i="1"/>
  <c r="A1224" i="1"/>
  <c r="F1223" i="1"/>
  <c r="E1223" i="1"/>
  <c r="D1223" i="1"/>
  <c r="C1223" i="1"/>
  <c r="B1223" i="1"/>
  <c r="A1223" i="1"/>
  <c r="F1222" i="1"/>
  <c r="E1222" i="1"/>
  <c r="D1222" i="1"/>
  <c r="C1222" i="1"/>
  <c r="B1222" i="1"/>
  <c r="A1222" i="1"/>
  <c r="F1221" i="1"/>
  <c r="E1221" i="1"/>
  <c r="D1221" i="1"/>
  <c r="C1221" i="1"/>
  <c r="B1221" i="1"/>
  <c r="A1221" i="1"/>
  <c r="F1220" i="1"/>
  <c r="E1220" i="1"/>
  <c r="D1220" i="1"/>
  <c r="C1220" i="1"/>
  <c r="B1220" i="1"/>
  <c r="A1220" i="1"/>
  <c r="F1219" i="1"/>
  <c r="E1219" i="1"/>
  <c r="D1219" i="1"/>
  <c r="C1219" i="1"/>
  <c r="B1219" i="1"/>
  <c r="A1219" i="1"/>
  <c r="F1218" i="1"/>
  <c r="E1218" i="1"/>
  <c r="D1218" i="1"/>
  <c r="C1218" i="1"/>
  <c r="B1218" i="1"/>
  <c r="A1218" i="1"/>
  <c r="F1217" i="1"/>
  <c r="E1217" i="1"/>
  <c r="D1217" i="1"/>
  <c r="C1217" i="1"/>
  <c r="B1217" i="1"/>
  <c r="A1217" i="1"/>
  <c r="F1216" i="1"/>
  <c r="E1216" i="1"/>
  <c r="D1216" i="1"/>
  <c r="C1216" i="1"/>
  <c r="B1216" i="1"/>
  <c r="A1216" i="1"/>
  <c r="F1215" i="1"/>
  <c r="E1215" i="1"/>
  <c r="D1215" i="1"/>
  <c r="C1215" i="1"/>
  <c r="B1215" i="1"/>
  <c r="A1215" i="1"/>
  <c r="F1214" i="1"/>
  <c r="E1214" i="1"/>
  <c r="D1214" i="1"/>
  <c r="C1214" i="1"/>
  <c r="B1214" i="1"/>
  <c r="A1214" i="1"/>
  <c r="F1213" i="1"/>
  <c r="E1213" i="1"/>
  <c r="D1213" i="1"/>
  <c r="C1213" i="1"/>
  <c r="B1213" i="1"/>
  <c r="A1213" i="1"/>
  <c r="F1212" i="1"/>
  <c r="E1212" i="1"/>
  <c r="D1212" i="1"/>
  <c r="C1212" i="1"/>
  <c r="B1212" i="1"/>
  <c r="A1212" i="1"/>
  <c r="F1211" i="1"/>
  <c r="E1211" i="1"/>
  <c r="D1211" i="1"/>
  <c r="C1211" i="1"/>
  <c r="B1211" i="1"/>
  <c r="A1211" i="1"/>
  <c r="F1210" i="1"/>
  <c r="E1210" i="1"/>
  <c r="D1210" i="1"/>
  <c r="C1210" i="1"/>
  <c r="B1210" i="1"/>
  <c r="A1210" i="1"/>
  <c r="F1209" i="1"/>
  <c r="E1209" i="1"/>
  <c r="D1209" i="1"/>
  <c r="C1209" i="1"/>
  <c r="B1209" i="1"/>
  <c r="A1209" i="1"/>
  <c r="F1208" i="1"/>
  <c r="E1208" i="1"/>
  <c r="D1208" i="1"/>
  <c r="C1208" i="1"/>
  <c r="B1208" i="1"/>
  <c r="A1208" i="1"/>
  <c r="F1207" i="1"/>
  <c r="E1207" i="1"/>
  <c r="D1207" i="1"/>
  <c r="C1207" i="1"/>
  <c r="B1207" i="1"/>
  <c r="A1207" i="1"/>
  <c r="F1206" i="1"/>
  <c r="E1206" i="1"/>
  <c r="D1206" i="1"/>
  <c r="C1206" i="1"/>
  <c r="B1206" i="1"/>
  <c r="A1206" i="1"/>
  <c r="F1205" i="1"/>
  <c r="E1205" i="1"/>
  <c r="D1205" i="1"/>
  <c r="C1205" i="1"/>
  <c r="B1205" i="1"/>
  <c r="A1205" i="1"/>
  <c r="F1204" i="1"/>
  <c r="E1204" i="1"/>
  <c r="D1204" i="1"/>
  <c r="C1204" i="1"/>
  <c r="B1204" i="1"/>
  <c r="A1204" i="1"/>
  <c r="F1203" i="1"/>
  <c r="E1203" i="1"/>
  <c r="D1203" i="1"/>
  <c r="C1203" i="1"/>
  <c r="B1203" i="1"/>
  <c r="A1203" i="1"/>
  <c r="F1202" i="1"/>
  <c r="E1202" i="1"/>
  <c r="D1202" i="1"/>
  <c r="C1202" i="1"/>
  <c r="B1202" i="1"/>
  <c r="A1202" i="1"/>
  <c r="F1201" i="1"/>
  <c r="E1201" i="1"/>
  <c r="D1201" i="1"/>
  <c r="C1201" i="1"/>
  <c r="B1201" i="1"/>
  <c r="A1201" i="1"/>
  <c r="F1200" i="1"/>
  <c r="E1200" i="1"/>
  <c r="D1200" i="1"/>
  <c r="C1200" i="1"/>
  <c r="B1200" i="1"/>
  <c r="A1200" i="1"/>
  <c r="F1199" i="1"/>
  <c r="E1199" i="1"/>
  <c r="D1199" i="1"/>
  <c r="C1199" i="1"/>
  <c r="B1199" i="1"/>
  <c r="A1199" i="1"/>
  <c r="F1198" i="1"/>
  <c r="E1198" i="1"/>
  <c r="D1198" i="1"/>
  <c r="C1198" i="1"/>
  <c r="B1198" i="1"/>
  <c r="A1198" i="1"/>
  <c r="F1197" i="1"/>
  <c r="E1197" i="1"/>
  <c r="D1197" i="1"/>
  <c r="C1197" i="1"/>
  <c r="B1197" i="1"/>
  <c r="A1197" i="1"/>
  <c r="F1196" i="1"/>
  <c r="E1196" i="1"/>
  <c r="D1196" i="1"/>
  <c r="C1196" i="1"/>
  <c r="B1196" i="1"/>
  <c r="A1196" i="1"/>
  <c r="F1195" i="1"/>
  <c r="E1195" i="1"/>
  <c r="D1195" i="1"/>
  <c r="C1195" i="1"/>
  <c r="B1195" i="1"/>
  <c r="A1195" i="1"/>
  <c r="F1194" i="1"/>
  <c r="E1194" i="1"/>
  <c r="D1194" i="1"/>
  <c r="C1194" i="1"/>
  <c r="B1194" i="1"/>
  <c r="A1194" i="1"/>
  <c r="F1193" i="1"/>
  <c r="E1193" i="1"/>
  <c r="D1193" i="1"/>
  <c r="C1193" i="1"/>
  <c r="B1193" i="1"/>
  <c r="A1193" i="1"/>
  <c r="F1192" i="1"/>
  <c r="E1192" i="1"/>
  <c r="D1192" i="1"/>
  <c r="C1192" i="1"/>
  <c r="B1192" i="1"/>
  <c r="A1192" i="1"/>
  <c r="F1191" i="1"/>
  <c r="E1191" i="1"/>
  <c r="D1191" i="1"/>
  <c r="C1191" i="1"/>
  <c r="B1191" i="1"/>
  <c r="A1191" i="1"/>
  <c r="F1190" i="1"/>
  <c r="E1190" i="1"/>
  <c r="D1190" i="1"/>
  <c r="C1190" i="1"/>
  <c r="B1190" i="1"/>
  <c r="A1190" i="1"/>
  <c r="F1189" i="1"/>
  <c r="E1189" i="1"/>
  <c r="D1189" i="1"/>
  <c r="C1189" i="1"/>
  <c r="B1189" i="1"/>
  <c r="A1189" i="1"/>
  <c r="F1188" i="1"/>
  <c r="E1188" i="1"/>
  <c r="D1188" i="1"/>
  <c r="C1188" i="1"/>
  <c r="B1188" i="1"/>
  <c r="A1188" i="1"/>
  <c r="F1187" i="1"/>
  <c r="E1187" i="1"/>
  <c r="D1187" i="1"/>
  <c r="C1187" i="1"/>
  <c r="B1187" i="1"/>
  <c r="A1187" i="1"/>
  <c r="F1186" i="1"/>
  <c r="E1186" i="1"/>
  <c r="D1186" i="1"/>
  <c r="C1186" i="1"/>
  <c r="B1186" i="1"/>
  <c r="A1186" i="1"/>
  <c r="F1185" i="1"/>
  <c r="E1185" i="1"/>
  <c r="D1185" i="1"/>
  <c r="C1185" i="1"/>
  <c r="B1185" i="1"/>
  <c r="A1185" i="1"/>
  <c r="F1184" i="1"/>
  <c r="E1184" i="1"/>
  <c r="D1184" i="1"/>
  <c r="C1184" i="1"/>
  <c r="B1184" i="1"/>
  <c r="A1184" i="1"/>
  <c r="F1183" i="1"/>
  <c r="E1183" i="1"/>
  <c r="D1183" i="1"/>
  <c r="C1183" i="1"/>
  <c r="B1183" i="1"/>
  <c r="A1183" i="1"/>
  <c r="F1182" i="1"/>
  <c r="E1182" i="1"/>
  <c r="D1182" i="1"/>
  <c r="C1182" i="1"/>
  <c r="B1182" i="1"/>
  <c r="A1182" i="1"/>
  <c r="F1181" i="1"/>
  <c r="E1181" i="1"/>
  <c r="D1181" i="1"/>
  <c r="C1181" i="1"/>
  <c r="B1181" i="1"/>
  <c r="A1181" i="1"/>
  <c r="F1180" i="1"/>
  <c r="E1180" i="1"/>
  <c r="D1180" i="1"/>
  <c r="C1180" i="1"/>
  <c r="B1180" i="1"/>
  <c r="A1180" i="1"/>
  <c r="F1179" i="1"/>
  <c r="E1179" i="1"/>
  <c r="D1179" i="1"/>
  <c r="C1179" i="1"/>
  <c r="B1179" i="1"/>
  <c r="A1179" i="1"/>
  <c r="F1178" i="1"/>
  <c r="E1178" i="1"/>
  <c r="D1178" i="1"/>
  <c r="C1178" i="1"/>
  <c r="B1178" i="1"/>
  <c r="A1178" i="1"/>
  <c r="F1177" i="1"/>
  <c r="E1177" i="1"/>
  <c r="D1177" i="1"/>
  <c r="C1177" i="1"/>
  <c r="B1177" i="1"/>
  <c r="A1177" i="1"/>
  <c r="F1176" i="1"/>
  <c r="E1176" i="1"/>
  <c r="D1176" i="1"/>
  <c r="C1176" i="1"/>
  <c r="B1176" i="1"/>
  <c r="A1176" i="1"/>
  <c r="F1175" i="1"/>
  <c r="E1175" i="1"/>
  <c r="D1175" i="1"/>
  <c r="C1175" i="1"/>
  <c r="B1175" i="1"/>
  <c r="A1175" i="1"/>
  <c r="F1174" i="1"/>
  <c r="E1174" i="1"/>
  <c r="D1174" i="1"/>
  <c r="C1174" i="1"/>
  <c r="B1174" i="1"/>
  <c r="A1174" i="1"/>
  <c r="F1173" i="1"/>
  <c r="E1173" i="1"/>
  <c r="D1173" i="1"/>
  <c r="C1173" i="1"/>
  <c r="B1173" i="1"/>
  <c r="A1173" i="1"/>
  <c r="F1172" i="1"/>
  <c r="E1172" i="1"/>
  <c r="D1172" i="1"/>
  <c r="C1172" i="1"/>
  <c r="B1172" i="1"/>
  <c r="A1172" i="1"/>
  <c r="F1171" i="1"/>
  <c r="E1171" i="1"/>
  <c r="D1171" i="1"/>
  <c r="C1171" i="1"/>
  <c r="B1171" i="1"/>
  <c r="A1171" i="1"/>
  <c r="F1170" i="1"/>
  <c r="E1170" i="1"/>
  <c r="D1170" i="1"/>
  <c r="C1170" i="1"/>
  <c r="B1170" i="1"/>
  <c r="A1170" i="1"/>
  <c r="F1169" i="1"/>
  <c r="E1169" i="1"/>
  <c r="D1169" i="1"/>
  <c r="C1169" i="1"/>
  <c r="B1169" i="1"/>
  <c r="A1169" i="1"/>
  <c r="F1168" i="1"/>
  <c r="E1168" i="1"/>
  <c r="D1168" i="1"/>
  <c r="C1168" i="1"/>
  <c r="B1168" i="1"/>
  <c r="A1168" i="1"/>
  <c r="F1167" i="1"/>
  <c r="E1167" i="1"/>
  <c r="D1167" i="1"/>
  <c r="C1167" i="1"/>
  <c r="B1167" i="1"/>
  <c r="A1167" i="1"/>
  <c r="F1166" i="1"/>
  <c r="E1166" i="1"/>
  <c r="D1166" i="1"/>
  <c r="C1166" i="1"/>
  <c r="B1166" i="1"/>
  <c r="A1166" i="1"/>
  <c r="F1165" i="1"/>
  <c r="E1165" i="1"/>
  <c r="D1165" i="1"/>
  <c r="C1165" i="1"/>
  <c r="B1165" i="1"/>
  <c r="A1165" i="1"/>
  <c r="F1164" i="1"/>
  <c r="E1164" i="1"/>
  <c r="D1164" i="1"/>
  <c r="C1164" i="1"/>
  <c r="B1164" i="1"/>
  <c r="A1164" i="1"/>
  <c r="F1163" i="1"/>
  <c r="E1163" i="1"/>
  <c r="D1163" i="1"/>
  <c r="C1163" i="1"/>
  <c r="B1163" i="1"/>
  <c r="A1163" i="1"/>
  <c r="F1162" i="1"/>
  <c r="E1162" i="1"/>
  <c r="D1162" i="1"/>
  <c r="C1162" i="1"/>
  <c r="B1162" i="1"/>
  <c r="A1162" i="1"/>
  <c r="F1161" i="1"/>
  <c r="E1161" i="1"/>
  <c r="D1161" i="1"/>
  <c r="C1161" i="1"/>
  <c r="B1161" i="1"/>
  <c r="A1161" i="1"/>
  <c r="F1160" i="1"/>
  <c r="E1160" i="1"/>
  <c r="D1160" i="1"/>
  <c r="C1160" i="1"/>
  <c r="B1160" i="1"/>
  <c r="A1160" i="1"/>
  <c r="F1159" i="1"/>
  <c r="E1159" i="1"/>
  <c r="D1159" i="1"/>
  <c r="C1159" i="1"/>
  <c r="B1159" i="1"/>
  <c r="A1159" i="1"/>
  <c r="F1158" i="1"/>
  <c r="E1158" i="1"/>
  <c r="D1158" i="1"/>
  <c r="C1158" i="1"/>
  <c r="B1158" i="1"/>
  <c r="A1158" i="1"/>
  <c r="F1157" i="1"/>
  <c r="E1157" i="1"/>
  <c r="D1157" i="1"/>
  <c r="C1157" i="1"/>
  <c r="B1157" i="1"/>
  <c r="A1157" i="1"/>
  <c r="F1156" i="1"/>
  <c r="E1156" i="1"/>
  <c r="D1156" i="1"/>
  <c r="C1156" i="1"/>
  <c r="B1156" i="1"/>
  <c r="A1156" i="1"/>
  <c r="F1155" i="1"/>
  <c r="E1155" i="1"/>
  <c r="D1155" i="1"/>
  <c r="C1155" i="1"/>
  <c r="B1155" i="1"/>
  <c r="A1155" i="1"/>
  <c r="F1154" i="1"/>
  <c r="E1154" i="1"/>
  <c r="D1154" i="1"/>
  <c r="C1154" i="1"/>
  <c r="B1154" i="1"/>
  <c r="A1154" i="1"/>
  <c r="F1153" i="1"/>
  <c r="E1153" i="1"/>
  <c r="D1153" i="1"/>
  <c r="C1153" i="1"/>
  <c r="B1153" i="1"/>
  <c r="A1153" i="1"/>
  <c r="F1152" i="1"/>
  <c r="E1152" i="1"/>
  <c r="D1152" i="1"/>
  <c r="C1152" i="1"/>
  <c r="B1152" i="1"/>
  <c r="A1152" i="1"/>
  <c r="F1151" i="1"/>
  <c r="E1151" i="1"/>
  <c r="D1151" i="1"/>
  <c r="C1151" i="1"/>
  <c r="B1151" i="1"/>
  <c r="A1151" i="1"/>
  <c r="F1150" i="1"/>
  <c r="E1150" i="1"/>
  <c r="D1150" i="1"/>
  <c r="C1150" i="1"/>
  <c r="B1150" i="1"/>
  <c r="A1150" i="1"/>
  <c r="F1149" i="1"/>
  <c r="E1149" i="1"/>
  <c r="D1149" i="1"/>
  <c r="C1149" i="1"/>
  <c r="B1149" i="1"/>
  <c r="A1149" i="1"/>
  <c r="F1148" i="1"/>
  <c r="E1148" i="1"/>
  <c r="D1148" i="1"/>
  <c r="C1148" i="1"/>
  <c r="B1148" i="1"/>
  <c r="A1148" i="1"/>
  <c r="F1147" i="1"/>
  <c r="E1147" i="1"/>
  <c r="D1147" i="1"/>
  <c r="C1147" i="1"/>
  <c r="B1147" i="1"/>
  <c r="A1147" i="1"/>
  <c r="F1146" i="1"/>
  <c r="E1146" i="1"/>
  <c r="D1146" i="1"/>
  <c r="C1146" i="1"/>
  <c r="B1146" i="1"/>
  <c r="A1146" i="1"/>
  <c r="F1145" i="1"/>
  <c r="E1145" i="1"/>
  <c r="D1145" i="1"/>
  <c r="C1145" i="1"/>
  <c r="B1145" i="1"/>
  <c r="A1145" i="1"/>
  <c r="F1144" i="1"/>
  <c r="E1144" i="1"/>
  <c r="D1144" i="1"/>
  <c r="C1144" i="1"/>
  <c r="B1144" i="1"/>
  <c r="A1144" i="1"/>
  <c r="F1143" i="1"/>
  <c r="E1143" i="1"/>
  <c r="D1143" i="1"/>
  <c r="C1143" i="1"/>
  <c r="B1143" i="1"/>
  <c r="A1143" i="1"/>
  <c r="F1142" i="1"/>
  <c r="E1142" i="1"/>
  <c r="D1142" i="1"/>
  <c r="C1142" i="1"/>
  <c r="B1142" i="1"/>
  <c r="A1142" i="1"/>
  <c r="F1141" i="1"/>
  <c r="E1141" i="1"/>
  <c r="D1141" i="1"/>
  <c r="C1141" i="1"/>
  <c r="B1141" i="1"/>
  <c r="A1141" i="1"/>
  <c r="F1140" i="1"/>
  <c r="E1140" i="1"/>
  <c r="D1140" i="1"/>
  <c r="C1140" i="1"/>
  <c r="B1140" i="1"/>
  <c r="A1140" i="1"/>
  <c r="F1139" i="1"/>
  <c r="E1139" i="1"/>
  <c r="D1139" i="1"/>
  <c r="C1139" i="1"/>
  <c r="B1139" i="1"/>
  <c r="A1139" i="1"/>
  <c r="F1138" i="1"/>
  <c r="E1138" i="1"/>
  <c r="D1138" i="1"/>
  <c r="C1138" i="1"/>
  <c r="B1138" i="1"/>
  <c r="A1138" i="1"/>
  <c r="F1137" i="1"/>
  <c r="E1137" i="1"/>
  <c r="D1137" i="1"/>
  <c r="C1137" i="1"/>
  <c r="B1137" i="1"/>
  <c r="A1137" i="1"/>
  <c r="F1136" i="1"/>
  <c r="E1136" i="1"/>
  <c r="D1136" i="1"/>
  <c r="C1136" i="1"/>
  <c r="B1136" i="1"/>
  <c r="A1136" i="1"/>
  <c r="F1135" i="1"/>
  <c r="E1135" i="1"/>
  <c r="D1135" i="1"/>
  <c r="C1135" i="1"/>
  <c r="B1135" i="1"/>
  <c r="A1135" i="1"/>
  <c r="F1134" i="1"/>
  <c r="E1134" i="1"/>
  <c r="D1134" i="1"/>
  <c r="C1134" i="1"/>
  <c r="B1134" i="1"/>
  <c r="A1134" i="1"/>
  <c r="F1133" i="1"/>
  <c r="E1133" i="1"/>
  <c r="D1133" i="1"/>
  <c r="C1133" i="1"/>
  <c r="B1133" i="1"/>
  <c r="A1133" i="1"/>
  <c r="F1132" i="1"/>
  <c r="E1132" i="1"/>
  <c r="D1132" i="1"/>
  <c r="C1132" i="1"/>
  <c r="B1132" i="1"/>
  <c r="A1132" i="1"/>
  <c r="F1131" i="1"/>
  <c r="E1131" i="1"/>
  <c r="D1131" i="1"/>
  <c r="C1131" i="1"/>
  <c r="B1131" i="1"/>
  <c r="A1131" i="1"/>
  <c r="F1130" i="1"/>
  <c r="E1130" i="1"/>
  <c r="D1130" i="1"/>
  <c r="C1130" i="1"/>
  <c r="B1130" i="1"/>
  <c r="A1130" i="1"/>
  <c r="F1129" i="1"/>
  <c r="E1129" i="1"/>
  <c r="D1129" i="1"/>
  <c r="C1129" i="1"/>
  <c r="B1129" i="1"/>
  <c r="A1129" i="1"/>
  <c r="F1128" i="1"/>
  <c r="E1128" i="1"/>
  <c r="D1128" i="1"/>
  <c r="C1128" i="1"/>
  <c r="B1128" i="1"/>
  <c r="A1128" i="1"/>
  <c r="F1127" i="1"/>
  <c r="E1127" i="1"/>
  <c r="D1127" i="1"/>
  <c r="C1127" i="1"/>
  <c r="B1127" i="1"/>
  <c r="A1127" i="1"/>
  <c r="F1126" i="1"/>
  <c r="E1126" i="1"/>
  <c r="D1126" i="1"/>
  <c r="C1126" i="1"/>
  <c r="B1126" i="1"/>
  <c r="A1126" i="1"/>
  <c r="F1125" i="1"/>
  <c r="E1125" i="1"/>
  <c r="D1125" i="1"/>
  <c r="C1125" i="1"/>
  <c r="B1125" i="1"/>
  <c r="A1125" i="1"/>
  <c r="F1124" i="1"/>
  <c r="E1124" i="1"/>
  <c r="D1124" i="1"/>
  <c r="C1124" i="1"/>
  <c r="B1124" i="1"/>
  <c r="A1124" i="1"/>
  <c r="F1123" i="1"/>
  <c r="E1123" i="1"/>
  <c r="D1123" i="1"/>
  <c r="C1123" i="1"/>
  <c r="B1123" i="1"/>
  <c r="A1123" i="1"/>
  <c r="F1122" i="1"/>
  <c r="E1122" i="1"/>
  <c r="D1122" i="1"/>
  <c r="C1122" i="1"/>
  <c r="B1122" i="1"/>
  <c r="A1122" i="1"/>
  <c r="F1121" i="1"/>
  <c r="E1121" i="1"/>
  <c r="D1121" i="1"/>
  <c r="C1121" i="1"/>
  <c r="B1121" i="1"/>
  <c r="A1121" i="1"/>
  <c r="F1120" i="1"/>
  <c r="E1120" i="1"/>
  <c r="D1120" i="1"/>
  <c r="C1120" i="1"/>
  <c r="B1120" i="1"/>
  <c r="A1120" i="1"/>
  <c r="F1119" i="1"/>
  <c r="E1119" i="1"/>
  <c r="D1119" i="1"/>
  <c r="C1119" i="1"/>
  <c r="B1119" i="1"/>
  <c r="A1119" i="1"/>
  <c r="F1118" i="1"/>
  <c r="E1118" i="1"/>
  <c r="D1118" i="1"/>
  <c r="C1118" i="1"/>
  <c r="B1118" i="1"/>
  <c r="A1118" i="1"/>
  <c r="F1117" i="1"/>
  <c r="E1117" i="1"/>
  <c r="D1117" i="1"/>
  <c r="C1117" i="1"/>
  <c r="B1117" i="1"/>
  <c r="A1117" i="1"/>
  <c r="F1116" i="1"/>
  <c r="E1116" i="1"/>
  <c r="D1116" i="1"/>
  <c r="C1116" i="1"/>
  <c r="B1116" i="1"/>
  <c r="A1116" i="1"/>
  <c r="F1115" i="1"/>
  <c r="E1115" i="1"/>
  <c r="D1115" i="1"/>
  <c r="C1115" i="1"/>
  <c r="B1115" i="1"/>
  <c r="A1115" i="1"/>
  <c r="F1114" i="1"/>
  <c r="E1114" i="1"/>
  <c r="D1114" i="1"/>
  <c r="C1114" i="1"/>
  <c r="B1114" i="1"/>
  <c r="A1114" i="1"/>
  <c r="F1113" i="1"/>
  <c r="E1113" i="1"/>
  <c r="D1113" i="1"/>
  <c r="C1113" i="1"/>
  <c r="B1113" i="1"/>
  <c r="A1113" i="1"/>
  <c r="F1112" i="1"/>
  <c r="E1112" i="1"/>
  <c r="D1112" i="1"/>
  <c r="C1112" i="1"/>
  <c r="B1112" i="1"/>
  <c r="A1112" i="1"/>
  <c r="F1111" i="1"/>
  <c r="E1111" i="1"/>
  <c r="D1111" i="1"/>
  <c r="C1111" i="1"/>
  <c r="B1111" i="1"/>
  <c r="A1111" i="1"/>
  <c r="F1110" i="1"/>
  <c r="E1110" i="1"/>
  <c r="D1110" i="1"/>
  <c r="C1110" i="1"/>
  <c r="B1110" i="1"/>
  <c r="A1110" i="1"/>
  <c r="F1109" i="1"/>
  <c r="E1109" i="1"/>
  <c r="D1109" i="1"/>
  <c r="C1109" i="1"/>
  <c r="B1109" i="1"/>
  <c r="A1109" i="1"/>
  <c r="F1108" i="1"/>
  <c r="E1108" i="1"/>
  <c r="D1108" i="1"/>
  <c r="C1108" i="1"/>
  <c r="B1108" i="1"/>
  <c r="A1108" i="1"/>
  <c r="F1107" i="1"/>
  <c r="E1107" i="1"/>
  <c r="D1107" i="1"/>
  <c r="C1107" i="1"/>
  <c r="B1107" i="1"/>
  <c r="A1107" i="1"/>
  <c r="F1106" i="1"/>
  <c r="E1106" i="1"/>
  <c r="D1106" i="1"/>
  <c r="C1106" i="1"/>
  <c r="B1106" i="1"/>
  <c r="A1106" i="1"/>
  <c r="F1105" i="1"/>
  <c r="E1105" i="1"/>
  <c r="D1105" i="1"/>
  <c r="C1105" i="1"/>
  <c r="B1105" i="1"/>
  <c r="A1105" i="1"/>
  <c r="F1104" i="1"/>
  <c r="E1104" i="1"/>
  <c r="D1104" i="1"/>
  <c r="C1104" i="1"/>
  <c r="B1104" i="1"/>
  <c r="A1104" i="1"/>
  <c r="F1103" i="1"/>
  <c r="E1103" i="1"/>
  <c r="D1103" i="1"/>
  <c r="C1103" i="1"/>
  <c r="B1103" i="1"/>
  <c r="A1103" i="1"/>
  <c r="F1102" i="1"/>
  <c r="E1102" i="1"/>
  <c r="D1102" i="1"/>
  <c r="C1102" i="1"/>
  <c r="B1102" i="1"/>
  <c r="A1102" i="1"/>
  <c r="F1101" i="1"/>
  <c r="E1101" i="1"/>
  <c r="D1101" i="1"/>
  <c r="C1101" i="1"/>
  <c r="B1101" i="1"/>
  <c r="A1101" i="1"/>
  <c r="F1100" i="1"/>
  <c r="E1100" i="1"/>
  <c r="D1100" i="1"/>
  <c r="C1100" i="1"/>
  <c r="B1100" i="1"/>
  <c r="A1100" i="1"/>
  <c r="F1099" i="1"/>
  <c r="E1099" i="1"/>
  <c r="D1099" i="1"/>
  <c r="C1099" i="1"/>
  <c r="B1099" i="1"/>
  <c r="A1099" i="1"/>
  <c r="F1098" i="1"/>
  <c r="E1098" i="1"/>
  <c r="D1098" i="1"/>
  <c r="C1098" i="1"/>
  <c r="B1098" i="1"/>
  <c r="A1098" i="1"/>
  <c r="F1097" i="1"/>
  <c r="E1097" i="1"/>
  <c r="D1097" i="1"/>
  <c r="C1097" i="1"/>
  <c r="B1097" i="1"/>
  <c r="A1097" i="1"/>
  <c r="F1096" i="1"/>
  <c r="E1096" i="1"/>
  <c r="D1096" i="1"/>
  <c r="C1096" i="1"/>
  <c r="B1096" i="1"/>
  <c r="A1096" i="1"/>
  <c r="F1095" i="1"/>
  <c r="E1095" i="1"/>
  <c r="D1095" i="1"/>
  <c r="C1095" i="1"/>
  <c r="B1095" i="1"/>
  <c r="A1095" i="1"/>
  <c r="F1094" i="1"/>
  <c r="E1094" i="1"/>
  <c r="D1094" i="1"/>
  <c r="C1094" i="1"/>
  <c r="B1094" i="1"/>
  <c r="A1094" i="1"/>
  <c r="F1093" i="1"/>
  <c r="E1093" i="1"/>
  <c r="D1093" i="1"/>
  <c r="C1093" i="1"/>
  <c r="B1093" i="1"/>
  <c r="A1093" i="1"/>
  <c r="F1092" i="1"/>
  <c r="E1092" i="1"/>
  <c r="D1092" i="1"/>
  <c r="C1092" i="1"/>
  <c r="B1092" i="1"/>
  <c r="A1092" i="1"/>
  <c r="F1091" i="1"/>
  <c r="E1091" i="1"/>
  <c r="D1091" i="1"/>
  <c r="C1091" i="1"/>
  <c r="B1091" i="1"/>
  <c r="A1091" i="1"/>
  <c r="F1090" i="1"/>
  <c r="E1090" i="1"/>
  <c r="D1090" i="1"/>
  <c r="C1090" i="1"/>
  <c r="B1090" i="1"/>
  <c r="A1090" i="1"/>
  <c r="F1089" i="1"/>
  <c r="E1089" i="1"/>
  <c r="D1089" i="1"/>
  <c r="C1089" i="1"/>
  <c r="B1089" i="1"/>
  <c r="A1089" i="1"/>
  <c r="F1088" i="1"/>
  <c r="E1088" i="1"/>
  <c r="D1088" i="1"/>
  <c r="C1088" i="1"/>
  <c r="B1088" i="1"/>
  <c r="A1088" i="1"/>
  <c r="F1087" i="1"/>
  <c r="E1087" i="1"/>
  <c r="D1087" i="1"/>
  <c r="C1087" i="1"/>
  <c r="B1087" i="1"/>
  <c r="A1087" i="1"/>
  <c r="F1086" i="1"/>
  <c r="E1086" i="1"/>
  <c r="D1086" i="1"/>
  <c r="C1086" i="1"/>
  <c r="B1086" i="1"/>
  <c r="A1086" i="1"/>
  <c r="F1085" i="1"/>
  <c r="E1085" i="1"/>
  <c r="D1085" i="1"/>
  <c r="C1085" i="1"/>
  <c r="B1085" i="1"/>
  <c r="A1085" i="1"/>
  <c r="F1084" i="1"/>
  <c r="E1084" i="1"/>
  <c r="D1084" i="1"/>
  <c r="C1084" i="1"/>
  <c r="B1084" i="1"/>
  <c r="A1084" i="1"/>
  <c r="F1083" i="1"/>
  <c r="E1083" i="1"/>
  <c r="D1083" i="1"/>
  <c r="C1083" i="1"/>
  <c r="B1083" i="1"/>
  <c r="A1083" i="1"/>
  <c r="F1082" i="1"/>
  <c r="E1082" i="1"/>
  <c r="D1082" i="1"/>
  <c r="C1082" i="1"/>
  <c r="B1082" i="1"/>
  <c r="A1082" i="1"/>
  <c r="F1081" i="1"/>
  <c r="E1081" i="1"/>
  <c r="D1081" i="1"/>
  <c r="C1081" i="1"/>
  <c r="B1081" i="1"/>
  <c r="A1081" i="1"/>
  <c r="F1080" i="1"/>
  <c r="E1080" i="1"/>
  <c r="D1080" i="1"/>
  <c r="C1080" i="1"/>
  <c r="B1080" i="1"/>
  <c r="A1080" i="1"/>
  <c r="F1079" i="1"/>
  <c r="E1079" i="1"/>
  <c r="D1079" i="1"/>
  <c r="C1079" i="1"/>
  <c r="B1079" i="1"/>
  <c r="A1079" i="1"/>
  <c r="F1078" i="1"/>
  <c r="E1078" i="1"/>
  <c r="D1078" i="1"/>
  <c r="C1078" i="1"/>
  <c r="B1078" i="1"/>
  <c r="A1078" i="1"/>
  <c r="F1077" i="1"/>
  <c r="E1077" i="1"/>
  <c r="D1077" i="1"/>
  <c r="C1077" i="1"/>
  <c r="B1077" i="1"/>
  <c r="A1077" i="1"/>
  <c r="F1076" i="1"/>
  <c r="E1076" i="1"/>
  <c r="D1076" i="1"/>
  <c r="C1076" i="1"/>
  <c r="B1076" i="1"/>
  <c r="A1076" i="1"/>
  <c r="F1075" i="1"/>
  <c r="E1075" i="1"/>
  <c r="D1075" i="1"/>
  <c r="C1075" i="1"/>
  <c r="B1075" i="1"/>
  <c r="A1075" i="1"/>
  <c r="F1074" i="1"/>
  <c r="E1074" i="1"/>
  <c r="D1074" i="1"/>
  <c r="C1074" i="1"/>
  <c r="B1074" i="1"/>
  <c r="A1074" i="1"/>
  <c r="F1073" i="1"/>
  <c r="E1073" i="1"/>
  <c r="D1073" i="1"/>
  <c r="C1073" i="1"/>
  <c r="B1073" i="1"/>
  <c r="A1073" i="1"/>
  <c r="F1072" i="1"/>
  <c r="E1072" i="1"/>
  <c r="D1072" i="1"/>
  <c r="C1072" i="1"/>
  <c r="B1072" i="1"/>
  <c r="A1072" i="1"/>
  <c r="F1071" i="1"/>
  <c r="E1071" i="1"/>
  <c r="D1071" i="1"/>
  <c r="C1071" i="1"/>
  <c r="B1071" i="1"/>
  <c r="A1071" i="1"/>
  <c r="F1070" i="1"/>
  <c r="E1070" i="1"/>
  <c r="D1070" i="1"/>
  <c r="C1070" i="1"/>
  <c r="B1070" i="1"/>
  <c r="A1070" i="1"/>
  <c r="F1069" i="1"/>
  <c r="E1069" i="1"/>
  <c r="D1069" i="1"/>
  <c r="C1069" i="1"/>
  <c r="B1069" i="1"/>
  <c r="A1069" i="1"/>
  <c r="F1068" i="1"/>
  <c r="E1068" i="1"/>
  <c r="D1068" i="1"/>
  <c r="C1068" i="1"/>
  <c r="B1068" i="1"/>
  <c r="A1068" i="1"/>
  <c r="F1067" i="1"/>
  <c r="E1067" i="1"/>
  <c r="D1067" i="1"/>
  <c r="C1067" i="1"/>
  <c r="B1067" i="1"/>
  <c r="A1067" i="1"/>
  <c r="F1066" i="1"/>
  <c r="E1066" i="1"/>
  <c r="D1066" i="1"/>
  <c r="C1066" i="1"/>
  <c r="B1066" i="1"/>
  <c r="A1066" i="1"/>
  <c r="F1065" i="1"/>
  <c r="E1065" i="1"/>
  <c r="D1065" i="1"/>
  <c r="C1065" i="1"/>
  <c r="B1065" i="1"/>
  <c r="A1065" i="1"/>
  <c r="F1064" i="1"/>
  <c r="E1064" i="1"/>
  <c r="D1064" i="1"/>
  <c r="C1064" i="1"/>
  <c r="B1064" i="1"/>
  <c r="A1064" i="1"/>
  <c r="F1063" i="1"/>
  <c r="E1063" i="1"/>
  <c r="D1063" i="1"/>
  <c r="C1063" i="1"/>
  <c r="B1063" i="1"/>
  <c r="A1063" i="1"/>
  <c r="F1062" i="1"/>
  <c r="E1062" i="1"/>
  <c r="D1062" i="1"/>
  <c r="C1062" i="1"/>
  <c r="B1062" i="1"/>
  <c r="A1062" i="1"/>
  <c r="F1061" i="1"/>
  <c r="E1061" i="1"/>
  <c r="D1061" i="1"/>
  <c r="C1061" i="1"/>
  <c r="B1061" i="1"/>
  <c r="A1061" i="1"/>
  <c r="F1060" i="1"/>
  <c r="E1060" i="1"/>
  <c r="D1060" i="1"/>
  <c r="C1060" i="1"/>
  <c r="B1060" i="1"/>
  <c r="A1060" i="1"/>
  <c r="F1059" i="1"/>
  <c r="E1059" i="1"/>
  <c r="D1059" i="1"/>
  <c r="C1059" i="1"/>
  <c r="B1059" i="1"/>
  <c r="A1059" i="1"/>
  <c r="F1058" i="1"/>
  <c r="E1058" i="1"/>
  <c r="D1058" i="1"/>
  <c r="C1058" i="1"/>
  <c r="B1058" i="1"/>
  <c r="A1058" i="1"/>
  <c r="F1057" i="1"/>
  <c r="E1057" i="1"/>
  <c r="D1057" i="1"/>
  <c r="C1057" i="1"/>
  <c r="B1057" i="1"/>
  <c r="A1057" i="1"/>
  <c r="F1056" i="1"/>
  <c r="E1056" i="1"/>
  <c r="D1056" i="1"/>
  <c r="C1056" i="1"/>
  <c r="B1056" i="1"/>
  <c r="A1056" i="1"/>
  <c r="F1055" i="1"/>
  <c r="E1055" i="1"/>
  <c r="D1055" i="1"/>
  <c r="C1055" i="1"/>
  <c r="B1055" i="1"/>
  <c r="A1055" i="1"/>
  <c r="F1054" i="1"/>
  <c r="E1054" i="1"/>
  <c r="D1054" i="1"/>
  <c r="C1054" i="1"/>
  <c r="B1054" i="1"/>
  <c r="A1054" i="1"/>
  <c r="F1053" i="1"/>
  <c r="E1053" i="1"/>
  <c r="D1053" i="1"/>
  <c r="C1053" i="1"/>
  <c r="B1053" i="1"/>
  <c r="A1053" i="1"/>
  <c r="F1052" i="1"/>
  <c r="E1052" i="1"/>
  <c r="D1052" i="1"/>
  <c r="C1052" i="1"/>
  <c r="B1052" i="1"/>
  <c r="A1052" i="1"/>
  <c r="F1051" i="1"/>
  <c r="E1051" i="1"/>
  <c r="D1051" i="1"/>
  <c r="C1051" i="1"/>
  <c r="B1051" i="1"/>
  <c r="A1051" i="1"/>
  <c r="F1050" i="1"/>
  <c r="E1050" i="1"/>
  <c r="D1050" i="1"/>
  <c r="C1050" i="1"/>
  <c r="B1050" i="1"/>
  <c r="A1050" i="1"/>
  <c r="F1049" i="1"/>
  <c r="E1049" i="1"/>
  <c r="D1049" i="1"/>
  <c r="C1049" i="1"/>
  <c r="B1049" i="1"/>
  <c r="A1049" i="1"/>
  <c r="F1048" i="1"/>
  <c r="E1048" i="1"/>
  <c r="D1048" i="1"/>
  <c r="C1048" i="1"/>
  <c r="B1048" i="1"/>
  <c r="A1048" i="1"/>
  <c r="F1047" i="1"/>
  <c r="E1047" i="1"/>
  <c r="D1047" i="1"/>
  <c r="C1047" i="1"/>
  <c r="B1047" i="1"/>
  <c r="A1047" i="1"/>
  <c r="F1046" i="1"/>
  <c r="E1046" i="1"/>
  <c r="D1046" i="1"/>
  <c r="C1046" i="1"/>
  <c r="B1046" i="1"/>
  <c r="A1046" i="1"/>
  <c r="F1045" i="1"/>
  <c r="E1045" i="1"/>
  <c r="D1045" i="1"/>
  <c r="C1045" i="1"/>
  <c r="B1045" i="1"/>
  <c r="A1045" i="1"/>
  <c r="F1044" i="1"/>
  <c r="E1044" i="1"/>
  <c r="D1044" i="1"/>
  <c r="C1044" i="1"/>
  <c r="B1044" i="1"/>
  <c r="A1044" i="1"/>
  <c r="F1043" i="1"/>
  <c r="E1043" i="1"/>
  <c r="D1043" i="1"/>
  <c r="C1043" i="1"/>
  <c r="B1043" i="1"/>
  <c r="A1043" i="1"/>
  <c r="F1042" i="1"/>
  <c r="E1042" i="1"/>
  <c r="D1042" i="1"/>
  <c r="C1042" i="1"/>
  <c r="B1042" i="1"/>
  <c r="A1042" i="1"/>
  <c r="F1041" i="1"/>
  <c r="E1041" i="1"/>
  <c r="D1041" i="1"/>
  <c r="C1041" i="1"/>
  <c r="B1041" i="1"/>
  <c r="A1041" i="1"/>
  <c r="F1040" i="1"/>
  <c r="E1040" i="1"/>
  <c r="D1040" i="1"/>
  <c r="C1040" i="1"/>
  <c r="B1040" i="1"/>
  <c r="A1040" i="1"/>
  <c r="F1039" i="1"/>
  <c r="E1039" i="1"/>
  <c r="D1039" i="1"/>
  <c r="C1039" i="1"/>
  <c r="B1039" i="1"/>
  <c r="A1039" i="1"/>
  <c r="F1038" i="1"/>
  <c r="E1038" i="1"/>
  <c r="D1038" i="1"/>
  <c r="C1038" i="1"/>
  <c r="B1038" i="1"/>
  <c r="A1038" i="1"/>
  <c r="F1037" i="1"/>
  <c r="E1037" i="1"/>
  <c r="D1037" i="1"/>
  <c r="C1037" i="1"/>
  <c r="B1037" i="1"/>
  <c r="A1037" i="1"/>
  <c r="F1036" i="1"/>
  <c r="E1036" i="1"/>
  <c r="D1036" i="1"/>
  <c r="C1036" i="1"/>
  <c r="B1036" i="1"/>
  <c r="A1036" i="1"/>
  <c r="F1035" i="1"/>
  <c r="E1035" i="1"/>
  <c r="D1035" i="1"/>
  <c r="C1035" i="1"/>
  <c r="B1035" i="1"/>
  <c r="A1035" i="1"/>
  <c r="F1034" i="1"/>
  <c r="E1034" i="1"/>
  <c r="D1034" i="1"/>
  <c r="C1034" i="1"/>
  <c r="B1034" i="1"/>
  <c r="A1034" i="1"/>
  <c r="F1033" i="1"/>
  <c r="E1033" i="1"/>
  <c r="D1033" i="1"/>
  <c r="C1033" i="1"/>
  <c r="B1033" i="1"/>
  <c r="A1033" i="1"/>
  <c r="F1032" i="1"/>
  <c r="E1032" i="1"/>
  <c r="D1032" i="1"/>
  <c r="C1032" i="1"/>
  <c r="B1032" i="1"/>
  <c r="A1032" i="1"/>
  <c r="F1031" i="1"/>
  <c r="E1031" i="1"/>
  <c r="D1031" i="1"/>
  <c r="C1031" i="1"/>
  <c r="B1031" i="1"/>
  <c r="A1031" i="1"/>
  <c r="F1030" i="1"/>
  <c r="E1030" i="1"/>
  <c r="D1030" i="1"/>
  <c r="C1030" i="1"/>
  <c r="B1030" i="1"/>
  <c r="A1030" i="1"/>
  <c r="F1029" i="1"/>
  <c r="E1029" i="1"/>
  <c r="D1029" i="1"/>
  <c r="C1029" i="1"/>
  <c r="B1029" i="1"/>
  <c r="A1029" i="1"/>
  <c r="F1028" i="1"/>
  <c r="E1028" i="1"/>
  <c r="D1028" i="1"/>
  <c r="C1028" i="1"/>
  <c r="B1028" i="1"/>
  <c r="A1028" i="1"/>
  <c r="F1027" i="1"/>
  <c r="E1027" i="1"/>
  <c r="D1027" i="1"/>
  <c r="C1027" i="1"/>
  <c r="B1027" i="1"/>
  <c r="A1027" i="1"/>
  <c r="F1026" i="1"/>
  <c r="E1026" i="1"/>
  <c r="D1026" i="1"/>
  <c r="C1026" i="1"/>
  <c r="B1026" i="1"/>
  <c r="A1026" i="1"/>
  <c r="F1025" i="1"/>
  <c r="E1025" i="1"/>
  <c r="D1025" i="1"/>
  <c r="C1025" i="1"/>
  <c r="B1025" i="1"/>
  <c r="A1025" i="1"/>
  <c r="F1024" i="1"/>
  <c r="E1024" i="1"/>
  <c r="D1024" i="1"/>
  <c r="C1024" i="1"/>
  <c r="B1024" i="1"/>
  <c r="A1024" i="1"/>
  <c r="F1023" i="1"/>
  <c r="E1023" i="1"/>
  <c r="D1023" i="1"/>
  <c r="C1023" i="1"/>
  <c r="B1023" i="1"/>
  <c r="A1023" i="1"/>
  <c r="F1022" i="1"/>
  <c r="E1022" i="1"/>
  <c r="D1022" i="1"/>
  <c r="C1022" i="1"/>
  <c r="B1022" i="1"/>
  <c r="A1022" i="1"/>
  <c r="F1021" i="1"/>
  <c r="E1021" i="1"/>
  <c r="D1021" i="1"/>
  <c r="C1021" i="1"/>
  <c r="B1021" i="1"/>
  <c r="A1021" i="1"/>
  <c r="F1020" i="1"/>
  <c r="E1020" i="1"/>
  <c r="D1020" i="1"/>
  <c r="C1020" i="1"/>
  <c r="B1020" i="1"/>
  <c r="A1020" i="1"/>
  <c r="F1019" i="1"/>
  <c r="E1019" i="1"/>
  <c r="D1019" i="1"/>
  <c r="C1019" i="1"/>
  <c r="B1019" i="1"/>
  <c r="A1019" i="1"/>
  <c r="F1018" i="1"/>
  <c r="E1018" i="1"/>
  <c r="D1018" i="1"/>
  <c r="C1018" i="1"/>
  <c r="B1018" i="1"/>
  <c r="A1018" i="1"/>
  <c r="F1017" i="1"/>
  <c r="E1017" i="1"/>
  <c r="D1017" i="1"/>
  <c r="C1017" i="1"/>
  <c r="B1017" i="1"/>
  <c r="A1017" i="1"/>
  <c r="F1016" i="1"/>
  <c r="E1016" i="1"/>
  <c r="D1016" i="1"/>
  <c r="C1016" i="1"/>
  <c r="B1016" i="1"/>
  <c r="A1016" i="1"/>
  <c r="F1015" i="1"/>
  <c r="E1015" i="1"/>
  <c r="D1015" i="1"/>
  <c r="C1015" i="1"/>
  <c r="B1015" i="1"/>
  <c r="A1015" i="1"/>
  <c r="F1014" i="1"/>
  <c r="E1014" i="1"/>
  <c r="D1014" i="1"/>
  <c r="C1014" i="1"/>
  <c r="B1014" i="1"/>
  <c r="A1014" i="1"/>
  <c r="F1013" i="1"/>
  <c r="E1013" i="1"/>
  <c r="D1013" i="1"/>
  <c r="C1013" i="1"/>
  <c r="B1013" i="1"/>
  <c r="A1013" i="1"/>
  <c r="F1012" i="1"/>
  <c r="E1012" i="1"/>
  <c r="D1012" i="1"/>
  <c r="C1012" i="1"/>
  <c r="B1012" i="1"/>
  <c r="A1012" i="1"/>
  <c r="F1011" i="1"/>
  <c r="E1011" i="1"/>
  <c r="D1011" i="1"/>
  <c r="C1011" i="1"/>
  <c r="B1011" i="1"/>
  <c r="A1011" i="1"/>
  <c r="F1010" i="1"/>
  <c r="E1010" i="1"/>
  <c r="D1010" i="1"/>
  <c r="C1010" i="1"/>
  <c r="B1010" i="1"/>
  <c r="A1010" i="1"/>
  <c r="F1009" i="1"/>
  <c r="E1009" i="1"/>
  <c r="D1009" i="1"/>
  <c r="C1009" i="1"/>
  <c r="B1009" i="1"/>
  <c r="A1009" i="1"/>
  <c r="F1008" i="1"/>
  <c r="E1008" i="1"/>
  <c r="D1008" i="1"/>
  <c r="C1008" i="1"/>
  <c r="B1008" i="1"/>
  <c r="A1008" i="1"/>
  <c r="F1007" i="1"/>
  <c r="E1007" i="1"/>
  <c r="D1007" i="1"/>
  <c r="C1007" i="1"/>
  <c r="B1007" i="1"/>
  <c r="A1007" i="1"/>
  <c r="F1006" i="1"/>
  <c r="E1006" i="1"/>
  <c r="D1006" i="1"/>
  <c r="C1006" i="1"/>
  <c r="B1006" i="1"/>
  <c r="A1006" i="1"/>
  <c r="F1005" i="1"/>
  <c r="E1005" i="1"/>
  <c r="D1005" i="1"/>
  <c r="C1005" i="1"/>
  <c r="B1005" i="1"/>
  <c r="A1005" i="1"/>
  <c r="F1004" i="1"/>
  <c r="E1004" i="1"/>
  <c r="D1004" i="1"/>
  <c r="C1004" i="1"/>
  <c r="B1004" i="1"/>
  <c r="A1004" i="1"/>
  <c r="F1003" i="1"/>
  <c r="E1003" i="1"/>
  <c r="D1003" i="1"/>
  <c r="C1003" i="1"/>
  <c r="B1003" i="1"/>
  <c r="A1003" i="1"/>
  <c r="F1002" i="1"/>
  <c r="E1002" i="1"/>
  <c r="D1002" i="1"/>
  <c r="C1002" i="1"/>
  <c r="B1002" i="1"/>
  <c r="A1002" i="1"/>
  <c r="F1001" i="1"/>
  <c r="E1001" i="1"/>
  <c r="D1001" i="1"/>
  <c r="C1001" i="1"/>
  <c r="B1001" i="1"/>
  <c r="A1001" i="1"/>
  <c r="F1000" i="1"/>
  <c r="E1000" i="1"/>
  <c r="D1000" i="1"/>
  <c r="C1000" i="1"/>
  <c r="B1000" i="1"/>
  <c r="A1000" i="1"/>
  <c r="F999" i="1"/>
  <c r="E999" i="1"/>
  <c r="D999" i="1"/>
  <c r="C999" i="1"/>
  <c r="B999" i="1"/>
  <c r="A999" i="1"/>
  <c r="F998" i="1"/>
  <c r="E998" i="1"/>
  <c r="D998" i="1"/>
  <c r="C998" i="1"/>
  <c r="B998" i="1"/>
  <c r="A998" i="1"/>
  <c r="F997" i="1"/>
  <c r="E997" i="1"/>
  <c r="D997" i="1"/>
  <c r="C997" i="1"/>
  <c r="B997" i="1"/>
  <c r="A997" i="1"/>
  <c r="F996" i="1"/>
  <c r="E996" i="1"/>
  <c r="D996" i="1"/>
  <c r="C996" i="1"/>
  <c r="B996" i="1"/>
  <c r="A996" i="1"/>
  <c r="F995" i="1"/>
  <c r="E995" i="1"/>
  <c r="D995" i="1"/>
  <c r="C995" i="1"/>
  <c r="B995" i="1"/>
  <c r="A995" i="1"/>
  <c r="F994" i="1"/>
  <c r="E994" i="1"/>
  <c r="D994" i="1"/>
  <c r="C994" i="1"/>
  <c r="B994" i="1"/>
  <c r="A994" i="1"/>
  <c r="F993" i="1"/>
  <c r="E993" i="1"/>
  <c r="D993" i="1"/>
  <c r="C993" i="1"/>
  <c r="B993" i="1"/>
  <c r="A993" i="1"/>
  <c r="F992" i="1"/>
  <c r="E992" i="1"/>
  <c r="D992" i="1"/>
  <c r="C992" i="1"/>
  <c r="B992" i="1"/>
  <c r="A992" i="1"/>
  <c r="F991" i="1"/>
  <c r="E991" i="1"/>
  <c r="D991" i="1"/>
  <c r="C991" i="1"/>
  <c r="B991" i="1"/>
  <c r="A991" i="1"/>
  <c r="F990" i="1"/>
  <c r="E990" i="1"/>
  <c r="D990" i="1"/>
  <c r="C990" i="1"/>
  <c r="B990" i="1"/>
  <c r="A990" i="1"/>
  <c r="F989" i="1"/>
  <c r="E989" i="1"/>
  <c r="D989" i="1"/>
  <c r="C989" i="1"/>
  <c r="B989" i="1"/>
  <c r="A989" i="1"/>
  <c r="F988" i="1"/>
  <c r="E988" i="1"/>
  <c r="D988" i="1"/>
  <c r="C988" i="1"/>
  <c r="B988" i="1"/>
  <c r="A988" i="1"/>
  <c r="F987" i="1"/>
  <c r="E987" i="1"/>
  <c r="D987" i="1"/>
  <c r="C987" i="1"/>
  <c r="B987" i="1"/>
  <c r="A987" i="1"/>
  <c r="F986" i="1"/>
  <c r="E986" i="1"/>
  <c r="D986" i="1"/>
  <c r="C986" i="1"/>
  <c r="B986" i="1"/>
  <c r="A986" i="1"/>
  <c r="F985" i="1"/>
  <c r="E985" i="1"/>
  <c r="D985" i="1"/>
  <c r="C985" i="1"/>
  <c r="B985" i="1"/>
  <c r="A985" i="1"/>
  <c r="F984" i="1"/>
  <c r="E984" i="1"/>
  <c r="D984" i="1"/>
  <c r="C984" i="1"/>
  <c r="B984" i="1"/>
  <c r="A984" i="1"/>
  <c r="F983" i="1"/>
  <c r="E983" i="1"/>
  <c r="D983" i="1"/>
  <c r="C983" i="1"/>
  <c r="B983" i="1"/>
  <c r="A983" i="1"/>
  <c r="F982" i="1"/>
  <c r="E982" i="1"/>
  <c r="D982" i="1"/>
  <c r="C982" i="1"/>
  <c r="B982" i="1"/>
  <c r="A982" i="1"/>
  <c r="F981" i="1"/>
  <c r="E981" i="1"/>
  <c r="D981" i="1"/>
  <c r="C981" i="1"/>
  <c r="B981" i="1"/>
  <c r="A981" i="1"/>
  <c r="F980" i="1"/>
  <c r="E980" i="1"/>
  <c r="D980" i="1"/>
  <c r="C980" i="1"/>
  <c r="B980" i="1"/>
  <c r="A980" i="1"/>
  <c r="F979" i="1"/>
  <c r="E979" i="1"/>
  <c r="D979" i="1"/>
  <c r="C979" i="1"/>
  <c r="B979" i="1"/>
  <c r="A979" i="1"/>
  <c r="F978" i="1"/>
  <c r="E978" i="1"/>
  <c r="D978" i="1"/>
  <c r="C978" i="1"/>
  <c r="B978" i="1"/>
  <c r="A978" i="1"/>
  <c r="F977" i="1"/>
  <c r="E977" i="1"/>
  <c r="D977" i="1"/>
  <c r="C977" i="1"/>
  <c r="B977" i="1"/>
  <c r="A977" i="1"/>
  <c r="F976" i="1"/>
  <c r="E976" i="1"/>
  <c r="D976" i="1"/>
  <c r="C976" i="1"/>
  <c r="B976" i="1"/>
  <c r="A976" i="1"/>
  <c r="F975" i="1"/>
  <c r="E975" i="1"/>
  <c r="D975" i="1"/>
  <c r="C975" i="1"/>
  <c r="B975" i="1"/>
  <c r="A975" i="1"/>
  <c r="F974" i="1"/>
  <c r="E974" i="1"/>
  <c r="D974" i="1"/>
  <c r="C974" i="1"/>
  <c r="B974" i="1"/>
  <c r="A974" i="1"/>
  <c r="F973" i="1"/>
  <c r="E973" i="1"/>
  <c r="D973" i="1"/>
  <c r="C973" i="1"/>
  <c r="B973" i="1"/>
  <c r="A973" i="1"/>
  <c r="F972" i="1"/>
  <c r="E972" i="1"/>
  <c r="D972" i="1"/>
  <c r="C972" i="1"/>
  <c r="B972" i="1"/>
  <c r="A972" i="1"/>
  <c r="F971" i="1"/>
  <c r="E971" i="1"/>
  <c r="D971" i="1"/>
  <c r="C971" i="1"/>
  <c r="B971" i="1"/>
  <c r="A971" i="1"/>
  <c r="F970" i="1"/>
  <c r="E970" i="1"/>
  <c r="D970" i="1"/>
  <c r="C970" i="1"/>
  <c r="B970" i="1"/>
  <c r="A970" i="1"/>
  <c r="F969" i="1"/>
  <c r="E969" i="1"/>
  <c r="D969" i="1"/>
  <c r="C969" i="1"/>
  <c r="B969" i="1"/>
  <c r="A969" i="1"/>
  <c r="F968" i="1"/>
  <c r="E968" i="1"/>
  <c r="D968" i="1"/>
  <c r="C968" i="1"/>
  <c r="B968" i="1"/>
  <c r="A968" i="1"/>
  <c r="F967" i="1"/>
  <c r="E967" i="1"/>
  <c r="D967" i="1"/>
  <c r="C967" i="1"/>
  <c r="B967" i="1"/>
  <c r="A967" i="1"/>
  <c r="F966" i="1"/>
  <c r="E966" i="1"/>
  <c r="D966" i="1"/>
  <c r="C966" i="1"/>
  <c r="B966" i="1"/>
  <c r="A966" i="1"/>
  <c r="F965" i="1"/>
  <c r="E965" i="1"/>
  <c r="D965" i="1"/>
  <c r="C965" i="1"/>
  <c r="B965" i="1"/>
  <c r="A965" i="1"/>
  <c r="F964" i="1"/>
  <c r="E964" i="1"/>
  <c r="D964" i="1"/>
  <c r="C964" i="1"/>
  <c r="B964" i="1"/>
  <c r="A964" i="1"/>
  <c r="F963" i="1"/>
  <c r="E963" i="1"/>
  <c r="D963" i="1"/>
  <c r="C963" i="1"/>
  <c r="B963" i="1"/>
  <c r="A963" i="1"/>
  <c r="F962" i="1"/>
  <c r="E962" i="1"/>
  <c r="D962" i="1"/>
  <c r="C962" i="1"/>
  <c r="B962" i="1"/>
  <c r="A962" i="1"/>
  <c r="F961" i="1"/>
  <c r="E961" i="1"/>
  <c r="D961" i="1"/>
  <c r="C961" i="1"/>
  <c r="B961" i="1"/>
  <c r="A961" i="1"/>
  <c r="F960" i="1"/>
  <c r="E960" i="1"/>
  <c r="D960" i="1"/>
  <c r="C960" i="1"/>
  <c r="B960" i="1"/>
  <c r="A960" i="1"/>
  <c r="F959" i="1"/>
  <c r="E959" i="1"/>
  <c r="D959" i="1"/>
  <c r="C959" i="1"/>
  <c r="B959" i="1"/>
  <c r="A959" i="1"/>
  <c r="F958" i="1"/>
  <c r="E958" i="1"/>
  <c r="D958" i="1"/>
  <c r="C958" i="1"/>
  <c r="B958" i="1"/>
  <c r="A958" i="1"/>
  <c r="F957" i="1"/>
  <c r="E957" i="1"/>
  <c r="D957" i="1"/>
  <c r="C957" i="1"/>
  <c r="B957" i="1"/>
  <c r="A957" i="1"/>
  <c r="F956" i="1"/>
  <c r="E956" i="1"/>
  <c r="D956" i="1"/>
  <c r="C956" i="1"/>
  <c r="B956" i="1"/>
  <c r="A956" i="1"/>
  <c r="F955" i="1"/>
  <c r="E955" i="1"/>
  <c r="D955" i="1"/>
  <c r="C955" i="1"/>
  <c r="B955" i="1"/>
  <c r="A955" i="1"/>
  <c r="F954" i="1"/>
  <c r="E954" i="1"/>
  <c r="D954" i="1"/>
  <c r="C954" i="1"/>
  <c r="B954" i="1"/>
  <c r="A954" i="1"/>
  <c r="F953" i="1"/>
  <c r="E953" i="1"/>
  <c r="D953" i="1"/>
  <c r="C953" i="1"/>
  <c r="B953" i="1"/>
  <c r="A953" i="1"/>
  <c r="F952" i="1"/>
  <c r="E952" i="1"/>
  <c r="D952" i="1"/>
  <c r="C952" i="1"/>
  <c r="B952" i="1"/>
  <c r="A952" i="1"/>
  <c r="F951" i="1"/>
  <c r="E951" i="1"/>
  <c r="D951" i="1"/>
  <c r="C951" i="1"/>
  <c r="B951" i="1"/>
  <c r="A951" i="1"/>
  <c r="F950" i="1"/>
  <c r="E950" i="1"/>
  <c r="D950" i="1"/>
  <c r="C950" i="1"/>
  <c r="B950" i="1"/>
  <c r="A950" i="1"/>
  <c r="F949" i="1"/>
  <c r="E949" i="1"/>
  <c r="D949" i="1"/>
  <c r="C949" i="1"/>
  <c r="B949" i="1"/>
  <c r="A949" i="1"/>
  <c r="F948" i="1"/>
  <c r="E948" i="1"/>
  <c r="D948" i="1"/>
  <c r="C948" i="1"/>
  <c r="B948" i="1"/>
  <c r="A948" i="1"/>
  <c r="F947" i="1"/>
  <c r="E947" i="1"/>
  <c r="D947" i="1"/>
  <c r="C947" i="1"/>
  <c r="B947" i="1"/>
  <c r="A947" i="1"/>
  <c r="F946" i="1"/>
  <c r="E946" i="1"/>
  <c r="D946" i="1"/>
  <c r="C946" i="1"/>
  <c r="B946" i="1"/>
  <c r="A946" i="1"/>
  <c r="F945" i="1"/>
  <c r="E945" i="1"/>
  <c r="D945" i="1"/>
  <c r="C945" i="1"/>
  <c r="B945" i="1"/>
  <c r="A945" i="1"/>
  <c r="F944" i="1"/>
  <c r="E944" i="1"/>
  <c r="D944" i="1"/>
  <c r="C944" i="1"/>
  <c r="B944" i="1"/>
  <c r="A944" i="1"/>
  <c r="F943" i="1"/>
  <c r="E943" i="1"/>
  <c r="D943" i="1"/>
  <c r="C943" i="1"/>
  <c r="B943" i="1"/>
  <c r="A943" i="1"/>
  <c r="F942" i="1"/>
  <c r="E942" i="1"/>
  <c r="D942" i="1"/>
  <c r="C942" i="1"/>
  <c r="B942" i="1"/>
  <c r="A942" i="1"/>
  <c r="F941" i="1"/>
  <c r="E941" i="1"/>
  <c r="D941" i="1"/>
  <c r="C941" i="1"/>
  <c r="B941" i="1"/>
  <c r="A941" i="1"/>
  <c r="F940" i="1"/>
  <c r="E940" i="1"/>
  <c r="D940" i="1"/>
  <c r="C940" i="1"/>
  <c r="B940" i="1"/>
  <c r="A940" i="1"/>
  <c r="F939" i="1"/>
  <c r="E939" i="1"/>
  <c r="D939" i="1"/>
  <c r="C939" i="1"/>
  <c r="B939" i="1"/>
  <c r="A939" i="1"/>
  <c r="F938" i="1"/>
  <c r="E938" i="1"/>
  <c r="D938" i="1"/>
  <c r="C938" i="1"/>
  <c r="B938" i="1"/>
  <c r="A938" i="1"/>
  <c r="F937" i="1"/>
  <c r="E937" i="1"/>
  <c r="D937" i="1"/>
  <c r="C937" i="1"/>
  <c r="B937" i="1"/>
  <c r="A937" i="1"/>
  <c r="F936" i="1"/>
  <c r="E936" i="1"/>
  <c r="D936" i="1"/>
  <c r="C936" i="1"/>
  <c r="B936" i="1"/>
  <c r="A936" i="1"/>
  <c r="F935" i="1"/>
  <c r="E935" i="1"/>
  <c r="D935" i="1"/>
  <c r="C935" i="1"/>
  <c r="B935" i="1"/>
  <c r="A935" i="1"/>
  <c r="F934" i="1"/>
  <c r="E934" i="1"/>
  <c r="D934" i="1"/>
  <c r="C934" i="1"/>
  <c r="B934" i="1"/>
  <c r="A934" i="1"/>
  <c r="F933" i="1"/>
  <c r="E933" i="1"/>
  <c r="D933" i="1"/>
  <c r="C933" i="1"/>
  <c r="B933" i="1"/>
  <c r="A933" i="1"/>
  <c r="F932" i="1"/>
  <c r="E932" i="1"/>
  <c r="D932" i="1"/>
  <c r="C932" i="1"/>
  <c r="B932" i="1"/>
  <c r="A932" i="1"/>
  <c r="F931" i="1"/>
  <c r="E931" i="1"/>
  <c r="D931" i="1"/>
  <c r="C931" i="1"/>
  <c r="B931" i="1"/>
  <c r="A931" i="1"/>
  <c r="F930" i="1"/>
  <c r="E930" i="1"/>
  <c r="D930" i="1"/>
  <c r="C930" i="1"/>
  <c r="B930" i="1"/>
  <c r="A930" i="1"/>
  <c r="F929" i="1"/>
  <c r="E929" i="1"/>
  <c r="D929" i="1"/>
  <c r="C929" i="1"/>
  <c r="B929" i="1"/>
  <c r="A929" i="1"/>
  <c r="F928" i="1"/>
  <c r="E928" i="1"/>
  <c r="D928" i="1"/>
  <c r="C928" i="1"/>
  <c r="B928" i="1"/>
  <c r="A928" i="1"/>
  <c r="F927" i="1"/>
  <c r="E927" i="1"/>
  <c r="D927" i="1"/>
  <c r="C927" i="1"/>
  <c r="B927" i="1"/>
  <c r="A927" i="1"/>
  <c r="F926" i="1"/>
  <c r="E926" i="1"/>
  <c r="D926" i="1"/>
  <c r="C926" i="1"/>
  <c r="B926" i="1"/>
  <c r="A926" i="1"/>
  <c r="F925" i="1"/>
  <c r="E925" i="1"/>
  <c r="D925" i="1"/>
  <c r="C925" i="1"/>
  <c r="B925" i="1"/>
  <c r="A925" i="1"/>
  <c r="F924" i="1"/>
  <c r="E924" i="1"/>
  <c r="D924" i="1"/>
  <c r="C924" i="1"/>
  <c r="B924" i="1"/>
  <c r="A924" i="1"/>
  <c r="F923" i="1"/>
  <c r="E923" i="1"/>
  <c r="D923" i="1"/>
  <c r="C923" i="1"/>
  <c r="B923" i="1"/>
  <c r="A923" i="1"/>
  <c r="F922" i="1"/>
  <c r="E922" i="1"/>
  <c r="D922" i="1"/>
  <c r="C922" i="1"/>
  <c r="B922" i="1"/>
  <c r="A922" i="1"/>
  <c r="F921" i="1"/>
  <c r="E921" i="1"/>
  <c r="D921" i="1"/>
  <c r="C921" i="1"/>
  <c r="B921" i="1"/>
  <c r="A921" i="1"/>
  <c r="F920" i="1"/>
  <c r="E920" i="1"/>
  <c r="D920" i="1"/>
  <c r="C920" i="1"/>
  <c r="B920" i="1"/>
  <c r="A920" i="1"/>
  <c r="F919" i="1"/>
  <c r="E919" i="1"/>
  <c r="D919" i="1"/>
  <c r="C919" i="1"/>
  <c r="B919" i="1"/>
  <c r="A919" i="1"/>
  <c r="F918" i="1"/>
  <c r="E918" i="1"/>
  <c r="D918" i="1"/>
  <c r="C918" i="1"/>
  <c r="B918" i="1"/>
  <c r="A918" i="1"/>
  <c r="F917" i="1"/>
  <c r="E917" i="1"/>
  <c r="D917" i="1"/>
  <c r="C917" i="1"/>
  <c r="B917" i="1"/>
  <c r="A917" i="1"/>
  <c r="F916" i="1"/>
  <c r="E916" i="1"/>
  <c r="D916" i="1"/>
  <c r="C916" i="1"/>
  <c r="B916" i="1"/>
  <c r="A916" i="1"/>
  <c r="F915" i="1"/>
  <c r="E915" i="1"/>
  <c r="D915" i="1"/>
  <c r="C915" i="1"/>
  <c r="B915" i="1"/>
  <c r="A915" i="1"/>
  <c r="F914" i="1"/>
  <c r="E914" i="1"/>
  <c r="D914" i="1"/>
  <c r="C914" i="1"/>
  <c r="B914" i="1"/>
  <c r="A914" i="1"/>
  <c r="F913" i="1"/>
  <c r="E913" i="1"/>
  <c r="D913" i="1"/>
  <c r="C913" i="1"/>
  <c r="B913" i="1"/>
  <c r="A913" i="1"/>
  <c r="F912" i="1"/>
  <c r="E912" i="1"/>
  <c r="D912" i="1"/>
  <c r="C912" i="1"/>
  <c r="B912" i="1"/>
  <c r="A912" i="1"/>
  <c r="F911" i="1"/>
  <c r="E911" i="1"/>
  <c r="D911" i="1"/>
  <c r="C911" i="1"/>
  <c r="B911" i="1"/>
  <c r="A911" i="1"/>
  <c r="F910" i="1"/>
  <c r="E910" i="1"/>
  <c r="D910" i="1"/>
  <c r="C910" i="1"/>
  <c r="B910" i="1"/>
  <c r="A910" i="1"/>
  <c r="F909" i="1"/>
  <c r="E909" i="1"/>
  <c r="D909" i="1"/>
  <c r="C909" i="1"/>
  <c r="B909" i="1"/>
  <c r="A909" i="1"/>
  <c r="F908" i="1"/>
  <c r="E908" i="1"/>
  <c r="D908" i="1"/>
  <c r="C908" i="1"/>
  <c r="B908" i="1"/>
  <c r="A908" i="1"/>
  <c r="F907" i="1"/>
  <c r="E907" i="1"/>
  <c r="D907" i="1"/>
  <c r="C907" i="1"/>
  <c r="B907" i="1"/>
  <c r="A907" i="1"/>
  <c r="F906" i="1"/>
  <c r="E906" i="1"/>
  <c r="D906" i="1"/>
  <c r="C906" i="1"/>
  <c r="B906" i="1"/>
  <c r="A906" i="1"/>
  <c r="F905" i="1"/>
  <c r="E905" i="1"/>
  <c r="D905" i="1"/>
  <c r="C905" i="1"/>
  <c r="B905" i="1"/>
  <c r="A905" i="1"/>
  <c r="F904" i="1"/>
  <c r="E904" i="1"/>
  <c r="D904" i="1"/>
  <c r="C904" i="1"/>
  <c r="B904" i="1"/>
  <c r="A904" i="1"/>
  <c r="F903" i="1"/>
  <c r="E903" i="1"/>
  <c r="D903" i="1"/>
  <c r="C903" i="1"/>
  <c r="B903" i="1"/>
  <c r="A903" i="1"/>
  <c r="F902" i="1"/>
  <c r="E902" i="1"/>
  <c r="D902" i="1"/>
  <c r="C902" i="1"/>
  <c r="B902" i="1"/>
  <c r="A902" i="1"/>
  <c r="F901" i="1"/>
  <c r="E901" i="1"/>
  <c r="D901" i="1"/>
  <c r="C901" i="1"/>
  <c r="B901" i="1"/>
  <c r="A901" i="1"/>
  <c r="F900" i="1"/>
  <c r="E900" i="1"/>
  <c r="D900" i="1"/>
  <c r="C900" i="1"/>
  <c r="B900" i="1"/>
  <c r="A900" i="1"/>
  <c r="F899" i="1"/>
  <c r="E899" i="1"/>
  <c r="D899" i="1"/>
  <c r="C899" i="1"/>
  <c r="B899" i="1"/>
  <c r="A899" i="1"/>
  <c r="F898" i="1"/>
  <c r="E898" i="1"/>
  <c r="D898" i="1"/>
  <c r="C898" i="1"/>
  <c r="B898" i="1"/>
  <c r="A898" i="1"/>
  <c r="F897" i="1"/>
  <c r="E897" i="1"/>
  <c r="D897" i="1"/>
  <c r="C897" i="1"/>
  <c r="B897" i="1"/>
  <c r="A897" i="1"/>
  <c r="F896" i="1"/>
  <c r="E896" i="1"/>
  <c r="D896" i="1"/>
  <c r="C896" i="1"/>
  <c r="B896" i="1"/>
  <c r="A896" i="1"/>
  <c r="F895" i="1"/>
  <c r="E895" i="1"/>
  <c r="D895" i="1"/>
  <c r="C895" i="1"/>
  <c r="B895" i="1"/>
  <c r="A895" i="1"/>
  <c r="F894" i="1"/>
  <c r="E894" i="1"/>
  <c r="D894" i="1"/>
  <c r="C894" i="1"/>
  <c r="B894" i="1"/>
  <c r="A894" i="1"/>
  <c r="F893" i="1"/>
  <c r="E893" i="1"/>
  <c r="D893" i="1"/>
  <c r="C893" i="1"/>
  <c r="B893" i="1"/>
  <c r="A893" i="1"/>
  <c r="F892" i="1"/>
  <c r="E892" i="1"/>
  <c r="D892" i="1"/>
  <c r="C892" i="1"/>
  <c r="B892" i="1"/>
  <c r="A892" i="1"/>
  <c r="F891" i="1"/>
  <c r="E891" i="1"/>
  <c r="D891" i="1"/>
  <c r="C891" i="1"/>
  <c r="B891" i="1"/>
  <c r="A891" i="1"/>
  <c r="F890" i="1"/>
  <c r="E890" i="1"/>
  <c r="D890" i="1"/>
  <c r="C890" i="1"/>
  <c r="B890" i="1"/>
  <c r="A890" i="1"/>
  <c r="F889" i="1"/>
  <c r="E889" i="1"/>
  <c r="D889" i="1"/>
  <c r="C889" i="1"/>
  <c r="B889" i="1"/>
  <c r="A889" i="1"/>
  <c r="F888" i="1"/>
  <c r="E888" i="1"/>
  <c r="D888" i="1"/>
  <c r="C888" i="1"/>
  <c r="B888" i="1"/>
  <c r="A888" i="1"/>
  <c r="F887" i="1"/>
  <c r="E887" i="1"/>
  <c r="D887" i="1"/>
  <c r="C887" i="1"/>
  <c r="B887" i="1"/>
  <c r="A887" i="1"/>
  <c r="F886" i="1"/>
  <c r="E886" i="1"/>
  <c r="D886" i="1"/>
  <c r="C886" i="1"/>
  <c r="B886" i="1"/>
  <c r="A886" i="1"/>
  <c r="F885" i="1"/>
  <c r="E885" i="1"/>
  <c r="D885" i="1"/>
  <c r="C885" i="1"/>
  <c r="B885" i="1"/>
  <c r="A885" i="1"/>
  <c r="F884" i="1"/>
  <c r="E884" i="1"/>
  <c r="D884" i="1"/>
  <c r="C884" i="1"/>
  <c r="B884" i="1"/>
  <c r="A884" i="1"/>
  <c r="F883" i="1"/>
  <c r="E883" i="1"/>
  <c r="D883" i="1"/>
  <c r="C883" i="1"/>
  <c r="B883" i="1"/>
  <c r="A883" i="1"/>
  <c r="F882" i="1"/>
  <c r="E882" i="1"/>
  <c r="D882" i="1"/>
  <c r="C882" i="1"/>
  <c r="B882" i="1"/>
  <c r="A882" i="1"/>
  <c r="F881" i="1"/>
  <c r="E881" i="1"/>
  <c r="D881" i="1"/>
  <c r="C881" i="1"/>
  <c r="B881" i="1"/>
  <c r="A881" i="1"/>
  <c r="F880" i="1"/>
  <c r="E880" i="1"/>
  <c r="D880" i="1"/>
  <c r="C880" i="1"/>
  <c r="B880" i="1"/>
  <c r="A880" i="1"/>
  <c r="F879" i="1"/>
  <c r="E879" i="1"/>
  <c r="D879" i="1"/>
  <c r="C879" i="1"/>
  <c r="B879" i="1"/>
  <c r="A879" i="1"/>
  <c r="F878" i="1"/>
  <c r="E878" i="1"/>
  <c r="D878" i="1"/>
  <c r="C878" i="1"/>
  <c r="B878" i="1"/>
  <c r="A878" i="1"/>
  <c r="F877" i="1"/>
  <c r="E877" i="1"/>
  <c r="D877" i="1"/>
  <c r="C877" i="1"/>
  <c r="B877" i="1"/>
  <c r="A877" i="1"/>
  <c r="F876" i="1"/>
  <c r="E876" i="1"/>
  <c r="D876" i="1"/>
  <c r="C876" i="1"/>
  <c r="B876" i="1"/>
  <c r="A876" i="1"/>
  <c r="F875" i="1"/>
  <c r="E875" i="1"/>
  <c r="D875" i="1"/>
  <c r="C875" i="1"/>
  <c r="B875" i="1"/>
  <c r="A875" i="1"/>
  <c r="F874" i="1"/>
  <c r="E874" i="1"/>
  <c r="D874" i="1"/>
  <c r="C874" i="1"/>
  <c r="B874" i="1"/>
  <c r="A874" i="1"/>
  <c r="F873" i="1"/>
  <c r="E873" i="1"/>
  <c r="D873" i="1"/>
  <c r="C873" i="1"/>
  <c r="B873" i="1"/>
  <c r="A873" i="1"/>
  <c r="F872" i="1"/>
  <c r="E872" i="1"/>
  <c r="D872" i="1"/>
  <c r="C872" i="1"/>
  <c r="B872" i="1"/>
  <c r="A872" i="1"/>
  <c r="F871" i="1"/>
  <c r="E871" i="1"/>
  <c r="D871" i="1"/>
  <c r="C871" i="1"/>
  <c r="B871" i="1"/>
  <c r="A871" i="1"/>
  <c r="F870" i="1"/>
  <c r="E870" i="1"/>
  <c r="D870" i="1"/>
  <c r="C870" i="1"/>
  <c r="B870" i="1"/>
  <c r="A870" i="1"/>
  <c r="F869" i="1"/>
  <c r="E869" i="1"/>
  <c r="D869" i="1"/>
  <c r="C869" i="1"/>
  <c r="B869" i="1"/>
  <c r="A869" i="1"/>
  <c r="F868" i="1"/>
  <c r="E868" i="1"/>
  <c r="D868" i="1"/>
  <c r="C868" i="1"/>
  <c r="B868" i="1"/>
  <c r="A868" i="1"/>
  <c r="F867" i="1"/>
  <c r="E867" i="1"/>
  <c r="D867" i="1"/>
  <c r="C867" i="1"/>
  <c r="B867" i="1"/>
  <c r="A867" i="1"/>
  <c r="F866" i="1"/>
  <c r="E866" i="1"/>
  <c r="D866" i="1"/>
  <c r="C866" i="1"/>
  <c r="B866" i="1"/>
  <c r="A866" i="1"/>
  <c r="F865" i="1"/>
  <c r="E865" i="1"/>
  <c r="D865" i="1"/>
  <c r="C865" i="1"/>
  <c r="B865" i="1"/>
  <c r="A865" i="1"/>
  <c r="F864" i="1"/>
  <c r="E864" i="1"/>
  <c r="D864" i="1"/>
  <c r="C864" i="1"/>
  <c r="B864" i="1"/>
  <c r="A864" i="1"/>
  <c r="F863" i="1"/>
  <c r="E863" i="1"/>
  <c r="D863" i="1"/>
  <c r="C863" i="1"/>
  <c r="B863" i="1"/>
  <c r="A863" i="1"/>
  <c r="F862" i="1"/>
  <c r="E862" i="1"/>
  <c r="D862" i="1"/>
  <c r="C862" i="1"/>
  <c r="B862" i="1"/>
  <c r="A862" i="1"/>
  <c r="F861" i="1"/>
  <c r="E861" i="1"/>
  <c r="D861" i="1"/>
  <c r="C861" i="1"/>
  <c r="B861" i="1"/>
  <c r="A861" i="1"/>
  <c r="F860" i="1"/>
  <c r="E860" i="1"/>
  <c r="D860" i="1"/>
  <c r="C860" i="1"/>
  <c r="B860" i="1"/>
  <c r="A860" i="1"/>
  <c r="F859" i="1"/>
  <c r="E859" i="1"/>
  <c r="D859" i="1"/>
  <c r="C859" i="1"/>
  <c r="B859" i="1"/>
  <c r="A859" i="1"/>
  <c r="F858" i="1"/>
  <c r="E858" i="1"/>
  <c r="D858" i="1"/>
  <c r="C858" i="1"/>
  <c r="B858" i="1"/>
  <c r="A858" i="1"/>
  <c r="F857" i="1"/>
  <c r="E857" i="1"/>
  <c r="D857" i="1"/>
  <c r="C857" i="1"/>
  <c r="B857" i="1"/>
  <c r="A857" i="1"/>
  <c r="F856" i="1"/>
  <c r="E856" i="1"/>
  <c r="D856" i="1"/>
  <c r="C856" i="1"/>
  <c r="B856" i="1"/>
  <c r="A856" i="1"/>
  <c r="F855" i="1"/>
  <c r="E855" i="1"/>
  <c r="D855" i="1"/>
  <c r="C855" i="1"/>
  <c r="B855" i="1"/>
  <c r="A855" i="1"/>
  <c r="F854" i="1"/>
  <c r="E854" i="1"/>
  <c r="D854" i="1"/>
  <c r="C854" i="1"/>
  <c r="B854" i="1"/>
  <c r="A854" i="1"/>
  <c r="F853" i="1"/>
  <c r="E853" i="1"/>
  <c r="D853" i="1"/>
  <c r="C853" i="1"/>
  <c r="B853" i="1"/>
  <c r="A853" i="1"/>
  <c r="F852" i="1"/>
  <c r="E852" i="1"/>
  <c r="D852" i="1"/>
  <c r="C852" i="1"/>
  <c r="B852" i="1"/>
  <c r="A852" i="1"/>
  <c r="F851" i="1"/>
  <c r="E851" i="1"/>
  <c r="D851" i="1"/>
  <c r="C851" i="1"/>
  <c r="B851" i="1"/>
  <c r="A851" i="1"/>
  <c r="F850" i="1"/>
  <c r="E850" i="1"/>
  <c r="D850" i="1"/>
  <c r="C850" i="1"/>
  <c r="B850" i="1"/>
  <c r="A850" i="1"/>
  <c r="F849" i="1"/>
  <c r="E849" i="1"/>
  <c r="D849" i="1"/>
  <c r="C849" i="1"/>
  <c r="B849" i="1"/>
  <c r="A849" i="1"/>
  <c r="F848" i="1"/>
  <c r="E848" i="1"/>
  <c r="D848" i="1"/>
  <c r="C848" i="1"/>
  <c r="B848" i="1"/>
  <c r="A848" i="1"/>
  <c r="F847" i="1"/>
  <c r="E847" i="1"/>
  <c r="D847" i="1"/>
  <c r="C847" i="1"/>
  <c r="B847" i="1"/>
  <c r="A847" i="1"/>
  <c r="F846" i="1"/>
  <c r="E846" i="1"/>
  <c r="D846" i="1"/>
  <c r="C846" i="1"/>
  <c r="B846" i="1"/>
  <c r="A846" i="1"/>
  <c r="F845" i="1"/>
  <c r="E845" i="1"/>
  <c r="D845" i="1"/>
  <c r="C845" i="1"/>
  <c r="B845" i="1"/>
  <c r="A845" i="1"/>
  <c r="F844" i="1"/>
  <c r="E844" i="1"/>
  <c r="D844" i="1"/>
  <c r="C844" i="1"/>
  <c r="B844" i="1"/>
  <c r="A844" i="1"/>
  <c r="F843" i="1"/>
  <c r="E843" i="1"/>
  <c r="D843" i="1"/>
  <c r="C843" i="1"/>
  <c r="B843" i="1"/>
  <c r="A843" i="1"/>
  <c r="F842" i="1"/>
  <c r="E842" i="1"/>
  <c r="D842" i="1"/>
  <c r="C842" i="1"/>
  <c r="B842" i="1"/>
  <c r="A842" i="1"/>
  <c r="F841" i="1"/>
  <c r="E841" i="1"/>
  <c r="D841" i="1"/>
  <c r="C841" i="1"/>
  <c r="B841" i="1"/>
  <c r="A841" i="1"/>
  <c r="F840" i="1"/>
  <c r="E840" i="1"/>
  <c r="D840" i="1"/>
  <c r="C840" i="1"/>
  <c r="B840" i="1"/>
  <c r="A840" i="1"/>
  <c r="F839" i="1"/>
  <c r="E839" i="1"/>
  <c r="D839" i="1"/>
  <c r="C839" i="1"/>
  <c r="B839" i="1"/>
  <c r="A839" i="1"/>
  <c r="F838" i="1"/>
  <c r="E838" i="1"/>
  <c r="D838" i="1"/>
  <c r="C838" i="1"/>
  <c r="B838" i="1"/>
  <c r="A838" i="1"/>
  <c r="F837" i="1"/>
  <c r="E837" i="1"/>
  <c r="D837" i="1"/>
  <c r="C837" i="1"/>
  <c r="B837" i="1"/>
  <c r="A837" i="1"/>
  <c r="F836" i="1"/>
  <c r="E836" i="1"/>
  <c r="D836" i="1"/>
  <c r="C836" i="1"/>
  <c r="B836" i="1"/>
  <c r="A836" i="1"/>
  <c r="F835" i="1"/>
  <c r="E835" i="1"/>
  <c r="D835" i="1"/>
  <c r="C835" i="1"/>
  <c r="B835" i="1"/>
  <c r="A835" i="1"/>
  <c r="F834" i="1"/>
  <c r="E834" i="1"/>
  <c r="D834" i="1"/>
  <c r="C834" i="1"/>
  <c r="B834" i="1"/>
  <c r="A834" i="1"/>
  <c r="F833" i="1"/>
  <c r="E833" i="1"/>
  <c r="D833" i="1"/>
  <c r="C833" i="1"/>
  <c r="B833" i="1"/>
  <c r="A833" i="1"/>
  <c r="F832" i="1"/>
  <c r="E832" i="1"/>
  <c r="D832" i="1"/>
  <c r="C832" i="1"/>
  <c r="B832" i="1"/>
  <c r="A832" i="1"/>
  <c r="F831" i="1"/>
  <c r="E831" i="1"/>
  <c r="D831" i="1"/>
  <c r="C831" i="1"/>
  <c r="B831" i="1"/>
  <c r="A831" i="1"/>
  <c r="F830" i="1"/>
  <c r="E830" i="1"/>
  <c r="D830" i="1"/>
  <c r="C830" i="1"/>
  <c r="B830" i="1"/>
  <c r="A830" i="1"/>
  <c r="F829" i="1"/>
  <c r="E829" i="1"/>
  <c r="D829" i="1"/>
  <c r="C829" i="1"/>
  <c r="B829" i="1"/>
  <c r="A829" i="1"/>
  <c r="F828" i="1"/>
  <c r="E828" i="1"/>
  <c r="D828" i="1"/>
  <c r="C828" i="1"/>
  <c r="B828" i="1"/>
  <c r="A828" i="1"/>
  <c r="F827" i="1"/>
  <c r="E827" i="1"/>
  <c r="D827" i="1"/>
  <c r="C827" i="1"/>
  <c r="B827" i="1"/>
  <c r="A827" i="1"/>
  <c r="F826" i="1"/>
  <c r="E826" i="1"/>
  <c r="D826" i="1"/>
  <c r="C826" i="1"/>
  <c r="B826" i="1"/>
  <c r="A826" i="1"/>
  <c r="F825" i="1"/>
  <c r="E825" i="1"/>
  <c r="D825" i="1"/>
  <c r="C825" i="1"/>
  <c r="B825" i="1"/>
  <c r="A825" i="1"/>
  <c r="F824" i="1"/>
  <c r="E824" i="1"/>
  <c r="D824" i="1"/>
  <c r="C824" i="1"/>
  <c r="B824" i="1"/>
  <c r="A824" i="1"/>
  <c r="F823" i="1"/>
  <c r="E823" i="1"/>
  <c r="D823" i="1"/>
  <c r="C823" i="1"/>
  <c r="B823" i="1"/>
  <c r="A823" i="1"/>
  <c r="F822" i="1"/>
  <c r="E822" i="1"/>
  <c r="D822" i="1"/>
  <c r="C822" i="1"/>
  <c r="B822" i="1"/>
  <c r="A822" i="1"/>
  <c r="F821" i="1"/>
  <c r="E821" i="1"/>
  <c r="D821" i="1"/>
  <c r="C821" i="1"/>
  <c r="B821" i="1"/>
  <c r="A821" i="1"/>
  <c r="F820" i="1"/>
  <c r="E820" i="1"/>
  <c r="D820" i="1"/>
  <c r="C820" i="1"/>
  <c r="B820" i="1"/>
  <c r="A820" i="1"/>
  <c r="F819" i="1"/>
  <c r="E819" i="1"/>
  <c r="D819" i="1"/>
  <c r="C819" i="1"/>
  <c r="B819" i="1"/>
  <c r="A819" i="1"/>
  <c r="F818" i="1"/>
  <c r="E818" i="1"/>
  <c r="D818" i="1"/>
  <c r="C818" i="1"/>
  <c r="B818" i="1"/>
  <c r="A818" i="1"/>
  <c r="F817" i="1"/>
  <c r="E817" i="1"/>
  <c r="D817" i="1"/>
  <c r="C817" i="1"/>
  <c r="B817" i="1"/>
  <c r="A817" i="1"/>
  <c r="F816" i="1"/>
  <c r="E816" i="1"/>
  <c r="D816" i="1"/>
  <c r="C816" i="1"/>
  <c r="B816" i="1"/>
  <c r="A816" i="1"/>
  <c r="F815" i="1"/>
  <c r="E815" i="1"/>
  <c r="D815" i="1"/>
  <c r="C815" i="1"/>
  <c r="B815" i="1"/>
  <c r="A815" i="1"/>
  <c r="F814" i="1"/>
  <c r="E814" i="1"/>
  <c r="D814" i="1"/>
  <c r="C814" i="1"/>
  <c r="B814" i="1"/>
  <c r="A814" i="1"/>
  <c r="F813" i="1"/>
  <c r="E813" i="1"/>
  <c r="D813" i="1"/>
  <c r="C813" i="1"/>
  <c r="B813" i="1"/>
  <c r="A813" i="1"/>
  <c r="F812" i="1"/>
  <c r="E812" i="1"/>
  <c r="D812" i="1"/>
  <c r="C812" i="1"/>
  <c r="B812" i="1"/>
  <c r="A812" i="1"/>
  <c r="F811" i="1"/>
  <c r="E811" i="1"/>
  <c r="D811" i="1"/>
  <c r="C811" i="1"/>
  <c r="B811" i="1"/>
  <c r="A811" i="1"/>
  <c r="F810" i="1"/>
  <c r="E810" i="1"/>
  <c r="D810" i="1"/>
  <c r="C810" i="1"/>
  <c r="B810" i="1"/>
  <c r="A810" i="1"/>
  <c r="F809" i="1"/>
  <c r="E809" i="1"/>
  <c r="D809" i="1"/>
  <c r="C809" i="1"/>
  <c r="B809" i="1"/>
  <c r="A809" i="1"/>
  <c r="F808" i="1"/>
  <c r="E808" i="1"/>
  <c r="D808" i="1"/>
  <c r="C808" i="1"/>
  <c r="B808" i="1"/>
  <c r="A808" i="1"/>
  <c r="F807" i="1"/>
  <c r="E807" i="1"/>
  <c r="D807" i="1"/>
  <c r="C807" i="1"/>
  <c r="B807" i="1"/>
  <c r="A807" i="1"/>
  <c r="F806" i="1"/>
  <c r="E806" i="1"/>
  <c r="D806" i="1"/>
  <c r="C806" i="1"/>
  <c r="B806" i="1"/>
  <c r="A806" i="1"/>
  <c r="F805" i="1"/>
  <c r="E805" i="1"/>
  <c r="D805" i="1"/>
  <c r="C805" i="1"/>
  <c r="B805" i="1"/>
  <c r="A805" i="1"/>
  <c r="F804" i="1"/>
  <c r="E804" i="1"/>
  <c r="D804" i="1"/>
  <c r="C804" i="1"/>
  <c r="B804" i="1"/>
  <c r="A804" i="1"/>
  <c r="F803" i="1"/>
  <c r="E803" i="1"/>
  <c r="D803" i="1"/>
  <c r="C803" i="1"/>
  <c r="B803" i="1"/>
  <c r="A803" i="1"/>
  <c r="F802" i="1"/>
  <c r="E802" i="1"/>
  <c r="D802" i="1"/>
  <c r="C802" i="1"/>
  <c r="B802" i="1"/>
  <c r="A802" i="1"/>
  <c r="F801" i="1"/>
  <c r="E801" i="1"/>
  <c r="D801" i="1"/>
  <c r="C801" i="1"/>
  <c r="B801" i="1"/>
  <c r="A801" i="1"/>
  <c r="F800" i="1"/>
  <c r="E800" i="1"/>
  <c r="D800" i="1"/>
  <c r="C800" i="1"/>
  <c r="B800" i="1"/>
  <c r="A800" i="1"/>
  <c r="F799" i="1"/>
  <c r="E799" i="1"/>
  <c r="D799" i="1"/>
  <c r="C799" i="1"/>
  <c r="B799" i="1"/>
  <c r="A799" i="1"/>
  <c r="F798" i="1"/>
  <c r="E798" i="1"/>
  <c r="D798" i="1"/>
  <c r="C798" i="1"/>
  <c r="B798" i="1"/>
  <c r="A798" i="1"/>
  <c r="F797" i="1"/>
  <c r="E797" i="1"/>
  <c r="D797" i="1"/>
  <c r="C797" i="1"/>
  <c r="B797" i="1"/>
  <c r="A797" i="1"/>
  <c r="F796" i="1"/>
  <c r="E796" i="1"/>
  <c r="D796" i="1"/>
  <c r="C796" i="1"/>
  <c r="B796" i="1"/>
  <c r="A796" i="1"/>
  <c r="F795" i="1"/>
  <c r="E795" i="1"/>
  <c r="D795" i="1"/>
  <c r="C795" i="1"/>
  <c r="B795" i="1"/>
  <c r="A795" i="1"/>
  <c r="F794" i="1"/>
  <c r="E794" i="1"/>
  <c r="D794" i="1"/>
  <c r="C794" i="1"/>
  <c r="B794" i="1"/>
  <c r="A794" i="1"/>
  <c r="F793" i="1"/>
  <c r="E793" i="1"/>
  <c r="D793" i="1"/>
  <c r="C793" i="1"/>
  <c r="B793" i="1"/>
  <c r="A793" i="1"/>
  <c r="F792" i="1"/>
  <c r="E792" i="1"/>
  <c r="D792" i="1"/>
  <c r="C792" i="1"/>
  <c r="B792" i="1"/>
  <c r="A792" i="1"/>
  <c r="F791" i="1"/>
  <c r="E791" i="1"/>
  <c r="D791" i="1"/>
  <c r="C791" i="1"/>
  <c r="B791" i="1"/>
  <c r="A791" i="1"/>
  <c r="F790" i="1"/>
  <c r="E790" i="1"/>
  <c r="D790" i="1"/>
  <c r="C790" i="1"/>
  <c r="B790" i="1"/>
  <c r="A790" i="1"/>
  <c r="F789" i="1"/>
  <c r="E789" i="1"/>
  <c r="D789" i="1"/>
  <c r="C789" i="1"/>
  <c r="B789" i="1"/>
  <c r="A789" i="1"/>
  <c r="F788" i="1"/>
  <c r="E788" i="1"/>
  <c r="D788" i="1"/>
  <c r="C788" i="1"/>
  <c r="B788" i="1"/>
  <c r="A788" i="1"/>
  <c r="F787" i="1"/>
  <c r="E787" i="1"/>
  <c r="D787" i="1"/>
  <c r="C787" i="1"/>
  <c r="B787" i="1"/>
  <c r="A787" i="1"/>
  <c r="F786" i="1"/>
  <c r="E786" i="1"/>
  <c r="D786" i="1"/>
  <c r="C786" i="1"/>
  <c r="B786" i="1"/>
  <c r="A786" i="1"/>
  <c r="F785" i="1"/>
  <c r="E785" i="1"/>
  <c r="D785" i="1"/>
  <c r="C785" i="1"/>
  <c r="B785" i="1"/>
  <c r="A785" i="1"/>
  <c r="F784" i="1"/>
  <c r="E784" i="1"/>
  <c r="D784" i="1"/>
  <c r="C784" i="1"/>
  <c r="B784" i="1"/>
  <c r="A784" i="1"/>
  <c r="F783" i="1"/>
  <c r="E783" i="1"/>
  <c r="D783" i="1"/>
  <c r="C783" i="1"/>
  <c r="B783" i="1"/>
  <c r="A783" i="1"/>
  <c r="F782" i="1"/>
  <c r="E782" i="1"/>
  <c r="D782" i="1"/>
  <c r="C782" i="1"/>
  <c r="B782" i="1"/>
  <c r="A782" i="1"/>
  <c r="F781" i="1"/>
  <c r="E781" i="1"/>
  <c r="D781" i="1"/>
  <c r="C781" i="1"/>
  <c r="B781" i="1"/>
  <c r="A781" i="1"/>
  <c r="F780" i="1"/>
  <c r="E780" i="1"/>
  <c r="D780" i="1"/>
  <c r="C780" i="1"/>
  <c r="B780" i="1"/>
  <c r="A780" i="1"/>
  <c r="F779" i="1"/>
  <c r="E779" i="1"/>
  <c r="D779" i="1"/>
  <c r="C779" i="1"/>
  <c r="B779" i="1"/>
  <c r="A779" i="1"/>
  <c r="F778" i="1"/>
  <c r="E778" i="1"/>
  <c r="D778" i="1"/>
  <c r="C778" i="1"/>
  <c r="B778" i="1"/>
  <c r="A778" i="1"/>
  <c r="F777" i="1"/>
  <c r="E777" i="1"/>
  <c r="D777" i="1"/>
  <c r="C777" i="1"/>
  <c r="B777" i="1"/>
  <c r="A777" i="1"/>
  <c r="F776" i="1"/>
  <c r="E776" i="1"/>
  <c r="D776" i="1"/>
  <c r="C776" i="1"/>
  <c r="B776" i="1"/>
  <c r="A776" i="1"/>
  <c r="F775" i="1"/>
  <c r="E775" i="1"/>
  <c r="D775" i="1"/>
  <c r="C775" i="1"/>
  <c r="B775" i="1"/>
  <c r="A775" i="1"/>
  <c r="F774" i="1"/>
  <c r="E774" i="1"/>
  <c r="D774" i="1"/>
  <c r="C774" i="1"/>
  <c r="B774" i="1"/>
  <c r="A774" i="1"/>
  <c r="F773" i="1"/>
  <c r="E773" i="1"/>
  <c r="D773" i="1"/>
  <c r="C773" i="1"/>
  <c r="B773" i="1"/>
  <c r="A773" i="1"/>
  <c r="F772" i="1"/>
  <c r="E772" i="1"/>
  <c r="D772" i="1"/>
  <c r="C772" i="1"/>
  <c r="B772" i="1"/>
  <c r="A772" i="1"/>
  <c r="F771" i="1"/>
  <c r="E771" i="1"/>
  <c r="D771" i="1"/>
  <c r="C771" i="1"/>
  <c r="B771" i="1"/>
  <c r="A771" i="1"/>
  <c r="F770" i="1"/>
  <c r="E770" i="1"/>
  <c r="D770" i="1"/>
  <c r="C770" i="1"/>
  <c r="B770" i="1"/>
  <c r="A770" i="1"/>
  <c r="F769" i="1"/>
  <c r="E769" i="1"/>
  <c r="D769" i="1"/>
  <c r="C769" i="1"/>
  <c r="B769" i="1"/>
  <c r="A769" i="1"/>
  <c r="F768" i="1"/>
  <c r="E768" i="1"/>
  <c r="D768" i="1"/>
  <c r="C768" i="1"/>
  <c r="B768" i="1"/>
  <c r="A768" i="1"/>
  <c r="F767" i="1"/>
  <c r="E767" i="1"/>
  <c r="D767" i="1"/>
  <c r="C767" i="1"/>
  <c r="B767" i="1"/>
  <c r="A767" i="1"/>
  <c r="F766" i="1"/>
  <c r="E766" i="1"/>
  <c r="D766" i="1"/>
  <c r="C766" i="1"/>
  <c r="B766" i="1"/>
  <c r="A766" i="1"/>
  <c r="F765" i="1"/>
  <c r="E765" i="1"/>
  <c r="D765" i="1"/>
  <c r="C765" i="1"/>
  <c r="B765" i="1"/>
  <c r="A765" i="1"/>
  <c r="F764" i="1"/>
  <c r="E764" i="1"/>
  <c r="D764" i="1"/>
  <c r="C764" i="1"/>
  <c r="B764" i="1"/>
  <c r="A764" i="1"/>
  <c r="F763" i="1"/>
  <c r="E763" i="1"/>
  <c r="D763" i="1"/>
  <c r="C763" i="1"/>
  <c r="B763" i="1"/>
  <c r="A763" i="1"/>
  <c r="F762" i="1"/>
  <c r="E762" i="1"/>
  <c r="D762" i="1"/>
  <c r="C762" i="1"/>
  <c r="B762" i="1"/>
  <c r="A762" i="1"/>
  <c r="F761" i="1"/>
  <c r="E761" i="1"/>
  <c r="D761" i="1"/>
  <c r="C761" i="1"/>
  <c r="B761" i="1"/>
  <c r="A761" i="1"/>
  <c r="F760" i="1"/>
  <c r="E760" i="1"/>
  <c r="D760" i="1"/>
  <c r="C760" i="1"/>
  <c r="B760" i="1"/>
  <c r="A760" i="1"/>
  <c r="F759" i="1"/>
  <c r="E759" i="1"/>
  <c r="D759" i="1"/>
  <c r="C759" i="1"/>
  <c r="B759" i="1"/>
  <c r="A759" i="1"/>
  <c r="F758" i="1"/>
  <c r="E758" i="1"/>
  <c r="D758" i="1"/>
  <c r="C758" i="1"/>
  <c r="B758" i="1"/>
  <c r="A758" i="1"/>
  <c r="F757" i="1"/>
  <c r="E757" i="1"/>
  <c r="D757" i="1"/>
  <c r="C757" i="1"/>
  <c r="B757" i="1"/>
  <c r="A757" i="1"/>
  <c r="F756" i="1"/>
  <c r="E756" i="1"/>
  <c r="D756" i="1"/>
  <c r="C756" i="1"/>
  <c r="B756" i="1"/>
  <c r="A756" i="1"/>
  <c r="F755" i="1"/>
  <c r="E755" i="1"/>
  <c r="D755" i="1"/>
  <c r="C755" i="1"/>
  <c r="B755" i="1"/>
  <c r="A755" i="1"/>
  <c r="F754" i="1"/>
  <c r="E754" i="1"/>
  <c r="D754" i="1"/>
  <c r="C754" i="1"/>
  <c r="B754" i="1"/>
  <c r="A754" i="1"/>
  <c r="F753" i="1"/>
  <c r="E753" i="1"/>
  <c r="D753" i="1"/>
  <c r="C753" i="1"/>
  <c r="B753" i="1"/>
  <c r="A753" i="1"/>
  <c r="F752" i="1"/>
  <c r="E752" i="1"/>
  <c r="D752" i="1"/>
  <c r="C752" i="1"/>
  <c r="B752" i="1"/>
  <c r="A752" i="1"/>
  <c r="F751" i="1"/>
  <c r="E751" i="1"/>
  <c r="D751" i="1"/>
  <c r="C751" i="1"/>
  <c r="B751" i="1"/>
  <c r="A751" i="1"/>
  <c r="F750" i="1"/>
  <c r="E750" i="1"/>
  <c r="D750" i="1"/>
  <c r="C750" i="1"/>
  <c r="B750" i="1"/>
  <c r="A750" i="1"/>
  <c r="F749" i="1"/>
  <c r="E749" i="1"/>
  <c r="D749" i="1"/>
  <c r="C749" i="1"/>
  <c r="B749" i="1"/>
  <c r="A749" i="1"/>
  <c r="F748" i="1"/>
  <c r="E748" i="1"/>
  <c r="D748" i="1"/>
  <c r="C748" i="1"/>
  <c r="B748" i="1"/>
  <c r="A748" i="1"/>
  <c r="F747" i="1"/>
  <c r="E747" i="1"/>
  <c r="D747" i="1"/>
  <c r="C747" i="1"/>
  <c r="B747" i="1"/>
  <c r="A747" i="1"/>
  <c r="F746" i="1"/>
  <c r="E746" i="1"/>
  <c r="D746" i="1"/>
  <c r="C746" i="1"/>
  <c r="B746" i="1"/>
  <c r="A746" i="1"/>
  <c r="F745" i="1"/>
  <c r="E745" i="1"/>
  <c r="D745" i="1"/>
  <c r="C745" i="1"/>
  <c r="B745" i="1"/>
  <c r="A745" i="1"/>
  <c r="F744" i="1"/>
  <c r="E744" i="1"/>
  <c r="D744" i="1"/>
  <c r="C744" i="1"/>
  <c r="B744" i="1"/>
  <c r="A744" i="1"/>
  <c r="F743" i="1"/>
  <c r="E743" i="1"/>
  <c r="D743" i="1"/>
  <c r="C743" i="1"/>
  <c r="B743" i="1"/>
  <c r="A743" i="1"/>
  <c r="F742" i="1"/>
  <c r="E742" i="1"/>
  <c r="D742" i="1"/>
  <c r="C742" i="1"/>
  <c r="B742" i="1"/>
  <c r="A742" i="1"/>
  <c r="F741" i="1"/>
  <c r="E741" i="1"/>
  <c r="D741" i="1"/>
  <c r="C741" i="1"/>
  <c r="B741" i="1"/>
  <c r="A741" i="1"/>
  <c r="F740" i="1"/>
  <c r="E740" i="1"/>
  <c r="D740" i="1"/>
  <c r="C740" i="1"/>
  <c r="B740" i="1"/>
  <c r="A740" i="1"/>
  <c r="F739" i="1"/>
  <c r="E739" i="1"/>
  <c r="D739" i="1"/>
  <c r="C739" i="1"/>
  <c r="B739" i="1"/>
  <c r="A739" i="1"/>
  <c r="F738" i="1"/>
  <c r="E738" i="1"/>
  <c r="D738" i="1"/>
  <c r="C738" i="1"/>
  <c r="B738" i="1"/>
  <c r="A738" i="1"/>
  <c r="F737" i="1"/>
  <c r="E737" i="1"/>
  <c r="D737" i="1"/>
  <c r="C737" i="1"/>
  <c r="B737" i="1"/>
  <c r="A737" i="1"/>
  <c r="F736" i="1"/>
  <c r="E736" i="1"/>
  <c r="D736" i="1"/>
  <c r="C736" i="1"/>
  <c r="B736" i="1"/>
  <c r="A736" i="1"/>
  <c r="F735" i="1"/>
  <c r="E735" i="1"/>
  <c r="D735" i="1"/>
  <c r="C735" i="1"/>
  <c r="B735" i="1"/>
  <c r="A735" i="1"/>
  <c r="F734" i="1"/>
  <c r="E734" i="1"/>
  <c r="D734" i="1"/>
  <c r="C734" i="1"/>
  <c r="B734" i="1"/>
  <c r="A734" i="1"/>
  <c r="F733" i="1"/>
  <c r="E733" i="1"/>
  <c r="D733" i="1"/>
  <c r="C733" i="1"/>
  <c r="B733" i="1"/>
  <c r="A733" i="1"/>
  <c r="F732" i="1"/>
  <c r="E732" i="1"/>
  <c r="D732" i="1"/>
  <c r="C732" i="1"/>
  <c r="B732" i="1"/>
  <c r="A732" i="1"/>
  <c r="F731" i="1"/>
  <c r="E731" i="1"/>
  <c r="D731" i="1"/>
  <c r="C731" i="1"/>
  <c r="B731" i="1"/>
  <c r="A731" i="1"/>
  <c r="F730" i="1"/>
  <c r="E730" i="1"/>
  <c r="D730" i="1"/>
  <c r="C730" i="1"/>
  <c r="B730" i="1"/>
  <c r="A730" i="1"/>
  <c r="F729" i="1"/>
  <c r="E729" i="1"/>
  <c r="D729" i="1"/>
  <c r="C729" i="1"/>
  <c r="B729" i="1"/>
  <c r="A729" i="1"/>
  <c r="F728" i="1"/>
  <c r="E728" i="1"/>
  <c r="D728" i="1"/>
  <c r="C728" i="1"/>
  <c r="B728" i="1"/>
  <c r="A728" i="1"/>
  <c r="F727" i="1"/>
  <c r="E727" i="1"/>
  <c r="D727" i="1"/>
  <c r="C727" i="1"/>
  <c r="B727" i="1"/>
  <c r="A727" i="1"/>
  <c r="F726" i="1"/>
  <c r="E726" i="1"/>
  <c r="D726" i="1"/>
  <c r="C726" i="1"/>
  <c r="B726" i="1"/>
  <c r="A726" i="1"/>
  <c r="F725" i="1"/>
  <c r="E725" i="1"/>
  <c r="D725" i="1"/>
  <c r="C725" i="1"/>
  <c r="B725" i="1"/>
  <c r="A725" i="1"/>
  <c r="F724" i="1"/>
  <c r="E724" i="1"/>
  <c r="D724" i="1"/>
  <c r="C724" i="1"/>
  <c r="B724" i="1"/>
  <c r="A724" i="1"/>
  <c r="F723" i="1"/>
  <c r="E723" i="1"/>
  <c r="D723" i="1"/>
  <c r="C723" i="1"/>
  <c r="B723" i="1"/>
  <c r="A723" i="1"/>
  <c r="F722" i="1"/>
  <c r="E722" i="1"/>
  <c r="D722" i="1"/>
  <c r="C722" i="1"/>
  <c r="B722" i="1"/>
  <c r="A722" i="1"/>
  <c r="F721" i="1"/>
  <c r="E721" i="1"/>
  <c r="D721" i="1"/>
  <c r="C721" i="1"/>
  <c r="B721" i="1"/>
  <c r="A721" i="1"/>
  <c r="F720" i="1"/>
  <c r="E720" i="1"/>
  <c r="D720" i="1"/>
  <c r="C720" i="1"/>
  <c r="B720" i="1"/>
  <c r="A720" i="1"/>
  <c r="F719" i="1"/>
  <c r="E719" i="1"/>
  <c r="D719" i="1"/>
  <c r="C719" i="1"/>
  <c r="B719" i="1"/>
  <c r="A719" i="1"/>
  <c r="F718" i="1"/>
  <c r="E718" i="1"/>
  <c r="D718" i="1"/>
  <c r="C718" i="1"/>
  <c r="B718" i="1"/>
  <c r="A718" i="1"/>
  <c r="F717" i="1"/>
  <c r="E717" i="1"/>
  <c r="D717" i="1"/>
  <c r="C717" i="1"/>
  <c r="B717" i="1"/>
  <c r="A717" i="1"/>
  <c r="F716" i="1"/>
  <c r="E716" i="1"/>
  <c r="D716" i="1"/>
  <c r="C716" i="1"/>
  <c r="B716" i="1"/>
  <c r="A716" i="1"/>
  <c r="F715" i="1"/>
  <c r="E715" i="1"/>
  <c r="D715" i="1"/>
  <c r="C715" i="1"/>
  <c r="B715" i="1"/>
  <c r="A715" i="1"/>
  <c r="F714" i="1"/>
  <c r="E714" i="1"/>
  <c r="D714" i="1"/>
  <c r="C714" i="1"/>
  <c r="B714" i="1"/>
  <c r="A714" i="1"/>
  <c r="F713" i="1"/>
  <c r="E713" i="1"/>
  <c r="D713" i="1"/>
  <c r="C713" i="1"/>
  <c r="B713" i="1"/>
  <c r="A713" i="1"/>
  <c r="F712" i="1"/>
  <c r="E712" i="1"/>
  <c r="D712" i="1"/>
  <c r="C712" i="1"/>
  <c r="B712" i="1"/>
  <c r="A712" i="1"/>
  <c r="F711" i="1"/>
  <c r="E711" i="1"/>
  <c r="D711" i="1"/>
  <c r="C711" i="1"/>
  <c r="B711" i="1"/>
  <c r="A711" i="1"/>
  <c r="F710" i="1"/>
  <c r="E710" i="1"/>
  <c r="D710" i="1"/>
  <c r="C710" i="1"/>
  <c r="B710" i="1"/>
  <c r="A710" i="1"/>
  <c r="F709" i="1"/>
  <c r="E709" i="1"/>
  <c r="D709" i="1"/>
  <c r="C709" i="1"/>
  <c r="B709" i="1"/>
  <c r="A709" i="1"/>
  <c r="F708" i="1"/>
  <c r="E708" i="1"/>
  <c r="D708" i="1"/>
  <c r="C708" i="1"/>
  <c r="B708" i="1"/>
  <c r="A708" i="1"/>
  <c r="F707" i="1"/>
  <c r="E707" i="1"/>
  <c r="D707" i="1"/>
  <c r="C707" i="1"/>
  <c r="B707" i="1"/>
  <c r="A707" i="1"/>
  <c r="F706" i="1"/>
  <c r="E706" i="1"/>
  <c r="D706" i="1"/>
  <c r="C706" i="1"/>
  <c r="B706" i="1"/>
  <c r="A706" i="1"/>
  <c r="F705" i="1"/>
  <c r="E705" i="1"/>
  <c r="D705" i="1"/>
  <c r="C705" i="1"/>
  <c r="B705" i="1"/>
  <c r="A705" i="1"/>
  <c r="F704" i="1"/>
  <c r="E704" i="1"/>
  <c r="D704" i="1"/>
  <c r="C704" i="1"/>
  <c r="B704" i="1"/>
  <c r="A704" i="1"/>
  <c r="F703" i="1"/>
  <c r="E703" i="1"/>
  <c r="D703" i="1"/>
  <c r="C703" i="1"/>
  <c r="B703" i="1"/>
  <c r="A703" i="1"/>
  <c r="F702" i="1"/>
  <c r="E702" i="1"/>
  <c r="D702" i="1"/>
  <c r="C702" i="1"/>
  <c r="B702" i="1"/>
  <c r="A702" i="1"/>
  <c r="F701" i="1"/>
  <c r="E701" i="1"/>
  <c r="D701" i="1"/>
  <c r="C701" i="1"/>
  <c r="B701" i="1"/>
  <c r="A701" i="1"/>
  <c r="F700" i="1"/>
  <c r="E700" i="1"/>
  <c r="D700" i="1"/>
  <c r="C700" i="1"/>
  <c r="B700" i="1"/>
  <c r="A700" i="1"/>
  <c r="F699" i="1"/>
  <c r="E699" i="1"/>
  <c r="D699" i="1"/>
  <c r="C699" i="1"/>
  <c r="B699" i="1"/>
  <c r="A699" i="1"/>
  <c r="F698" i="1"/>
  <c r="E698" i="1"/>
  <c r="D698" i="1"/>
  <c r="C698" i="1"/>
  <c r="B698" i="1"/>
  <c r="A698" i="1"/>
  <c r="F697" i="1"/>
  <c r="E697" i="1"/>
  <c r="D697" i="1"/>
  <c r="C697" i="1"/>
  <c r="B697" i="1"/>
  <c r="A697" i="1"/>
  <c r="F696" i="1"/>
  <c r="E696" i="1"/>
  <c r="D696" i="1"/>
  <c r="C696" i="1"/>
  <c r="B696" i="1"/>
  <c r="A696" i="1"/>
  <c r="F695" i="1"/>
  <c r="E695" i="1"/>
  <c r="D695" i="1"/>
  <c r="C695" i="1"/>
  <c r="B695" i="1"/>
  <c r="A695" i="1"/>
  <c r="F694" i="1"/>
  <c r="E694" i="1"/>
  <c r="D694" i="1"/>
  <c r="C694" i="1"/>
  <c r="B694" i="1"/>
  <c r="A694" i="1"/>
  <c r="F693" i="1"/>
  <c r="E693" i="1"/>
  <c r="D693" i="1"/>
  <c r="C693" i="1"/>
  <c r="B693" i="1"/>
  <c r="A693" i="1"/>
  <c r="F692" i="1"/>
  <c r="E692" i="1"/>
  <c r="D692" i="1"/>
  <c r="C692" i="1"/>
  <c r="B692" i="1"/>
  <c r="A692" i="1"/>
  <c r="F691" i="1"/>
  <c r="E691" i="1"/>
  <c r="D691" i="1"/>
  <c r="C691" i="1"/>
  <c r="B691" i="1"/>
  <c r="A691" i="1"/>
  <c r="F690" i="1"/>
  <c r="E690" i="1"/>
  <c r="D690" i="1"/>
  <c r="C690" i="1"/>
  <c r="B690" i="1"/>
  <c r="A690" i="1"/>
  <c r="F689" i="1"/>
  <c r="E689" i="1"/>
  <c r="D689" i="1"/>
  <c r="C689" i="1"/>
  <c r="B689" i="1"/>
  <c r="A689" i="1"/>
  <c r="F688" i="1"/>
  <c r="E688" i="1"/>
  <c r="D688" i="1"/>
  <c r="C688" i="1"/>
  <c r="B688" i="1"/>
  <c r="A688" i="1"/>
  <c r="F687" i="1"/>
  <c r="E687" i="1"/>
  <c r="D687" i="1"/>
  <c r="C687" i="1"/>
  <c r="B687" i="1"/>
  <c r="A687" i="1"/>
  <c r="F686" i="1"/>
  <c r="E686" i="1"/>
  <c r="D686" i="1"/>
  <c r="C686" i="1"/>
  <c r="B686" i="1"/>
  <c r="A686" i="1"/>
  <c r="F685" i="1"/>
  <c r="E685" i="1"/>
  <c r="D685" i="1"/>
  <c r="C685" i="1"/>
  <c r="B685" i="1"/>
  <c r="A685" i="1"/>
  <c r="F684" i="1"/>
  <c r="E684" i="1"/>
  <c r="D684" i="1"/>
  <c r="C684" i="1"/>
  <c r="B684" i="1"/>
  <c r="A684" i="1"/>
  <c r="F683" i="1"/>
  <c r="E683" i="1"/>
  <c r="D683" i="1"/>
  <c r="C683" i="1"/>
  <c r="B683" i="1"/>
  <c r="A683" i="1"/>
  <c r="F682" i="1"/>
  <c r="E682" i="1"/>
  <c r="D682" i="1"/>
  <c r="C682" i="1"/>
  <c r="B682" i="1"/>
  <c r="A682" i="1"/>
  <c r="F681" i="1"/>
  <c r="E681" i="1"/>
  <c r="D681" i="1"/>
  <c r="C681" i="1"/>
  <c r="B681" i="1"/>
  <c r="A681" i="1"/>
  <c r="F680" i="1"/>
  <c r="E680" i="1"/>
  <c r="D680" i="1"/>
  <c r="C680" i="1"/>
  <c r="B680" i="1"/>
  <c r="A680" i="1"/>
  <c r="F679" i="1"/>
  <c r="E679" i="1"/>
  <c r="D679" i="1"/>
  <c r="C679" i="1"/>
  <c r="B679" i="1"/>
  <c r="A679" i="1"/>
  <c r="F678" i="1"/>
  <c r="E678" i="1"/>
  <c r="D678" i="1"/>
  <c r="C678" i="1"/>
  <c r="B678" i="1"/>
  <c r="A678" i="1"/>
  <c r="F677" i="1"/>
  <c r="E677" i="1"/>
  <c r="D677" i="1"/>
  <c r="C677" i="1"/>
  <c r="B677" i="1"/>
  <c r="A677" i="1"/>
  <c r="F676" i="1"/>
  <c r="E676" i="1"/>
  <c r="D676" i="1"/>
  <c r="C676" i="1"/>
  <c r="B676" i="1"/>
  <c r="A676" i="1"/>
  <c r="F675" i="1"/>
  <c r="E675" i="1"/>
  <c r="D675" i="1"/>
  <c r="C675" i="1"/>
  <c r="B675" i="1"/>
  <c r="A675" i="1"/>
  <c r="F674" i="1"/>
  <c r="E674" i="1"/>
  <c r="D674" i="1"/>
  <c r="C674" i="1"/>
  <c r="B674" i="1"/>
  <c r="A674" i="1"/>
  <c r="F673" i="1"/>
  <c r="E673" i="1"/>
  <c r="D673" i="1"/>
  <c r="C673" i="1"/>
  <c r="B673" i="1"/>
  <c r="A673" i="1"/>
  <c r="F672" i="1"/>
  <c r="E672" i="1"/>
  <c r="D672" i="1"/>
  <c r="C672" i="1"/>
  <c r="B672" i="1"/>
  <c r="A672" i="1"/>
  <c r="F671" i="1"/>
  <c r="E671" i="1"/>
  <c r="D671" i="1"/>
  <c r="C671" i="1"/>
  <c r="B671" i="1"/>
  <c r="A671" i="1"/>
  <c r="F670" i="1"/>
  <c r="E670" i="1"/>
  <c r="D670" i="1"/>
  <c r="C670" i="1"/>
  <c r="B670" i="1"/>
  <c r="A670" i="1"/>
  <c r="F669" i="1"/>
  <c r="E669" i="1"/>
  <c r="D669" i="1"/>
  <c r="C669" i="1"/>
  <c r="B669" i="1"/>
  <c r="A669" i="1"/>
  <c r="F668" i="1"/>
  <c r="E668" i="1"/>
  <c r="D668" i="1"/>
  <c r="C668" i="1"/>
  <c r="B668" i="1"/>
  <c r="A668" i="1"/>
  <c r="F667" i="1"/>
  <c r="E667" i="1"/>
  <c r="D667" i="1"/>
  <c r="C667" i="1"/>
  <c r="B667" i="1"/>
  <c r="A667" i="1"/>
  <c r="F666" i="1"/>
  <c r="E666" i="1"/>
  <c r="D666" i="1"/>
  <c r="C666" i="1"/>
  <c r="B666" i="1"/>
  <c r="A666" i="1"/>
  <c r="F665" i="1"/>
  <c r="E665" i="1"/>
  <c r="D665" i="1"/>
  <c r="C665" i="1"/>
  <c r="B665" i="1"/>
  <c r="A665" i="1"/>
  <c r="F664" i="1"/>
  <c r="E664" i="1"/>
  <c r="D664" i="1"/>
  <c r="C664" i="1"/>
  <c r="B664" i="1"/>
  <c r="A664" i="1"/>
  <c r="F663" i="1"/>
  <c r="E663" i="1"/>
  <c r="D663" i="1"/>
  <c r="C663" i="1"/>
  <c r="B663" i="1"/>
  <c r="A663" i="1"/>
  <c r="F662" i="1"/>
  <c r="E662" i="1"/>
  <c r="D662" i="1"/>
  <c r="C662" i="1"/>
  <c r="B662" i="1"/>
  <c r="A662" i="1"/>
  <c r="F661" i="1"/>
  <c r="E661" i="1"/>
  <c r="D661" i="1"/>
  <c r="C661" i="1"/>
  <c r="B661" i="1"/>
  <c r="A661" i="1"/>
  <c r="F660" i="1"/>
  <c r="E660" i="1"/>
  <c r="D660" i="1"/>
  <c r="C660" i="1"/>
  <c r="B660" i="1"/>
  <c r="A660" i="1"/>
  <c r="F659" i="1"/>
  <c r="E659" i="1"/>
  <c r="D659" i="1"/>
  <c r="C659" i="1"/>
  <c r="B659" i="1"/>
  <c r="A659" i="1"/>
  <c r="F658" i="1"/>
  <c r="E658" i="1"/>
  <c r="D658" i="1"/>
  <c r="C658" i="1"/>
  <c r="B658" i="1"/>
  <c r="A658" i="1"/>
  <c r="F657" i="1"/>
  <c r="E657" i="1"/>
  <c r="D657" i="1"/>
  <c r="C657" i="1"/>
  <c r="B657" i="1"/>
  <c r="A657" i="1"/>
  <c r="F656" i="1"/>
  <c r="E656" i="1"/>
  <c r="D656" i="1"/>
  <c r="C656" i="1"/>
  <c r="B656" i="1"/>
  <c r="A656" i="1"/>
  <c r="F655" i="1"/>
  <c r="E655" i="1"/>
  <c r="D655" i="1"/>
  <c r="C655" i="1"/>
  <c r="B655" i="1"/>
  <c r="A655" i="1"/>
  <c r="F654" i="1"/>
  <c r="E654" i="1"/>
  <c r="D654" i="1"/>
  <c r="C654" i="1"/>
  <c r="B654" i="1"/>
  <c r="A654" i="1"/>
  <c r="F653" i="1"/>
  <c r="E653" i="1"/>
  <c r="D653" i="1"/>
  <c r="C653" i="1"/>
  <c r="B653" i="1"/>
  <c r="A653" i="1"/>
  <c r="F652" i="1"/>
  <c r="E652" i="1"/>
  <c r="D652" i="1"/>
  <c r="C652" i="1"/>
  <c r="B652" i="1"/>
  <c r="A652" i="1"/>
  <c r="F651" i="1"/>
  <c r="E651" i="1"/>
  <c r="D651" i="1"/>
  <c r="C651" i="1"/>
  <c r="B651" i="1"/>
  <c r="A651" i="1"/>
  <c r="F650" i="1"/>
  <c r="E650" i="1"/>
  <c r="D650" i="1"/>
  <c r="C650" i="1"/>
  <c r="B650" i="1"/>
  <c r="A650" i="1"/>
  <c r="F649" i="1"/>
  <c r="E649" i="1"/>
  <c r="D649" i="1"/>
  <c r="C649" i="1"/>
  <c r="B649" i="1"/>
  <c r="A649" i="1"/>
  <c r="F648" i="1"/>
  <c r="E648" i="1"/>
  <c r="D648" i="1"/>
  <c r="C648" i="1"/>
  <c r="B648" i="1"/>
  <c r="A648" i="1"/>
  <c r="F647" i="1"/>
  <c r="E647" i="1"/>
  <c r="D647" i="1"/>
  <c r="C647" i="1"/>
  <c r="B647" i="1"/>
  <c r="A647" i="1"/>
  <c r="F646" i="1"/>
  <c r="E646" i="1"/>
  <c r="D646" i="1"/>
  <c r="C646" i="1"/>
  <c r="B646" i="1"/>
  <c r="A646" i="1"/>
  <c r="F645" i="1"/>
  <c r="E645" i="1"/>
  <c r="D645" i="1"/>
  <c r="C645" i="1"/>
  <c r="B645" i="1"/>
  <c r="A645" i="1"/>
  <c r="F644" i="1"/>
  <c r="E644" i="1"/>
  <c r="D644" i="1"/>
  <c r="C644" i="1"/>
  <c r="B644" i="1"/>
  <c r="A644" i="1"/>
  <c r="F643" i="1"/>
  <c r="E643" i="1"/>
  <c r="D643" i="1"/>
  <c r="C643" i="1"/>
  <c r="B643" i="1"/>
  <c r="A643" i="1"/>
  <c r="F642" i="1"/>
  <c r="E642" i="1"/>
  <c r="D642" i="1"/>
  <c r="C642" i="1"/>
  <c r="B642" i="1"/>
  <c r="A642" i="1"/>
  <c r="F641" i="1"/>
  <c r="E641" i="1"/>
  <c r="D641" i="1"/>
  <c r="C641" i="1"/>
  <c r="B641" i="1"/>
  <c r="A641" i="1"/>
  <c r="F640" i="1"/>
  <c r="E640" i="1"/>
  <c r="D640" i="1"/>
  <c r="C640" i="1"/>
  <c r="B640" i="1"/>
  <c r="A640" i="1"/>
  <c r="F639" i="1"/>
  <c r="E639" i="1"/>
  <c r="D639" i="1"/>
  <c r="C639" i="1"/>
  <c r="B639" i="1"/>
  <c r="A639" i="1"/>
  <c r="F638" i="1"/>
  <c r="E638" i="1"/>
  <c r="D638" i="1"/>
  <c r="C638" i="1"/>
  <c r="B638" i="1"/>
  <c r="A638" i="1"/>
  <c r="F637" i="1"/>
  <c r="E637" i="1"/>
  <c r="D637" i="1"/>
  <c r="C637" i="1"/>
  <c r="B637" i="1"/>
  <c r="A637" i="1"/>
  <c r="F636" i="1"/>
  <c r="E636" i="1"/>
  <c r="D636" i="1"/>
  <c r="C636" i="1"/>
  <c r="B636" i="1"/>
  <c r="A636" i="1"/>
  <c r="F635" i="1"/>
  <c r="E635" i="1"/>
  <c r="D635" i="1"/>
  <c r="C635" i="1"/>
  <c r="B635" i="1"/>
  <c r="A635" i="1"/>
  <c r="F634" i="1"/>
  <c r="E634" i="1"/>
  <c r="D634" i="1"/>
  <c r="C634" i="1"/>
  <c r="B634" i="1"/>
  <c r="A634" i="1"/>
  <c r="F633" i="1"/>
  <c r="E633" i="1"/>
  <c r="D633" i="1"/>
  <c r="C633" i="1"/>
  <c r="B633" i="1"/>
  <c r="A633" i="1"/>
  <c r="F632" i="1"/>
  <c r="E632" i="1"/>
  <c r="D632" i="1"/>
  <c r="C632" i="1"/>
  <c r="B632" i="1"/>
  <c r="A632" i="1"/>
  <c r="F631" i="1"/>
  <c r="E631" i="1"/>
  <c r="D631" i="1"/>
  <c r="C631" i="1"/>
  <c r="B631" i="1"/>
  <c r="A631" i="1"/>
  <c r="F630" i="1"/>
  <c r="E630" i="1"/>
  <c r="D630" i="1"/>
  <c r="C630" i="1"/>
  <c r="B630" i="1"/>
  <c r="A630" i="1"/>
  <c r="F629" i="1"/>
  <c r="E629" i="1"/>
  <c r="D629" i="1"/>
  <c r="C629" i="1"/>
  <c r="B629" i="1"/>
  <c r="A629" i="1"/>
  <c r="F628" i="1"/>
  <c r="E628" i="1"/>
  <c r="D628" i="1"/>
  <c r="C628" i="1"/>
  <c r="B628" i="1"/>
  <c r="A628" i="1"/>
  <c r="F627" i="1"/>
  <c r="E627" i="1"/>
  <c r="D627" i="1"/>
  <c r="C627" i="1"/>
  <c r="B627" i="1"/>
  <c r="A627" i="1"/>
  <c r="F626" i="1"/>
  <c r="E626" i="1"/>
  <c r="D626" i="1"/>
  <c r="C626" i="1"/>
  <c r="B626" i="1"/>
  <c r="A626" i="1"/>
  <c r="F625" i="1"/>
  <c r="E625" i="1"/>
  <c r="D625" i="1"/>
  <c r="C625" i="1"/>
  <c r="B625" i="1"/>
  <c r="A625" i="1"/>
  <c r="F624" i="1"/>
  <c r="E624" i="1"/>
  <c r="D624" i="1"/>
  <c r="C624" i="1"/>
  <c r="B624" i="1"/>
  <c r="A624" i="1"/>
  <c r="F623" i="1"/>
  <c r="E623" i="1"/>
  <c r="D623" i="1"/>
  <c r="C623" i="1"/>
  <c r="B623" i="1"/>
  <c r="A623" i="1"/>
  <c r="F622" i="1"/>
  <c r="E622" i="1"/>
  <c r="D622" i="1"/>
  <c r="C622" i="1"/>
  <c r="B622" i="1"/>
  <c r="A622" i="1"/>
  <c r="F621" i="1"/>
  <c r="E621" i="1"/>
  <c r="D621" i="1"/>
  <c r="C621" i="1"/>
  <c r="B621" i="1"/>
  <c r="A621" i="1"/>
  <c r="F620" i="1"/>
  <c r="E620" i="1"/>
  <c r="D620" i="1"/>
  <c r="C620" i="1"/>
  <c r="B620" i="1"/>
  <c r="A620" i="1"/>
  <c r="F619" i="1"/>
  <c r="E619" i="1"/>
  <c r="D619" i="1"/>
  <c r="C619" i="1"/>
  <c r="B619" i="1"/>
  <c r="A619" i="1"/>
  <c r="F618" i="1"/>
  <c r="E618" i="1"/>
  <c r="D618" i="1"/>
  <c r="C618" i="1"/>
  <c r="B618" i="1"/>
  <c r="A618" i="1"/>
  <c r="F617" i="1"/>
  <c r="E617" i="1"/>
  <c r="D617" i="1"/>
  <c r="C617" i="1"/>
  <c r="B617" i="1"/>
  <c r="A617" i="1"/>
  <c r="F616" i="1"/>
  <c r="E616" i="1"/>
  <c r="D616" i="1"/>
  <c r="C616" i="1"/>
  <c r="B616" i="1"/>
  <c r="A616" i="1"/>
  <c r="F615" i="1"/>
  <c r="E615" i="1"/>
  <c r="D615" i="1"/>
  <c r="C615" i="1"/>
  <c r="B615" i="1"/>
  <c r="A615" i="1"/>
  <c r="F614" i="1"/>
  <c r="E614" i="1"/>
  <c r="D614" i="1"/>
  <c r="C614" i="1"/>
  <c r="B614" i="1"/>
  <c r="A614" i="1"/>
  <c r="F613" i="1"/>
  <c r="E613" i="1"/>
  <c r="D613" i="1"/>
  <c r="C613" i="1"/>
  <c r="B613" i="1"/>
  <c r="A613" i="1"/>
  <c r="F612" i="1"/>
  <c r="E612" i="1"/>
  <c r="D612" i="1"/>
  <c r="C612" i="1"/>
  <c r="B612" i="1"/>
  <c r="A612" i="1"/>
  <c r="F611" i="1"/>
  <c r="E611" i="1"/>
  <c r="D611" i="1"/>
  <c r="C611" i="1"/>
  <c r="B611" i="1"/>
  <c r="A611" i="1"/>
  <c r="F610" i="1"/>
  <c r="E610" i="1"/>
  <c r="D610" i="1"/>
  <c r="C610" i="1"/>
  <c r="B610" i="1"/>
  <c r="A610" i="1"/>
  <c r="F609" i="1"/>
  <c r="E609" i="1"/>
  <c r="D609" i="1"/>
  <c r="C609" i="1"/>
  <c r="B609" i="1"/>
  <c r="A609" i="1"/>
  <c r="F608" i="1"/>
  <c r="E608" i="1"/>
  <c r="D608" i="1"/>
  <c r="C608" i="1"/>
  <c r="B608" i="1"/>
  <c r="A608" i="1"/>
  <c r="F607" i="1"/>
  <c r="E607" i="1"/>
  <c r="D607" i="1"/>
  <c r="C607" i="1"/>
  <c r="B607" i="1"/>
  <c r="A607" i="1"/>
  <c r="F606" i="1"/>
  <c r="E606" i="1"/>
  <c r="D606" i="1"/>
  <c r="C606" i="1"/>
  <c r="B606" i="1"/>
  <c r="A606" i="1"/>
  <c r="F605" i="1"/>
  <c r="E605" i="1"/>
  <c r="D605" i="1"/>
  <c r="C605" i="1"/>
  <c r="B605" i="1"/>
  <c r="A605" i="1"/>
  <c r="F604" i="1"/>
  <c r="E604" i="1"/>
  <c r="D604" i="1"/>
  <c r="C604" i="1"/>
  <c r="B604" i="1"/>
  <c r="A604" i="1"/>
  <c r="F603" i="1"/>
  <c r="E603" i="1"/>
  <c r="D603" i="1"/>
  <c r="C603" i="1"/>
  <c r="B603" i="1"/>
  <c r="A603" i="1"/>
  <c r="F602" i="1"/>
  <c r="E602" i="1"/>
  <c r="D602" i="1"/>
  <c r="C602" i="1"/>
  <c r="B602" i="1"/>
  <c r="A602" i="1"/>
  <c r="F601" i="1"/>
  <c r="E601" i="1"/>
  <c r="D601" i="1"/>
  <c r="C601" i="1"/>
  <c r="B601" i="1"/>
  <c r="A601" i="1"/>
  <c r="F600" i="1"/>
  <c r="E600" i="1"/>
  <c r="D600" i="1"/>
  <c r="C600" i="1"/>
  <c r="B600" i="1"/>
  <c r="A600" i="1"/>
  <c r="F599" i="1"/>
  <c r="E599" i="1"/>
  <c r="D599" i="1"/>
  <c r="C599" i="1"/>
  <c r="B599" i="1"/>
  <c r="A599" i="1"/>
  <c r="F598" i="1"/>
  <c r="E598" i="1"/>
  <c r="D598" i="1"/>
  <c r="C598" i="1"/>
  <c r="B598" i="1"/>
  <c r="A598" i="1"/>
  <c r="F597" i="1"/>
  <c r="E597" i="1"/>
  <c r="D597" i="1"/>
  <c r="C597" i="1"/>
  <c r="B597" i="1"/>
  <c r="A597" i="1"/>
  <c r="F596" i="1"/>
  <c r="E596" i="1"/>
  <c r="D596" i="1"/>
  <c r="C596" i="1"/>
  <c r="B596" i="1"/>
  <c r="A596" i="1"/>
  <c r="F595" i="1"/>
  <c r="E595" i="1"/>
  <c r="D595" i="1"/>
  <c r="C595" i="1"/>
  <c r="B595" i="1"/>
  <c r="A595" i="1"/>
  <c r="F594" i="1"/>
  <c r="E594" i="1"/>
  <c r="D594" i="1"/>
  <c r="C594" i="1"/>
  <c r="B594" i="1"/>
  <c r="A594" i="1"/>
  <c r="F593" i="1"/>
  <c r="E593" i="1"/>
  <c r="D593" i="1"/>
  <c r="C593" i="1"/>
  <c r="B593" i="1"/>
  <c r="A593" i="1"/>
  <c r="F592" i="1"/>
  <c r="E592" i="1"/>
  <c r="D592" i="1"/>
  <c r="C592" i="1"/>
  <c r="B592" i="1"/>
  <c r="A592" i="1"/>
  <c r="F591" i="1"/>
  <c r="E591" i="1"/>
  <c r="D591" i="1"/>
  <c r="C591" i="1"/>
  <c r="B591" i="1"/>
  <c r="A591" i="1"/>
  <c r="F590" i="1"/>
  <c r="E590" i="1"/>
  <c r="D590" i="1"/>
  <c r="C590" i="1"/>
  <c r="B590" i="1"/>
  <c r="A590" i="1"/>
  <c r="F589" i="1"/>
  <c r="E589" i="1"/>
  <c r="D589" i="1"/>
  <c r="C589" i="1"/>
  <c r="B589" i="1"/>
  <c r="A589" i="1"/>
  <c r="F588" i="1"/>
  <c r="E588" i="1"/>
  <c r="D588" i="1"/>
  <c r="C588" i="1"/>
  <c r="B588" i="1"/>
  <c r="A588" i="1"/>
  <c r="F587" i="1"/>
  <c r="E587" i="1"/>
  <c r="D587" i="1"/>
  <c r="C587" i="1"/>
  <c r="B587" i="1"/>
  <c r="A587" i="1"/>
  <c r="F586" i="1"/>
  <c r="E586" i="1"/>
  <c r="D586" i="1"/>
  <c r="C586" i="1"/>
  <c r="B586" i="1"/>
  <c r="A586" i="1"/>
  <c r="F585" i="1"/>
  <c r="E585" i="1"/>
  <c r="D585" i="1"/>
  <c r="C585" i="1"/>
  <c r="B585" i="1"/>
  <c r="A585" i="1"/>
  <c r="F584" i="1"/>
  <c r="E584" i="1"/>
  <c r="D584" i="1"/>
  <c r="C584" i="1"/>
  <c r="B584" i="1"/>
  <c r="A584" i="1"/>
  <c r="F583" i="1"/>
  <c r="E583" i="1"/>
  <c r="D583" i="1"/>
  <c r="C583" i="1"/>
  <c r="B583" i="1"/>
  <c r="A583" i="1"/>
  <c r="F582" i="1"/>
  <c r="E582" i="1"/>
  <c r="D582" i="1"/>
  <c r="C582" i="1"/>
  <c r="B582" i="1"/>
  <c r="A582" i="1"/>
  <c r="F581" i="1"/>
  <c r="E581" i="1"/>
  <c r="D581" i="1"/>
  <c r="C581" i="1"/>
  <c r="B581" i="1"/>
  <c r="A581" i="1"/>
  <c r="F580" i="1"/>
  <c r="E580" i="1"/>
  <c r="D580" i="1"/>
  <c r="C580" i="1"/>
  <c r="B580" i="1"/>
  <c r="A580" i="1"/>
  <c r="F579" i="1"/>
  <c r="E579" i="1"/>
  <c r="D579" i="1"/>
  <c r="C579" i="1"/>
  <c r="B579" i="1"/>
  <c r="A579" i="1"/>
  <c r="F578" i="1"/>
  <c r="E578" i="1"/>
  <c r="D578" i="1"/>
  <c r="C578" i="1"/>
  <c r="B578" i="1"/>
  <c r="A578" i="1"/>
  <c r="F577" i="1"/>
  <c r="E577" i="1"/>
  <c r="D577" i="1"/>
  <c r="C577" i="1"/>
  <c r="B577" i="1"/>
  <c r="A577" i="1"/>
  <c r="F576" i="1"/>
  <c r="E576" i="1"/>
  <c r="D576" i="1"/>
  <c r="C576" i="1"/>
  <c r="B576" i="1"/>
  <c r="A576" i="1"/>
  <c r="F575" i="1"/>
  <c r="E575" i="1"/>
  <c r="D575" i="1"/>
  <c r="C575" i="1"/>
  <c r="B575" i="1"/>
  <c r="A575" i="1"/>
  <c r="F574" i="1"/>
  <c r="E574" i="1"/>
  <c r="D574" i="1"/>
  <c r="C574" i="1"/>
  <c r="B574" i="1"/>
  <c r="A574" i="1"/>
  <c r="F573" i="1"/>
  <c r="E573" i="1"/>
  <c r="D573" i="1"/>
  <c r="C573" i="1"/>
  <c r="B573" i="1"/>
  <c r="A573" i="1"/>
  <c r="F572" i="1"/>
  <c r="E572" i="1"/>
  <c r="D572" i="1"/>
  <c r="C572" i="1"/>
  <c r="B572" i="1"/>
  <c r="A572" i="1"/>
  <c r="F571" i="1"/>
  <c r="E571" i="1"/>
  <c r="D571" i="1"/>
  <c r="C571" i="1"/>
  <c r="B571" i="1"/>
  <c r="A571" i="1"/>
  <c r="F570" i="1"/>
  <c r="E570" i="1"/>
  <c r="D570" i="1"/>
  <c r="C570" i="1"/>
  <c r="B570" i="1"/>
  <c r="A570" i="1"/>
  <c r="F569" i="1"/>
  <c r="E569" i="1"/>
  <c r="D569" i="1"/>
  <c r="C569" i="1"/>
  <c r="B569" i="1"/>
  <c r="A569" i="1"/>
  <c r="F568" i="1"/>
  <c r="E568" i="1"/>
  <c r="D568" i="1"/>
  <c r="C568" i="1"/>
  <c r="B568" i="1"/>
  <c r="A568" i="1"/>
  <c r="F567" i="1"/>
  <c r="E567" i="1"/>
  <c r="D567" i="1"/>
  <c r="C567" i="1"/>
  <c r="B567" i="1"/>
  <c r="A567" i="1"/>
  <c r="F566" i="1"/>
  <c r="E566" i="1"/>
  <c r="D566" i="1"/>
  <c r="C566" i="1"/>
  <c r="B566" i="1"/>
  <c r="A566" i="1"/>
  <c r="F565" i="1"/>
  <c r="E565" i="1"/>
  <c r="D565" i="1"/>
  <c r="C565" i="1"/>
  <c r="B565" i="1"/>
  <c r="A565" i="1"/>
  <c r="F564" i="1"/>
  <c r="E564" i="1"/>
  <c r="D564" i="1"/>
  <c r="C564" i="1"/>
  <c r="B564" i="1"/>
  <c r="A564" i="1"/>
  <c r="F563" i="1"/>
  <c r="E563" i="1"/>
  <c r="D563" i="1"/>
  <c r="C563" i="1"/>
  <c r="B563" i="1"/>
  <c r="A563" i="1"/>
  <c r="F562" i="1"/>
  <c r="E562" i="1"/>
  <c r="D562" i="1"/>
  <c r="C562" i="1"/>
  <c r="B562" i="1"/>
  <c r="A562" i="1"/>
  <c r="F561" i="1"/>
  <c r="E561" i="1"/>
  <c r="D561" i="1"/>
  <c r="C561" i="1"/>
  <c r="B561" i="1"/>
  <c r="A561" i="1"/>
  <c r="F560" i="1"/>
  <c r="E560" i="1"/>
  <c r="D560" i="1"/>
  <c r="C560" i="1"/>
  <c r="B560" i="1"/>
  <c r="A560" i="1"/>
  <c r="F559" i="1"/>
  <c r="E559" i="1"/>
  <c r="D559" i="1"/>
  <c r="C559" i="1"/>
  <c r="B559" i="1"/>
  <c r="A559" i="1"/>
  <c r="F558" i="1"/>
  <c r="E558" i="1"/>
  <c r="D558" i="1"/>
  <c r="C558" i="1"/>
  <c r="B558" i="1"/>
  <c r="A558" i="1"/>
  <c r="F557" i="1"/>
  <c r="E557" i="1"/>
  <c r="D557" i="1"/>
  <c r="C557" i="1"/>
  <c r="B557" i="1"/>
  <c r="A557" i="1"/>
  <c r="F556" i="1"/>
  <c r="E556" i="1"/>
  <c r="D556" i="1"/>
  <c r="C556" i="1"/>
  <c r="B556" i="1"/>
  <c r="A556" i="1"/>
  <c r="F555" i="1"/>
  <c r="E555" i="1"/>
  <c r="D555" i="1"/>
  <c r="C555" i="1"/>
  <c r="B555" i="1"/>
  <c r="A555" i="1"/>
  <c r="F554" i="1"/>
  <c r="E554" i="1"/>
  <c r="D554" i="1"/>
  <c r="C554" i="1"/>
  <c r="B554" i="1"/>
  <c r="A554" i="1"/>
  <c r="F553" i="1"/>
  <c r="E553" i="1"/>
  <c r="D553" i="1"/>
  <c r="C553" i="1"/>
  <c r="B553" i="1"/>
  <c r="A553" i="1"/>
  <c r="F552" i="1"/>
  <c r="E552" i="1"/>
  <c r="D552" i="1"/>
  <c r="C552" i="1"/>
  <c r="B552" i="1"/>
  <c r="A552" i="1"/>
  <c r="F551" i="1"/>
  <c r="E551" i="1"/>
  <c r="D551" i="1"/>
  <c r="C551" i="1"/>
  <c r="B551" i="1"/>
  <c r="A551" i="1"/>
  <c r="F550" i="1"/>
  <c r="E550" i="1"/>
  <c r="D550" i="1"/>
  <c r="C550" i="1"/>
  <c r="B550" i="1"/>
  <c r="A550" i="1"/>
  <c r="F549" i="1"/>
  <c r="E549" i="1"/>
  <c r="D549" i="1"/>
  <c r="C549" i="1"/>
  <c r="B549" i="1"/>
  <c r="A549" i="1"/>
  <c r="F548" i="1"/>
  <c r="E548" i="1"/>
  <c r="D548" i="1"/>
  <c r="C548" i="1"/>
  <c r="B548" i="1"/>
  <c r="A548" i="1"/>
  <c r="F547" i="1"/>
  <c r="E547" i="1"/>
  <c r="D547" i="1"/>
  <c r="C547" i="1"/>
  <c r="B547" i="1"/>
  <c r="A547" i="1"/>
  <c r="F546" i="1"/>
  <c r="E546" i="1"/>
  <c r="D546" i="1"/>
  <c r="C546" i="1"/>
  <c r="B546" i="1"/>
  <c r="A546" i="1"/>
  <c r="F545" i="1"/>
  <c r="E545" i="1"/>
  <c r="D545" i="1"/>
  <c r="C545" i="1"/>
  <c r="B545" i="1"/>
  <c r="A545" i="1"/>
  <c r="F544" i="1"/>
  <c r="E544" i="1"/>
  <c r="D544" i="1"/>
  <c r="C544" i="1"/>
  <c r="B544" i="1"/>
  <c r="A544" i="1"/>
  <c r="F543" i="1"/>
  <c r="E543" i="1"/>
  <c r="D543" i="1"/>
  <c r="C543" i="1"/>
  <c r="B543" i="1"/>
  <c r="A543" i="1"/>
  <c r="F542" i="1"/>
  <c r="E542" i="1"/>
  <c r="D542" i="1"/>
  <c r="C542" i="1"/>
  <c r="B542" i="1"/>
  <c r="A542" i="1"/>
  <c r="F541" i="1"/>
  <c r="E541" i="1"/>
  <c r="D541" i="1"/>
  <c r="C541" i="1"/>
  <c r="B541" i="1"/>
  <c r="A541" i="1"/>
  <c r="F540" i="1"/>
  <c r="E540" i="1"/>
  <c r="D540" i="1"/>
  <c r="C540" i="1"/>
  <c r="B540" i="1"/>
  <c r="A540" i="1"/>
  <c r="F539" i="1"/>
  <c r="E539" i="1"/>
  <c r="D539" i="1"/>
  <c r="C539" i="1"/>
  <c r="B539" i="1"/>
  <c r="A539" i="1"/>
  <c r="F538" i="1"/>
  <c r="E538" i="1"/>
  <c r="D538" i="1"/>
  <c r="C538" i="1"/>
  <c r="B538" i="1"/>
  <c r="A538" i="1"/>
  <c r="F537" i="1"/>
  <c r="E537" i="1"/>
  <c r="D537" i="1"/>
  <c r="C537" i="1"/>
  <c r="B537" i="1"/>
  <c r="A537" i="1"/>
  <c r="F536" i="1"/>
  <c r="E536" i="1"/>
  <c r="D536" i="1"/>
  <c r="C536" i="1"/>
  <c r="B536" i="1"/>
  <c r="A536" i="1"/>
  <c r="F535" i="1"/>
  <c r="E535" i="1"/>
  <c r="D535" i="1"/>
  <c r="C535" i="1"/>
  <c r="B535" i="1"/>
  <c r="A535" i="1"/>
  <c r="F534" i="1"/>
  <c r="E534" i="1"/>
  <c r="D534" i="1"/>
  <c r="C534" i="1"/>
  <c r="B534" i="1"/>
  <c r="A534" i="1"/>
  <c r="F533" i="1"/>
  <c r="E533" i="1"/>
  <c r="D533" i="1"/>
  <c r="C533" i="1"/>
  <c r="B533" i="1"/>
  <c r="A533" i="1"/>
  <c r="F532" i="1"/>
  <c r="E532" i="1"/>
  <c r="D532" i="1"/>
  <c r="C532" i="1"/>
  <c r="B532" i="1"/>
  <c r="A532" i="1"/>
  <c r="F531" i="1"/>
  <c r="E531" i="1"/>
  <c r="D531" i="1"/>
  <c r="C531" i="1"/>
  <c r="B531" i="1"/>
  <c r="A531" i="1"/>
  <c r="F530" i="1"/>
  <c r="E530" i="1"/>
  <c r="D530" i="1"/>
  <c r="C530" i="1"/>
  <c r="B530" i="1"/>
  <c r="A530" i="1"/>
  <c r="F529" i="1"/>
  <c r="E529" i="1"/>
  <c r="D529" i="1"/>
  <c r="C529" i="1"/>
  <c r="B529" i="1"/>
  <c r="A529" i="1"/>
  <c r="F528" i="1"/>
  <c r="E528" i="1"/>
  <c r="D528" i="1"/>
  <c r="C528" i="1"/>
  <c r="B528" i="1"/>
  <c r="A528" i="1"/>
  <c r="F527" i="1"/>
  <c r="E527" i="1"/>
  <c r="D527" i="1"/>
  <c r="C527" i="1"/>
  <c r="B527" i="1"/>
  <c r="A527" i="1"/>
  <c r="F526" i="1"/>
  <c r="E526" i="1"/>
  <c r="D526" i="1"/>
  <c r="C526" i="1"/>
  <c r="B526" i="1"/>
  <c r="A526" i="1"/>
  <c r="F525" i="1"/>
  <c r="E525" i="1"/>
  <c r="D525" i="1"/>
  <c r="C525" i="1"/>
  <c r="B525" i="1"/>
  <c r="A525" i="1"/>
  <c r="F524" i="1"/>
  <c r="E524" i="1"/>
  <c r="D524" i="1"/>
  <c r="C524" i="1"/>
  <c r="B524" i="1"/>
  <c r="A524" i="1"/>
  <c r="F523" i="1"/>
  <c r="E523" i="1"/>
  <c r="D523" i="1"/>
  <c r="C523" i="1"/>
  <c r="B523" i="1"/>
  <c r="A523" i="1"/>
  <c r="F522" i="1"/>
  <c r="E522" i="1"/>
  <c r="D522" i="1"/>
  <c r="C522" i="1"/>
  <c r="B522" i="1"/>
  <c r="A522" i="1"/>
  <c r="F521" i="1"/>
  <c r="E521" i="1"/>
  <c r="D521" i="1"/>
  <c r="C521" i="1"/>
  <c r="B521" i="1"/>
  <c r="A521" i="1"/>
  <c r="F520" i="1"/>
  <c r="E520" i="1"/>
  <c r="D520" i="1"/>
  <c r="C520" i="1"/>
  <c r="B520" i="1"/>
  <c r="A520" i="1"/>
  <c r="F519" i="1"/>
  <c r="E519" i="1"/>
  <c r="D519" i="1"/>
  <c r="C519" i="1"/>
  <c r="B519" i="1"/>
  <c r="A519" i="1"/>
  <c r="F518" i="1"/>
  <c r="E518" i="1"/>
  <c r="D518" i="1"/>
  <c r="C518" i="1"/>
  <c r="B518" i="1"/>
  <c r="A518" i="1"/>
  <c r="F517" i="1"/>
  <c r="E517" i="1"/>
  <c r="D517" i="1"/>
  <c r="C517" i="1"/>
  <c r="B517" i="1"/>
  <c r="A517" i="1"/>
  <c r="F516" i="1"/>
  <c r="E516" i="1"/>
  <c r="D516" i="1"/>
  <c r="C516" i="1"/>
  <c r="B516" i="1"/>
  <c r="A516" i="1"/>
  <c r="F515" i="1"/>
  <c r="E515" i="1"/>
  <c r="D515" i="1"/>
  <c r="C515" i="1"/>
  <c r="B515" i="1"/>
  <c r="A515" i="1"/>
  <c r="F514" i="1"/>
  <c r="E514" i="1"/>
  <c r="D514" i="1"/>
  <c r="C514" i="1"/>
  <c r="B514" i="1"/>
  <c r="A514" i="1"/>
  <c r="F513" i="1"/>
  <c r="E513" i="1"/>
  <c r="D513" i="1"/>
  <c r="C513" i="1"/>
  <c r="B513" i="1"/>
  <c r="A513" i="1"/>
  <c r="F512" i="1"/>
  <c r="E512" i="1"/>
  <c r="D512" i="1"/>
  <c r="C512" i="1"/>
  <c r="B512" i="1"/>
  <c r="A512" i="1"/>
  <c r="F511" i="1"/>
  <c r="E511" i="1"/>
  <c r="D511" i="1"/>
  <c r="C511" i="1"/>
  <c r="B511" i="1"/>
  <c r="A511" i="1"/>
  <c r="F510" i="1"/>
  <c r="E510" i="1"/>
  <c r="D510" i="1"/>
  <c r="C510" i="1"/>
  <c r="B510" i="1"/>
  <c r="A510" i="1"/>
  <c r="F509" i="1"/>
  <c r="E509" i="1"/>
  <c r="D509" i="1"/>
  <c r="C509" i="1"/>
  <c r="B509" i="1"/>
  <c r="A509" i="1"/>
  <c r="F508" i="1"/>
  <c r="E508" i="1"/>
  <c r="D508" i="1"/>
  <c r="C508" i="1"/>
  <c r="B508" i="1"/>
  <c r="A508" i="1"/>
  <c r="F507" i="1"/>
  <c r="E507" i="1"/>
  <c r="D507" i="1"/>
  <c r="C507" i="1"/>
  <c r="B507" i="1"/>
  <c r="A507" i="1"/>
  <c r="F506" i="1"/>
  <c r="E506" i="1"/>
  <c r="D506" i="1"/>
  <c r="C506" i="1"/>
  <c r="B506" i="1"/>
  <c r="A506" i="1"/>
  <c r="F505" i="1"/>
  <c r="E505" i="1"/>
  <c r="D505" i="1"/>
  <c r="C505" i="1"/>
  <c r="B505" i="1"/>
  <c r="A505" i="1"/>
  <c r="F504" i="1"/>
  <c r="E504" i="1"/>
  <c r="D504" i="1"/>
  <c r="C504" i="1"/>
  <c r="B504" i="1"/>
  <c r="A504" i="1"/>
  <c r="F503" i="1"/>
  <c r="E503" i="1"/>
  <c r="D503" i="1"/>
  <c r="C503" i="1"/>
  <c r="B503" i="1"/>
  <c r="A503" i="1"/>
  <c r="F502" i="1"/>
  <c r="E502" i="1"/>
  <c r="D502" i="1"/>
  <c r="C502" i="1"/>
  <c r="B502" i="1"/>
  <c r="A502" i="1"/>
  <c r="F501" i="1"/>
  <c r="E501" i="1"/>
  <c r="D501" i="1"/>
  <c r="C501" i="1"/>
  <c r="B501" i="1"/>
  <c r="A501" i="1"/>
  <c r="F500" i="1"/>
  <c r="E500" i="1"/>
  <c r="D500" i="1"/>
  <c r="C500" i="1"/>
  <c r="B500" i="1"/>
  <c r="A500" i="1"/>
  <c r="F499" i="1"/>
  <c r="E499" i="1"/>
  <c r="D499" i="1"/>
  <c r="C499" i="1"/>
  <c r="B499" i="1"/>
  <c r="A499" i="1"/>
  <c r="F498" i="1"/>
  <c r="E498" i="1"/>
  <c r="D498" i="1"/>
  <c r="C498" i="1"/>
  <c r="B498" i="1"/>
  <c r="A498" i="1"/>
  <c r="F497" i="1"/>
  <c r="E497" i="1"/>
  <c r="D497" i="1"/>
  <c r="C497" i="1"/>
  <c r="B497" i="1"/>
  <c r="A497" i="1"/>
  <c r="F496" i="1"/>
  <c r="E496" i="1"/>
  <c r="D496" i="1"/>
  <c r="C496" i="1"/>
  <c r="B496" i="1"/>
  <c r="A496" i="1"/>
  <c r="F495" i="1"/>
  <c r="E495" i="1"/>
  <c r="D495" i="1"/>
  <c r="C495" i="1"/>
  <c r="B495" i="1"/>
  <c r="A495" i="1"/>
  <c r="F494" i="1"/>
  <c r="E494" i="1"/>
  <c r="D494" i="1"/>
  <c r="C494" i="1"/>
  <c r="B494" i="1"/>
  <c r="A494" i="1"/>
  <c r="F493" i="1"/>
  <c r="E493" i="1"/>
  <c r="D493" i="1"/>
  <c r="C493" i="1"/>
  <c r="B493" i="1"/>
  <c r="A493" i="1"/>
  <c r="F492" i="1"/>
  <c r="E492" i="1"/>
  <c r="D492" i="1"/>
  <c r="C492" i="1"/>
  <c r="B492" i="1"/>
  <c r="A492" i="1"/>
  <c r="F491" i="1"/>
  <c r="E491" i="1"/>
  <c r="D491" i="1"/>
  <c r="C491" i="1"/>
  <c r="B491" i="1"/>
  <c r="A491" i="1"/>
  <c r="F490" i="1"/>
  <c r="E490" i="1"/>
  <c r="D490" i="1"/>
  <c r="C490" i="1"/>
  <c r="B490" i="1"/>
  <c r="A490" i="1"/>
  <c r="F489" i="1"/>
  <c r="E489" i="1"/>
  <c r="D489" i="1"/>
  <c r="C489" i="1"/>
  <c r="B489" i="1"/>
  <c r="A489" i="1"/>
  <c r="F488" i="1"/>
  <c r="E488" i="1"/>
  <c r="D488" i="1"/>
  <c r="C488" i="1"/>
  <c r="B488" i="1"/>
  <c r="A488" i="1"/>
  <c r="F487" i="1"/>
  <c r="E487" i="1"/>
  <c r="D487" i="1"/>
  <c r="C487" i="1"/>
  <c r="B487" i="1"/>
  <c r="A487" i="1"/>
  <c r="F486" i="1"/>
  <c r="E486" i="1"/>
  <c r="D486" i="1"/>
  <c r="C486" i="1"/>
  <c r="B486" i="1"/>
  <c r="A486" i="1"/>
  <c r="F485" i="1"/>
  <c r="E485" i="1"/>
  <c r="D485" i="1"/>
  <c r="C485" i="1"/>
  <c r="B485" i="1"/>
  <c r="A485" i="1"/>
  <c r="F484" i="1"/>
  <c r="E484" i="1"/>
  <c r="D484" i="1"/>
  <c r="C484" i="1"/>
  <c r="B484" i="1"/>
  <c r="A484" i="1"/>
  <c r="F483" i="1"/>
  <c r="E483" i="1"/>
  <c r="D483" i="1"/>
  <c r="C483" i="1"/>
  <c r="B483" i="1"/>
  <c r="A483" i="1"/>
  <c r="F482" i="1"/>
  <c r="E482" i="1"/>
  <c r="D482" i="1"/>
  <c r="C482" i="1"/>
  <c r="B482" i="1"/>
  <c r="A482" i="1"/>
  <c r="F481" i="1"/>
  <c r="E481" i="1"/>
  <c r="D481" i="1"/>
  <c r="C481" i="1"/>
  <c r="B481" i="1"/>
  <c r="A481" i="1"/>
  <c r="F480" i="1"/>
  <c r="E480" i="1"/>
  <c r="D480" i="1"/>
  <c r="C480" i="1"/>
  <c r="B480" i="1"/>
  <c r="A480" i="1"/>
  <c r="F479" i="1"/>
  <c r="E479" i="1"/>
  <c r="D479" i="1"/>
  <c r="C479" i="1"/>
  <c r="B479" i="1"/>
  <c r="A479" i="1"/>
  <c r="F478" i="1"/>
  <c r="E478" i="1"/>
  <c r="D478" i="1"/>
  <c r="C478" i="1"/>
  <c r="B478" i="1"/>
  <c r="A478" i="1"/>
  <c r="F477" i="1"/>
  <c r="E477" i="1"/>
  <c r="D477" i="1"/>
  <c r="C477" i="1"/>
  <c r="B477" i="1"/>
  <c r="A477" i="1"/>
  <c r="F476" i="1"/>
  <c r="E476" i="1"/>
  <c r="D476" i="1"/>
  <c r="C476" i="1"/>
  <c r="B476" i="1"/>
  <c r="A476" i="1"/>
  <c r="F475" i="1"/>
  <c r="E475" i="1"/>
  <c r="D475" i="1"/>
  <c r="C475" i="1"/>
  <c r="B475" i="1"/>
  <c r="A475" i="1"/>
  <c r="F474" i="1"/>
  <c r="E474" i="1"/>
  <c r="D474" i="1"/>
  <c r="C474" i="1"/>
  <c r="B474" i="1"/>
  <c r="A474" i="1"/>
  <c r="F473" i="1"/>
  <c r="E473" i="1"/>
  <c r="D473" i="1"/>
  <c r="C473" i="1"/>
  <c r="B473" i="1"/>
  <c r="A473" i="1"/>
  <c r="F472" i="1"/>
  <c r="E472" i="1"/>
  <c r="D472" i="1"/>
  <c r="C472" i="1"/>
  <c r="B472" i="1"/>
  <c r="A472" i="1"/>
  <c r="F471" i="1"/>
  <c r="E471" i="1"/>
  <c r="D471" i="1"/>
  <c r="C471" i="1"/>
  <c r="B471" i="1"/>
  <c r="A471" i="1"/>
  <c r="F470" i="1"/>
  <c r="E470" i="1"/>
  <c r="D470" i="1"/>
  <c r="C470" i="1"/>
  <c r="B470" i="1"/>
  <c r="A470" i="1"/>
  <c r="F469" i="1"/>
  <c r="E469" i="1"/>
  <c r="D469" i="1"/>
  <c r="C469" i="1"/>
  <c r="B469" i="1"/>
  <c r="A469" i="1"/>
  <c r="F468" i="1"/>
  <c r="E468" i="1"/>
  <c r="D468" i="1"/>
  <c r="C468" i="1"/>
  <c r="B468" i="1"/>
  <c r="A468" i="1"/>
  <c r="F467" i="1"/>
  <c r="E467" i="1"/>
  <c r="D467" i="1"/>
  <c r="C467" i="1"/>
  <c r="B467" i="1"/>
  <c r="A467" i="1"/>
  <c r="F466" i="1"/>
  <c r="E466" i="1"/>
  <c r="D466" i="1"/>
  <c r="C466" i="1"/>
  <c r="B466" i="1"/>
  <c r="A466" i="1"/>
  <c r="F465" i="1"/>
  <c r="E465" i="1"/>
  <c r="D465" i="1"/>
  <c r="C465" i="1"/>
  <c r="B465" i="1"/>
  <c r="A465" i="1"/>
  <c r="F464" i="1"/>
  <c r="E464" i="1"/>
  <c r="D464" i="1"/>
  <c r="C464" i="1"/>
  <c r="B464" i="1"/>
  <c r="A464" i="1"/>
  <c r="F463" i="1"/>
  <c r="E463" i="1"/>
  <c r="D463" i="1"/>
  <c r="C463" i="1"/>
  <c r="B463" i="1"/>
  <c r="A463" i="1"/>
  <c r="F462" i="1"/>
  <c r="E462" i="1"/>
  <c r="D462" i="1"/>
  <c r="C462" i="1"/>
  <c r="B462" i="1"/>
  <c r="A462" i="1"/>
  <c r="F461" i="1"/>
  <c r="E461" i="1"/>
  <c r="D461" i="1"/>
  <c r="C461" i="1"/>
  <c r="B461" i="1"/>
  <c r="A461" i="1"/>
  <c r="F460" i="1"/>
  <c r="E460" i="1"/>
  <c r="D460" i="1"/>
  <c r="C460" i="1"/>
  <c r="B460" i="1"/>
  <c r="A460" i="1"/>
  <c r="F459" i="1"/>
  <c r="E459" i="1"/>
  <c r="D459" i="1"/>
  <c r="C459" i="1"/>
  <c r="B459" i="1"/>
  <c r="A459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F456" i="1"/>
  <c r="E456" i="1"/>
  <c r="D456" i="1"/>
  <c r="C456" i="1"/>
  <c r="B456" i="1"/>
  <c r="A456" i="1"/>
  <c r="F455" i="1"/>
  <c r="E455" i="1"/>
  <c r="D455" i="1"/>
  <c r="C455" i="1"/>
  <c r="B455" i="1"/>
  <c r="A455" i="1"/>
  <c r="F454" i="1"/>
  <c r="E454" i="1"/>
  <c r="D454" i="1"/>
  <c r="C454" i="1"/>
  <c r="B454" i="1"/>
  <c r="A454" i="1"/>
  <c r="F453" i="1"/>
  <c r="E453" i="1"/>
  <c r="D453" i="1"/>
  <c r="C453" i="1"/>
  <c r="B453" i="1"/>
  <c r="A453" i="1"/>
  <c r="F452" i="1"/>
  <c r="E452" i="1"/>
  <c r="D452" i="1"/>
  <c r="C452" i="1"/>
  <c r="B452" i="1"/>
  <c r="A452" i="1"/>
  <c r="F451" i="1"/>
  <c r="E451" i="1"/>
  <c r="D451" i="1"/>
  <c r="C451" i="1"/>
  <c r="B451" i="1"/>
  <c r="A451" i="1"/>
  <c r="F450" i="1"/>
  <c r="E450" i="1"/>
  <c r="D450" i="1"/>
  <c r="C450" i="1"/>
  <c r="B450" i="1"/>
  <c r="A450" i="1"/>
  <c r="F449" i="1"/>
  <c r="E449" i="1"/>
  <c r="D449" i="1"/>
  <c r="C449" i="1"/>
  <c r="B449" i="1"/>
  <c r="A449" i="1"/>
  <c r="F448" i="1"/>
  <c r="E448" i="1"/>
  <c r="D448" i="1"/>
  <c r="C448" i="1"/>
  <c r="B448" i="1"/>
  <c r="A448" i="1"/>
  <c r="F447" i="1"/>
  <c r="E447" i="1"/>
  <c r="D447" i="1"/>
  <c r="C447" i="1"/>
  <c r="B447" i="1"/>
  <c r="A447" i="1"/>
  <c r="F446" i="1"/>
  <c r="E446" i="1"/>
  <c r="D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F431" i="1"/>
  <c r="E431" i="1"/>
  <c r="D431" i="1"/>
  <c r="C431" i="1"/>
  <c r="B431" i="1"/>
  <c r="A431" i="1"/>
  <c r="F430" i="1"/>
  <c r="E430" i="1"/>
  <c r="D430" i="1"/>
  <c r="C430" i="1"/>
  <c r="B430" i="1"/>
  <c r="A430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E427" i="1"/>
  <c r="D427" i="1"/>
  <c r="C427" i="1"/>
  <c r="B427" i="1"/>
  <c r="A427" i="1"/>
  <c r="F426" i="1"/>
  <c r="E426" i="1"/>
  <c r="D426" i="1"/>
  <c r="C426" i="1"/>
  <c r="B426" i="1"/>
  <c r="A426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E409" i="1"/>
  <c r="D409" i="1"/>
  <c r="C409" i="1"/>
  <c r="B409" i="1"/>
  <c r="A409" i="1"/>
  <c r="F408" i="1"/>
  <c r="E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F398" i="1"/>
  <c r="E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F392" i="1"/>
  <c r="E392" i="1"/>
  <c r="D392" i="1"/>
  <c r="C392" i="1"/>
  <c r="B392" i="1"/>
  <c r="A392" i="1"/>
  <c r="F391" i="1"/>
  <c r="E391" i="1"/>
  <c r="D391" i="1"/>
  <c r="C391" i="1"/>
  <c r="B391" i="1"/>
  <c r="A391" i="1"/>
  <c r="F390" i="1"/>
  <c r="E390" i="1"/>
  <c r="D390" i="1"/>
  <c r="C390" i="1"/>
  <c r="B390" i="1"/>
  <c r="A390" i="1"/>
  <c r="F389" i="1"/>
  <c r="E389" i="1"/>
  <c r="D389" i="1"/>
  <c r="C389" i="1"/>
  <c r="B389" i="1"/>
  <c r="A389" i="1"/>
  <c r="F388" i="1"/>
  <c r="E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F384" i="1"/>
  <c r="E384" i="1"/>
  <c r="D384" i="1"/>
  <c r="C384" i="1"/>
  <c r="B384" i="1"/>
  <c r="A384" i="1"/>
  <c r="F383" i="1"/>
  <c r="E383" i="1"/>
  <c r="D383" i="1"/>
  <c r="C383" i="1"/>
  <c r="B383" i="1"/>
  <c r="A383" i="1"/>
  <c r="F382" i="1"/>
  <c r="E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F378" i="1"/>
  <c r="E378" i="1"/>
  <c r="D378" i="1"/>
  <c r="C378" i="1"/>
  <c r="B378" i="1"/>
  <c r="A378" i="1"/>
  <c r="F377" i="1"/>
  <c r="E377" i="1"/>
  <c r="D377" i="1"/>
  <c r="C377" i="1"/>
  <c r="B377" i="1"/>
  <c r="A377" i="1"/>
  <c r="F376" i="1"/>
  <c r="E376" i="1"/>
  <c r="D376" i="1"/>
  <c r="C376" i="1"/>
  <c r="B376" i="1"/>
  <c r="A376" i="1"/>
  <c r="F375" i="1"/>
  <c r="E375" i="1"/>
  <c r="D375" i="1"/>
  <c r="C375" i="1"/>
  <c r="B375" i="1"/>
  <c r="A375" i="1"/>
  <c r="F374" i="1"/>
  <c r="E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E369" i="1"/>
  <c r="D369" i="1"/>
  <c r="C369" i="1"/>
  <c r="B369" i="1"/>
  <c r="A369" i="1"/>
  <c r="F368" i="1"/>
  <c r="E368" i="1"/>
  <c r="D368" i="1"/>
  <c r="C368" i="1"/>
  <c r="B368" i="1"/>
  <c r="A368" i="1"/>
  <c r="F367" i="1"/>
  <c r="E367" i="1"/>
  <c r="D367" i="1"/>
  <c r="C367" i="1"/>
  <c r="B367" i="1"/>
  <c r="A367" i="1"/>
  <c r="F366" i="1"/>
  <c r="E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F355" i="1"/>
  <c r="E355" i="1"/>
  <c r="D355" i="1"/>
  <c r="C355" i="1"/>
  <c r="B355" i="1"/>
  <c r="A355" i="1"/>
  <c r="F354" i="1"/>
  <c r="E354" i="1"/>
  <c r="D354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D332" i="1"/>
  <c r="C332" i="1"/>
  <c r="B332" i="1"/>
  <c r="A332" i="1"/>
  <c r="F331" i="1"/>
  <c r="E331" i="1"/>
  <c r="D331" i="1"/>
  <c r="C331" i="1"/>
  <c r="B331" i="1"/>
  <c r="A331" i="1"/>
  <c r="F330" i="1"/>
  <c r="E330" i="1"/>
  <c r="D330" i="1"/>
  <c r="C330" i="1"/>
  <c r="B330" i="1"/>
  <c r="A330" i="1"/>
  <c r="F329" i="1"/>
  <c r="E329" i="1"/>
  <c r="D329" i="1"/>
  <c r="C329" i="1"/>
  <c r="B329" i="1"/>
  <c r="A329" i="1"/>
  <c r="F328" i="1"/>
  <c r="E328" i="1"/>
  <c r="D328" i="1"/>
  <c r="C328" i="1"/>
  <c r="B328" i="1"/>
  <c r="A328" i="1"/>
  <c r="F327" i="1"/>
  <c r="E327" i="1"/>
  <c r="D327" i="1"/>
  <c r="C327" i="1"/>
  <c r="B327" i="1"/>
  <c r="A327" i="1"/>
  <c r="F326" i="1"/>
  <c r="E326" i="1"/>
  <c r="D326" i="1"/>
  <c r="C326" i="1"/>
  <c r="B326" i="1"/>
  <c r="A326" i="1"/>
  <c r="F325" i="1"/>
  <c r="E325" i="1"/>
  <c r="D325" i="1"/>
  <c r="C325" i="1"/>
  <c r="B325" i="1"/>
  <c r="A325" i="1"/>
  <c r="F324" i="1"/>
  <c r="E324" i="1"/>
  <c r="D324" i="1"/>
  <c r="C324" i="1"/>
  <c r="B324" i="1"/>
  <c r="A324" i="1"/>
  <c r="F323" i="1"/>
  <c r="E323" i="1"/>
  <c r="D323" i="1"/>
  <c r="C323" i="1"/>
  <c r="B323" i="1"/>
  <c r="A323" i="1"/>
  <c r="F322" i="1"/>
  <c r="E322" i="1"/>
  <c r="D322" i="1"/>
  <c r="C322" i="1"/>
  <c r="B322" i="1"/>
  <c r="A322" i="1"/>
  <c r="F321" i="1"/>
  <c r="E321" i="1"/>
  <c r="D321" i="1"/>
  <c r="C321" i="1"/>
  <c r="B321" i="1"/>
  <c r="A321" i="1"/>
  <c r="F320" i="1"/>
  <c r="E320" i="1"/>
  <c r="D320" i="1"/>
  <c r="C320" i="1"/>
  <c r="B320" i="1"/>
  <c r="A320" i="1"/>
  <c r="F319" i="1"/>
  <c r="E319" i="1"/>
  <c r="D319" i="1"/>
  <c r="C319" i="1"/>
  <c r="B319" i="1"/>
  <c r="A319" i="1"/>
  <c r="F318" i="1"/>
  <c r="E318" i="1"/>
  <c r="D318" i="1"/>
  <c r="C318" i="1"/>
  <c r="B318" i="1"/>
  <c r="A318" i="1"/>
  <c r="F317" i="1"/>
  <c r="E317" i="1"/>
  <c r="D317" i="1"/>
  <c r="C317" i="1"/>
  <c r="B317" i="1"/>
  <c r="A317" i="1"/>
  <c r="F316" i="1"/>
  <c r="E316" i="1"/>
  <c r="D316" i="1"/>
  <c r="C316" i="1"/>
  <c r="B316" i="1"/>
  <c r="A316" i="1"/>
  <c r="F315" i="1"/>
  <c r="E315" i="1"/>
  <c r="D315" i="1"/>
  <c r="C315" i="1"/>
  <c r="B315" i="1"/>
  <c r="A315" i="1"/>
  <c r="F314" i="1"/>
  <c r="E314" i="1"/>
  <c r="D314" i="1"/>
  <c r="C314" i="1"/>
  <c r="B314" i="1"/>
  <c r="A314" i="1"/>
  <c r="F313" i="1"/>
  <c r="E313" i="1"/>
  <c r="D313" i="1"/>
  <c r="C313" i="1"/>
  <c r="B313" i="1"/>
  <c r="A313" i="1"/>
  <c r="F312" i="1"/>
  <c r="E312" i="1"/>
  <c r="D312" i="1"/>
  <c r="C312" i="1"/>
  <c r="B312" i="1"/>
  <c r="A312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F309" i="1"/>
  <c r="E309" i="1"/>
  <c r="D309" i="1"/>
  <c r="C309" i="1"/>
  <c r="B309" i="1"/>
  <c r="A309" i="1"/>
  <c r="F308" i="1"/>
  <c r="E308" i="1"/>
  <c r="D308" i="1"/>
  <c r="C308" i="1"/>
  <c r="B308" i="1"/>
  <c r="A308" i="1"/>
  <c r="F307" i="1"/>
  <c r="E307" i="1"/>
  <c r="D307" i="1"/>
  <c r="C307" i="1"/>
  <c r="B307" i="1"/>
  <c r="A307" i="1"/>
  <c r="F306" i="1"/>
  <c r="E306" i="1"/>
  <c r="D306" i="1"/>
  <c r="C306" i="1"/>
  <c r="B306" i="1"/>
  <c r="A306" i="1"/>
  <c r="F305" i="1"/>
  <c r="E305" i="1"/>
  <c r="D305" i="1"/>
  <c r="C305" i="1"/>
  <c r="B305" i="1"/>
  <c r="A305" i="1"/>
  <c r="F304" i="1"/>
  <c r="E304" i="1"/>
  <c r="D304" i="1"/>
  <c r="C304" i="1"/>
  <c r="B304" i="1"/>
  <c r="A304" i="1"/>
  <c r="F303" i="1"/>
  <c r="E303" i="1"/>
  <c r="D303" i="1"/>
  <c r="C303" i="1"/>
  <c r="B303" i="1"/>
  <c r="A303" i="1"/>
  <c r="F302" i="1"/>
  <c r="E302" i="1"/>
  <c r="D302" i="1"/>
  <c r="C302" i="1"/>
  <c r="B302" i="1"/>
  <c r="A302" i="1"/>
  <c r="F301" i="1"/>
  <c r="E301" i="1"/>
  <c r="D301" i="1"/>
  <c r="C301" i="1"/>
  <c r="B301" i="1"/>
  <c r="A301" i="1"/>
  <c r="F300" i="1"/>
  <c r="E300" i="1"/>
  <c r="D300" i="1"/>
  <c r="C300" i="1"/>
  <c r="B300" i="1"/>
  <c r="A300" i="1"/>
  <c r="F299" i="1"/>
  <c r="E299" i="1"/>
  <c r="D299" i="1"/>
  <c r="C299" i="1"/>
  <c r="B299" i="1"/>
  <c r="A299" i="1"/>
  <c r="F298" i="1"/>
  <c r="E298" i="1"/>
  <c r="D298" i="1"/>
  <c r="C298" i="1"/>
  <c r="B298" i="1"/>
  <c r="A298" i="1"/>
  <c r="F297" i="1"/>
  <c r="E297" i="1"/>
  <c r="D297" i="1"/>
  <c r="C297" i="1"/>
  <c r="B297" i="1"/>
  <c r="A297" i="1"/>
  <c r="F296" i="1"/>
  <c r="E296" i="1"/>
  <c r="D296" i="1"/>
  <c r="C296" i="1"/>
  <c r="B296" i="1"/>
  <c r="A296" i="1"/>
  <c r="F295" i="1"/>
  <c r="E295" i="1"/>
  <c r="D295" i="1"/>
  <c r="C295" i="1"/>
  <c r="B295" i="1"/>
  <c r="A295" i="1"/>
  <c r="F294" i="1"/>
  <c r="E294" i="1"/>
  <c r="D294" i="1"/>
  <c r="C294" i="1"/>
  <c r="B294" i="1"/>
  <c r="A294" i="1"/>
  <c r="F293" i="1"/>
  <c r="E293" i="1"/>
  <c r="D293" i="1"/>
  <c r="C293" i="1"/>
  <c r="B293" i="1"/>
  <c r="A293" i="1"/>
  <c r="F292" i="1"/>
  <c r="E292" i="1"/>
  <c r="D292" i="1"/>
  <c r="C292" i="1"/>
  <c r="B292" i="1"/>
  <c r="A292" i="1"/>
  <c r="F291" i="1"/>
  <c r="E291" i="1"/>
  <c r="D291" i="1"/>
  <c r="C291" i="1"/>
  <c r="B291" i="1"/>
  <c r="A291" i="1"/>
  <c r="F290" i="1"/>
  <c r="E290" i="1"/>
  <c r="D290" i="1"/>
  <c r="C290" i="1"/>
  <c r="B290" i="1"/>
  <c r="A290" i="1"/>
  <c r="F289" i="1"/>
  <c r="E289" i="1"/>
  <c r="D289" i="1"/>
  <c r="C289" i="1"/>
  <c r="B289" i="1"/>
  <c r="A289" i="1"/>
  <c r="F288" i="1"/>
  <c r="E288" i="1"/>
  <c r="D288" i="1"/>
  <c r="C288" i="1"/>
  <c r="B288" i="1"/>
  <c r="A288" i="1"/>
  <c r="F287" i="1"/>
  <c r="E287" i="1"/>
  <c r="D287" i="1"/>
  <c r="C287" i="1"/>
  <c r="B287" i="1"/>
  <c r="A287" i="1"/>
  <c r="F286" i="1"/>
  <c r="E286" i="1"/>
  <c r="D286" i="1"/>
  <c r="C286" i="1"/>
  <c r="B286" i="1"/>
  <c r="A286" i="1"/>
  <c r="F285" i="1"/>
  <c r="E285" i="1"/>
  <c r="D285" i="1"/>
  <c r="C285" i="1"/>
  <c r="B285" i="1"/>
  <c r="A285" i="1"/>
  <c r="F284" i="1"/>
  <c r="E284" i="1"/>
  <c r="D284" i="1"/>
  <c r="C284" i="1"/>
  <c r="B284" i="1"/>
  <c r="A284" i="1"/>
  <c r="F283" i="1"/>
  <c r="E283" i="1"/>
  <c r="D283" i="1"/>
  <c r="C283" i="1"/>
  <c r="B283" i="1"/>
  <c r="A283" i="1"/>
  <c r="F282" i="1"/>
  <c r="E282" i="1"/>
  <c r="D282" i="1"/>
  <c r="C282" i="1"/>
  <c r="B282" i="1"/>
  <c r="A282" i="1"/>
  <c r="F281" i="1"/>
  <c r="E281" i="1"/>
  <c r="D281" i="1"/>
  <c r="C281" i="1"/>
  <c r="B281" i="1"/>
  <c r="A281" i="1"/>
  <c r="F280" i="1"/>
  <c r="E280" i="1"/>
  <c r="D280" i="1"/>
  <c r="C280" i="1"/>
  <c r="B280" i="1"/>
  <c r="A280" i="1"/>
  <c r="F279" i="1"/>
  <c r="E279" i="1"/>
  <c r="D279" i="1"/>
  <c r="C279" i="1"/>
  <c r="B279" i="1"/>
  <c r="A279" i="1"/>
  <c r="F278" i="1"/>
  <c r="E278" i="1"/>
  <c r="D278" i="1"/>
  <c r="C278" i="1"/>
  <c r="B278" i="1"/>
  <c r="A278" i="1"/>
  <c r="F277" i="1"/>
  <c r="E277" i="1"/>
  <c r="D277" i="1"/>
  <c r="C277" i="1"/>
  <c r="B277" i="1"/>
  <c r="A277" i="1"/>
  <c r="F276" i="1"/>
  <c r="E276" i="1"/>
  <c r="D276" i="1"/>
  <c r="C276" i="1"/>
  <c r="B276" i="1"/>
  <c r="A276" i="1"/>
  <c r="F275" i="1"/>
  <c r="E275" i="1"/>
  <c r="D275" i="1"/>
  <c r="C275" i="1"/>
  <c r="B275" i="1"/>
  <c r="A275" i="1"/>
  <c r="F274" i="1"/>
  <c r="E274" i="1"/>
  <c r="D274" i="1"/>
  <c r="C274" i="1"/>
  <c r="B274" i="1"/>
  <c r="A274" i="1"/>
  <c r="F273" i="1"/>
  <c r="E273" i="1"/>
  <c r="D273" i="1"/>
  <c r="C273" i="1"/>
  <c r="B273" i="1"/>
  <c r="A273" i="1"/>
  <c r="F272" i="1"/>
  <c r="E272" i="1"/>
  <c r="D272" i="1"/>
  <c r="C272" i="1"/>
  <c r="B272" i="1"/>
  <c r="A272" i="1"/>
  <c r="F271" i="1"/>
  <c r="E271" i="1"/>
  <c r="D271" i="1"/>
  <c r="C271" i="1"/>
  <c r="B271" i="1"/>
  <c r="A271" i="1"/>
  <c r="F270" i="1"/>
  <c r="E270" i="1"/>
  <c r="D270" i="1"/>
  <c r="C270" i="1"/>
  <c r="B270" i="1"/>
  <c r="A270" i="1"/>
  <c r="F269" i="1"/>
  <c r="E269" i="1"/>
  <c r="D269" i="1"/>
  <c r="C269" i="1"/>
  <c r="B269" i="1"/>
  <c r="A269" i="1"/>
  <c r="F268" i="1"/>
  <c r="E268" i="1"/>
  <c r="D268" i="1"/>
  <c r="C268" i="1"/>
  <c r="B268" i="1"/>
  <c r="A268" i="1"/>
  <c r="F267" i="1"/>
  <c r="E267" i="1"/>
  <c r="D267" i="1"/>
  <c r="C267" i="1"/>
  <c r="B267" i="1"/>
  <c r="A267" i="1"/>
  <c r="F266" i="1"/>
  <c r="E266" i="1"/>
  <c r="D266" i="1"/>
  <c r="C266" i="1"/>
  <c r="B266" i="1"/>
  <c r="A266" i="1"/>
  <c r="F265" i="1"/>
  <c r="E265" i="1"/>
  <c r="D265" i="1"/>
  <c r="C265" i="1"/>
  <c r="B265" i="1"/>
  <c r="A265" i="1"/>
  <c r="F264" i="1"/>
  <c r="E264" i="1"/>
  <c r="D264" i="1"/>
  <c r="C264" i="1"/>
  <c r="B264" i="1"/>
  <c r="A264" i="1"/>
  <c r="F263" i="1"/>
  <c r="E263" i="1"/>
  <c r="D263" i="1"/>
  <c r="C263" i="1"/>
  <c r="B263" i="1"/>
  <c r="A263" i="1"/>
  <c r="F262" i="1"/>
  <c r="E262" i="1"/>
  <c r="D262" i="1"/>
  <c r="C262" i="1"/>
  <c r="B262" i="1"/>
  <c r="A262" i="1"/>
  <c r="F261" i="1"/>
  <c r="E261" i="1"/>
  <c r="D261" i="1"/>
  <c r="C261" i="1"/>
  <c r="B261" i="1"/>
  <c r="A261" i="1"/>
  <c r="F260" i="1"/>
  <c r="E260" i="1"/>
  <c r="D260" i="1"/>
  <c r="C260" i="1"/>
  <c r="B260" i="1"/>
  <c r="A260" i="1"/>
  <c r="F259" i="1"/>
  <c r="E259" i="1"/>
  <c r="D259" i="1"/>
  <c r="C259" i="1"/>
  <c r="B259" i="1"/>
  <c r="A259" i="1"/>
  <c r="F258" i="1"/>
  <c r="E258" i="1"/>
  <c r="D258" i="1"/>
  <c r="C258" i="1"/>
  <c r="B258" i="1"/>
  <c r="A258" i="1"/>
  <c r="F257" i="1"/>
  <c r="E257" i="1"/>
  <c r="D257" i="1"/>
  <c r="C257" i="1"/>
  <c r="B257" i="1"/>
  <c r="A257" i="1"/>
  <c r="F256" i="1"/>
  <c r="E256" i="1"/>
  <c r="D256" i="1"/>
  <c r="C256" i="1"/>
  <c r="B256" i="1"/>
  <c r="A256" i="1"/>
  <c r="F255" i="1"/>
  <c r="E255" i="1"/>
  <c r="D255" i="1"/>
  <c r="C255" i="1"/>
  <c r="B255" i="1"/>
  <c r="A255" i="1"/>
  <c r="F254" i="1"/>
  <c r="E254" i="1"/>
  <c r="D254" i="1"/>
  <c r="C254" i="1"/>
  <c r="B254" i="1"/>
  <c r="A254" i="1"/>
  <c r="F253" i="1"/>
  <c r="E253" i="1"/>
  <c r="D253" i="1"/>
  <c r="C253" i="1"/>
  <c r="B253" i="1"/>
  <c r="A253" i="1"/>
  <c r="F252" i="1"/>
  <c r="E252" i="1"/>
  <c r="D252" i="1"/>
  <c r="C252" i="1"/>
  <c r="B252" i="1"/>
  <c r="A252" i="1"/>
  <c r="F251" i="1"/>
  <c r="E251" i="1"/>
  <c r="D251" i="1"/>
  <c r="C251" i="1"/>
  <c r="B251" i="1"/>
  <c r="A251" i="1"/>
  <c r="F250" i="1"/>
  <c r="E250" i="1"/>
  <c r="D250" i="1"/>
  <c r="C250" i="1"/>
  <c r="B250" i="1"/>
  <c r="A250" i="1"/>
  <c r="F249" i="1"/>
  <c r="E249" i="1"/>
  <c r="D249" i="1"/>
  <c r="C249" i="1"/>
  <c r="B249" i="1"/>
  <c r="A249" i="1"/>
  <c r="F248" i="1"/>
  <c r="E248" i="1"/>
  <c r="D248" i="1"/>
  <c r="C248" i="1"/>
  <c r="B248" i="1"/>
  <c r="A248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F245" i="1"/>
  <c r="E245" i="1"/>
  <c r="D245" i="1"/>
  <c r="C245" i="1"/>
  <c r="B245" i="1"/>
  <c r="A245" i="1"/>
  <c r="F244" i="1"/>
  <c r="E244" i="1"/>
  <c r="D244" i="1"/>
  <c r="C244" i="1"/>
  <c r="B244" i="1"/>
  <c r="A244" i="1"/>
  <c r="F243" i="1"/>
  <c r="E243" i="1"/>
  <c r="D243" i="1"/>
  <c r="C243" i="1"/>
  <c r="B243" i="1"/>
  <c r="A243" i="1"/>
  <c r="F242" i="1"/>
  <c r="E242" i="1"/>
  <c r="D242" i="1"/>
  <c r="C242" i="1"/>
  <c r="B242" i="1"/>
  <c r="A242" i="1"/>
  <c r="F241" i="1"/>
  <c r="E241" i="1"/>
  <c r="D241" i="1"/>
  <c r="C241" i="1"/>
  <c r="B241" i="1"/>
  <c r="A241" i="1"/>
  <c r="F240" i="1"/>
  <c r="E240" i="1"/>
  <c r="D240" i="1"/>
  <c r="C240" i="1"/>
  <c r="B240" i="1"/>
  <c r="A240" i="1"/>
  <c r="F239" i="1"/>
  <c r="E239" i="1"/>
  <c r="D239" i="1"/>
  <c r="C239" i="1"/>
  <c r="B239" i="1"/>
  <c r="A239" i="1"/>
  <c r="F238" i="1"/>
  <c r="E238" i="1"/>
  <c r="D238" i="1"/>
  <c r="C238" i="1"/>
  <c r="B238" i="1"/>
  <c r="A238" i="1"/>
  <c r="F237" i="1"/>
  <c r="E237" i="1"/>
  <c r="D237" i="1"/>
  <c r="C237" i="1"/>
  <c r="B237" i="1"/>
  <c r="A237" i="1"/>
  <c r="F236" i="1"/>
  <c r="E236" i="1"/>
  <c r="D236" i="1"/>
  <c r="C236" i="1"/>
  <c r="B236" i="1"/>
  <c r="A236" i="1"/>
  <c r="F235" i="1"/>
  <c r="E235" i="1"/>
  <c r="D235" i="1"/>
  <c r="C235" i="1"/>
  <c r="B235" i="1"/>
  <c r="A235" i="1"/>
  <c r="F234" i="1"/>
  <c r="E234" i="1"/>
  <c r="D234" i="1"/>
  <c r="C234" i="1"/>
  <c r="B234" i="1"/>
  <c r="A234" i="1"/>
  <c r="F233" i="1"/>
  <c r="E233" i="1"/>
  <c r="D233" i="1"/>
  <c r="C233" i="1"/>
  <c r="B233" i="1"/>
  <c r="A233" i="1"/>
  <c r="F232" i="1"/>
  <c r="E232" i="1"/>
  <c r="D232" i="1"/>
  <c r="C232" i="1"/>
  <c r="B232" i="1"/>
  <c r="A232" i="1"/>
  <c r="F231" i="1"/>
  <c r="E231" i="1"/>
  <c r="D231" i="1"/>
  <c r="C231" i="1"/>
  <c r="B231" i="1"/>
  <c r="A231" i="1"/>
  <c r="F230" i="1"/>
  <c r="E230" i="1"/>
  <c r="D230" i="1"/>
  <c r="C230" i="1"/>
  <c r="B230" i="1"/>
  <c r="A230" i="1"/>
  <c r="F229" i="1"/>
  <c r="E229" i="1"/>
  <c r="D229" i="1"/>
  <c r="C229" i="1"/>
  <c r="B229" i="1"/>
  <c r="A229" i="1"/>
  <c r="F228" i="1"/>
  <c r="E228" i="1"/>
  <c r="D228" i="1"/>
  <c r="C228" i="1"/>
  <c r="B228" i="1"/>
  <c r="A228" i="1"/>
  <c r="F227" i="1"/>
  <c r="E227" i="1"/>
  <c r="D227" i="1"/>
  <c r="C227" i="1"/>
  <c r="B227" i="1"/>
  <c r="A227" i="1"/>
  <c r="F226" i="1"/>
  <c r="E226" i="1"/>
  <c r="D226" i="1"/>
  <c r="C226" i="1"/>
  <c r="B226" i="1"/>
  <c r="A226" i="1"/>
  <c r="F225" i="1"/>
  <c r="E225" i="1"/>
  <c r="D225" i="1"/>
  <c r="C225" i="1"/>
  <c r="B225" i="1"/>
  <c r="A225" i="1"/>
  <c r="F224" i="1"/>
  <c r="E224" i="1"/>
  <c r="D224" i="1"/>
  <c r="C224" i="1"/>
  <c r="B224" i="1"/>
  <c r="A224" i="1"/>
  <c r="F223" i="1"/>
  <c r="E223" i="1"/>
  <c r="D223" i="1"/>
  <c r="C223" i="1"/>
  <c r="B223" i="1"/>
  <c r="A223" i="1"/>
  <c r="F222" i="1"/>
  <c r="E222" i="1"/>
  <c r="D222" i="1"/>
  <c r="C222" i="1"/>
  <c r="B222" i="1"/>
  <c r="A222" i="1"/>
  <c r="F221" i="1"/>
  <c r="E221" i="1"/>
  <c r="D221" i="1"/>
  <c r="C221" i="1"/>
  <c r="B221" i="1"/>
  <c r="A221" i="1"/>
  <c r="F220" i="1"/>
  <c r="E220" i="1"/>
  <c r="D220" i="1"/>
  <c r="C220" i="1"/>
  <c r="B220" i="1"/>
  <c r="A220" i="1"/>
  <c r="F219" i="1"/>
  <c r="E219" i="1"/>
  <c r="D219" i="1"/>
  <c r="C219" i="1"/>
  <c r="B219" i="1"/>
  <c r="A219" i="1"/>
  <c r="F218" i="1"/>
  <c r="E218" i="1"/>
  <c r="D218" i="1"/>
  <c r="C218" i="1"/>
  <c r="B218" i="1"/>
  <c r="A218" i="1"/>
  <c r="F217" i="1"/>
  <c r="E217" i="1"/>
  <c r="D217" i="1"/>
  <c r="C217" i="1"/>
  <c r="B217" i="1"/>
  <c r="A217" i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/>
  <c r="F213" i="1"/>
  <c r="E213" i="1"/>
  <c r="D213" i="1"/>
  <c r="C213" i="1"/>
  <c r="B213" i="1"/>
  <c r="A213" i="1"/>
  <c r="F212" i="1"/>
  <c r="E212" i="1"/>
  <c r="D212" i="1"/>
  <c r="C212" i="1"/>
  <c r="B212" i="1"/>
  <c r="A212" i="1"/>
  <c r="F211" i="1"/>
  <c r="E211" i="1"/>
  <c r="D211" i="1"/>
  <c r="C211" i="1"/>
  <c r="B211" i="1"/>
  <c r="A211" i="1"/>
  <c r="F210" i="1"/>
  <c r="E210" i="1"/>
  <c r="D210" i="1"/>
  <c r="C210" i="1"/>
  <c r="B210" i="1"/>
  <c r="A210" i="1"/>
  <c r="F209" i="1"/>
  <c r="E209" i="1"/>
  <c r="D209" i="1"/>
  <c r="C209" i="1"/>
  <c r="B209" i="1"/>
  <c r="A209" i="1"/>
  <c r="F208" i="1"/>
  <c r="E208" i="1"/>
  <c r="D208" i="1"/>
  <c r="C208" i="1"/>
  <c r="B208" i="1"/>
  <c r="A208" i="1"/>
  <c r="F207" i="1"/>
  <c r="E207" i="1"/>
  <c r="D207" i="1"/>
  <c r="C207" i="1"/>
  <c r="B207" i="1"/>
  <c r="A207" i="1"/>
  <c r="F206" i="1"/>
  <c r="E206" i="1"/>
  <c r="D206" i="1"/>
  <c r="C206" i="1"/>
  <c r="B206" i="1"/>
  <c r="A206" i="1"/>
  <c r="F205" i="1"/>
  <c r="E205" i="1"/>
  <c r="D205" i="1"/>
  <c r="C205" i="1"/>
  <c r="B205" i="1"/>
  <c r="A205" i="1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E194" i="1"/>
  <c r="D194" i="1"/>
  <c r="C194" i="1"/>
  <c r="B194" i="1"/>
  <c r="A194" i="1"/>
  <c r="F193" i="1"/>
  <c r="E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F189" i="1"/>
  <c r="E189" i="1"/>
  <c r="D189" i="1"/>
  <c r="C189" i="1"/>
  <c r="B189" i="1"/>
  <c r="A189" i="1"/>
  <c r="F188" i="1"/>
  <c r="E188" i="1"/>
  <c r="D188" i="1"/>
  <c r="C188" i="1"/>
  <c r="B188" i="1"/>
  <c r="A188" i="1"/>
  <c r="F187" i="1"/>
  <c r="E187" i="1"/>
  <c r="D187" i="1"/>
  <c r="C187" i="1"/>
  <c r="B187" i="1"/>
  <c r="A187" i="1"/>
  <c r="F186" i="1"/>
  <c r="E186" i="1"/>
  <c r="D186" i="1"/>
  <c r="C186" i="1"/>
  <c r="B186" i="1"/>
  <c r="A186" i="1"/>
  <c r="F185" i="1"/>
  <c r="E185" i="1"/>
  <c r="D185" i="1"/>
  <c r="C185" i="1"/>
  <c r="B185" i="1"/>
  <c r="A185" i="1"/>
  <c r="F184" i="1"/>
  <c r="E184" i="1"/>
  <c r="D184" i="1"/>
  <c r="C184" i="1"/>
  <c r="B184" i="1"/>
  <c r="A184" i="1"/>
  <c r="F183" i="1"/>
  <c r="E183" i="1"/>
  <c r="D183" i="1"/>
  <c r="C183" i="1"/>
  <c r="B183" i="1"/>
  <c r="A183" i="1"/>
  <c r="F182" i="1"/>
  <c r="E182" i="1"/>
  <c r="D182" i="1"/>
  <c r="C182" i="1"/>
  <c r="B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72" i="1"/>
  <c r="E172" i="1"/>
  <c r="D172" i="1"/>
  <c r="C172" i="1"/>
  <c r="B172" i="1"/>
  <c r="A172" i="1"/>
  <c r="F171" i="1"/>
  <c r="E171" i="1"/>
  <c r="D171" i="1"/>
  <c r="C171" i="1"/>
  <c r="B171" i="1"/>
  <c r="A171" i="1"/>
  <c r="F170" i="1"/>
  <c r="E170" i="1"/>
  <c r="D170" i="1"/>
  <c r="C170" i="1"/>
  <c r="B170" i="1"/>
  <c r="A170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F167" i="1"/>
  <c r="E167" i="1"/>
  <c r="D167" i="1"/>
  <c r="C167" i="1"/>
  <c r="B167" i="1"/>
  <c r="A167" i="1"/>
  <c r="F166" i="1"/>
  <c r="E166" i="1"/>
  <c r="D166" i="1"/>
  <c r="C166" i="1"/>
  <c r="B166" i="1"/>
  <c r="A166" i="1"/>
  <c r="F165" i="1"/>
  <c r="E165" i="1"/>
  <c r="D165" i="1"/>
  <c r="C165" i="1"/>
  <c r="B165" i="1"/>
  <c r="A165" i="1"/>
  <c r="F164" i="1"/>
  <c r="E164" i="1"/>
  <c r="D164" i="1"/>
  <c r="C164" i="1"/>
  <c r="B164" i="1"/>
  <c r="A164" i="1"/>
  <c r="F163" i="1"/>
  <c r="E163" i="1"/>
  <c r="D163" i="1"/>
  <c r="C163" i="1"/>
  <c r="B163" i="1"/>
  <c r="A163" i="1"/>
  <c r="F162" i="1"/>
  <c r="E162" i="1"/>
  <c r="D162" i="1"/>
  <c r="C162" i="1"/>
  <c r="B162" i="1"/>
  <c r="A162" i="1"/>
  <c r="F161" i="1"/>
  <c r="E161" i="1"/>
  <c r="D161" i="1"/>
  <c r="C161" i="1"/>
  <c r="B161" i="1"/>
  <c r="A161" i="1"/>
  <c r="F160" i="1"/>
  <c r="E160" i="1"/>
  <c r="D160" i="1"/>
  <c r="C160" i="1"/>
  <c r="B160" i="1"/>
  <c r="A160" i="1"/>
  <c r="F159" i="1"/>
  <c r="E159" i="1"/>
  <c r="D159" i="1"/>
  <c r="C159" i="1"/>
  <c r="B159" i="1"/>
  <c r="A159" i="1"/>
  <c r="F158" i="1"/>
  <c r="E158" i="1"/>
  <c r="D158" i="1"/>
  <c r="C158" i="1"/>
  <c r="B158" i="1"/>
  <c r="A158" i="1"/>
  <c r="F157" i="1"/>
  <c r="E157" i="1"/>
  <c r="D157" i="1"/>
  <c r="C157" i="1"/>
  <c r="B157" i="1"/>
  <c r="A157" i="1"/>
  <c r="F156" i="1"/>
  <c r="E156" i="1"/>
  <c r="D156" i="1"/>
  <c r="C156" i="1"/>
  <c r="B156" i="1"/>
  <c r="A156" i="1"/>
  <c r="F155" i="1"/>
  <c r="E155" i="1"/>
  <c r="D155" i="1"/>
  <c r="C155" i="1"/>
  <c r="B155" i="1"/>
  <c r="A155" i="1"/>
  <c r="F154" i="1"/>
  <c r="E154" i="1"/>
  <c r="D154" i="1"/>
  <c r="C154" i="1"/>
  <c r="B154" i="1"/>
  <c r="A154" i="1"/>
  <c r="F153" i="1"/>
  <c r="E153" i="1"/>
  <c r="D153" i="1"/>
  <c r="C153" i="1"/>
  <c r="B153" i="1"/>
  <c r="A15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/>
  <c r="F147" i="1"/>
  <c r="E147" i="1"/>
  <c r="D147" i="1"/>
  <c r="C147" i="1"/>
  <c r="B147" i="1"/>
  <c r="A147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E136" i="1"/>
  <c r="D136" i="1"/>
  <c r="C136" i="1"/>
  <c r="B136" i="1"/>
  <c r="A136" i="1"/>
  <c r="F135" i="1"/>
  <c r="E135" i="1"/>
  <c r="D135" i="1"/>
  <c r="C135" i="1"/>
  <c r="B135" i="1"/>
  <c r="A135" i="1"/>
  <c r="F134" i="1"/>
  <c r="E134" i="1"/>
  <c r="D134" i="1"/>
  <c r="C134" i="1"/>
  <c r="B134" i="1"/>
  <c r="A134" i="1"/>
  <c r="F133" i="1"/>
  <c r="E133" i="1"/>
  <c r="D133" i="1"/>
  <c r="C133" i="1"/>
  <c r="B133" i="1"/>
  <c r="A133" i="1"/>
  <c r="F132" i="1"/>
  <c r="E132" i="1"/>
  <c r="D132" i="1"/>
  <c r="C132" i="1"/>
  <c r="B132" i="1"/>
  <c r="A132" i="1"/>
  <c r="F131" i="1"/>
  <c r="E131" i="1"/>
  <c r="D131" i="1"/>
  <c r="C131" i="1"/>
  <c r="B131" i="1"/>
  <c r="A131" i="1"/>
  <c r="F130" i="1"/>
  <c r="E130" i="1"/>
  <c r="D130" i="1"/>
  <c r="C130" i="1"/>
  <c r="B130" i="1"/>
  <c r="A130" i="1"/>
  <c r="F129" i="1"/>
  <c r="E129" i="1"/>
  <c r="D129" i="1"/>
  <c r="C129" i="1"/>
  <c r="B129" i="1"/>
  <c r="A129" i="1"/>
  <c r="F128" i="1"/>
  <c r="E128" i="1"/>
  <c r="D128" i="1"/>
  <c r="C128" i="1"/>
  <c r="B128" i="1"/>
  <c r="A128" i="1"/>
  <c r="F127" i="1"/>
  <c r="E127" i="1"/>
  <c r="D127" i="1"/>
  <c r="C127" i="1"/>
  <c r="B127" i="1"/>
  <c r="A127" i="1"/>
  <c r="F126" i="1"/>
  <c r="E126" i="1"/>
  <c r="D126" i="1"/>
  <c r="C126" i="1"/>
  <c r="B126" i="1"/>
  <c r="A126" i="1"/>
  <c r="F125" i="1"/>
  <c r="E125" i="1"/>
  <c r="D125" i="1"/>
  <c r="C125" i="1"/>
  <c r="B125" i="1"/>
  <c r="A125" i="1"/>
  <c r="F124" i="1"/>
  <c r="E124" i="1"/>
  <c r="D124" i="1"/>
  <c r="C124" i="1"/>
  <c r="B124" i="1"/>
  <c r="A12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109" i="1"/>
  <c r="E109" i="1"/>
  <c r="D109" i="1"/>
  <c r="C109" i="1"/>
  <c r="B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F103" i="1"/>
  <c r="E103" i="1"/>
  <c r="D103" i="1"/>
  <c r="C103" i="1"/>
  <c r="B103" i="1"/>
  <c r="A103" i="1"/>
  <c r="F102" i="1"/>
  <c r="E102" i="1"/>
  <c r="D102" i="1"/>
  <c r="C102" i="1"/>
  <c r="B102" i="1"/>
  <c r="A102" i="1"/>
  <c r="F101" i="1"/>
  <c r="E101" i="1"/>
  <c r="D101" i="1"/>
  <c r="C101" i="1"/>
  <c r="B101" i="1"/>
  <c r="A101" i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/>
  <c r="F97" i="1"/>
  <c r="E97" i="1"/>
  <c r="D97" i="1"/>
  <c r="C97" i="1"/>
  <c r="B97" i="1"/>
  <c r="A97" i="1"/>
  <c r="F96" i="1"/>
  <c r="E96" i="1"/>
  <c r="D96" i="1"/>
  <c r="C96" i="1"/>
  <c r="B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<sst xmlns="http://schemas.openxmlformats.org/spreadsheetml/2006/main" count="2" uniqueCount="2">
  <si>
    <t>S&amp;P500 Close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</si>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</sst>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A0A0A"/>
      <name val="&quot;Roboto Mono&quot;"/>
    </font>
  </fonts>
  <fills count="3">
    <fill>
      <patternFill patternType="none"/>
    </fill>
    <fill>
      <patternFill patternType="gray125"/>
    </fill>
    <fill>
      <patternFill patternType="solid">
        <fgColor rgb="FFF7F8FA"/>
        <bgColor rgb="FFF7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164" fontId="2" fillId="2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34D60C-FCD6-4380-A44B-5203110E8C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02"/>
  <sheetViews>
    <sheetView workbookViewId="0">
      <selection activeCell="I23" sqref="I23"/>
    </sheetView>
  </sheetViews>
  <sheetFormatPr defaultColWidth="12.5703125" defaultRowHeight="15.75" customHeight="1"/>
  <cols>
    <col min="1" max="1" width="28.28515625" customWidth="1"/>
    <col min="7" max="7" width="31.140625" customWidth="1"/>
  </cols>
  <sheetData>
    <row r="1" spans="1:9">
      <c r="A1" s="1" t="str">
        <f ca="1">IFERROR(__xludf.DUMMYFUNCTION("GOOGLEFINANCE(""NYSE:JNJ"", ""all"", DATE(1980,1,1), DATE(1990,12,31),""Daily"")"),"Date")</f>
        <v>Date</v>
      </c>
      <c r="B1" s="1" t="str">
        <f ca="1">IFERROR(__xludf.DUMMYFUNCTION("""COMPUTED_VALUE"""),"Open")</f>
        <v>Open</v>
      </c>
      <c r="C1" s="1" t="str">
        <f ca="1">IFERROR(__xludf.DUMMYFUNCTION("""COMPUTED_VALUE"""),"High")</f>
        <v>High</v>
      </c>
      <c r="D1" s="1" t="str">
        <f ca="1">IFERROR(__xludf.DUMMYFUNCTION("""COMPUTED_VALUE"""),"Low")</f>
        <v>Low</v>
      </c>
      <c r="E1" s="1" t="str">
        <f ca="1">IFERROR(__xludf.DUMMYFUNCTION("""COMPUTED_VALUE"""),"Close")</f>
        <v>Close</v>
      </c>
      <c r="F1" s="1" t="str">
        <f ca="1">IFERROR(__xludf.DUMMYFUNCTION("""COMPUTED_VALUE"""),"Volume")</f>
        <v>Volume</v>
      </c>
      <c r="I1" s="1"/>
    </row>
    <row r="2" spans="1:9">
      <c r="A2" s="3">
        <f ca="1">IFERROR(__xludf.DUMMYFUNCTION("""COMPUTED_VALUE"""),29222.6666666666)</f>
        <v>29222.666666666599</v>
      </c>
      <c r="B2" s="1">
        <f ca="1">IFERROR(__xludf.DUMMYFUNCTION("""COMPUTED_VALUE"""),1.6)</f>
        <v>1.6</v>
      </c>
      <c r="C2" s="1">
        <f ca="1">IFERROR(__xludf.DUMMYFUNCTION("""COMPUTED_VALUE"""),1.65)</f>
        <v>1.65</v>
      </c>
      <c r="D2" s="1">
        <f ca="1">IFERROR(__xludf.DUMMYFUNCTION("""COMPUTED_VALUE"""),1.6)</f>
        <v>1.6</v>
      </c>
      <c r="E2" s="1">
        <f ca="1">IFERROR(__xludf.DUMMYFUNCTION("""COMPUTED_VALUE"""),1.6)</f>
        <v>1.6</v>
      </c>
      <c r="F2" s="1">
        <f ca="1">IFERROR(__xludf.DUMMYFUNCTION("""COMPUTED_VALUE"""),44000)</f>
        <v>44000</v>
      </c>
      <c r="I2" s="1"/>
    </row>
    <row r="3" spans="1:9">
      <c r="A3" s="3">
        <f ca="1">IFERROR(__xludf.DUMMYFUNCTION("""COMPUTED_VALUE"""),29223.6666666666)</f>
        <v>29223.666666666599</v>
      </c>
      <c r="B3" s="1">
        <f ca="1">IFERROR(__xludf.DUMMYFUNCTION("""COMPUTED_VALUE"""),1.6)</f>
        <v>1.6</v>
      </c>
      <c r="C3" s="1">
        <f ca="1">IFERROR(__xludf.DUMMYFUNCTION("""COMPUTED_VALUE"""),1.61)</f>
        <v>1.61</v>
      </c>
      <c r="D3" s="1">
        <f ca="1">IFERROR(__xludf.DUMMYFUNCTION("""COMPUTED_VALUE"""),1.58)</f>
        <v>1.58</v>
      </c>
      <c r="E3" s="1">
        <f ca="1">IFERROR(__xludf.DUMMYFUNCTION("""COMPUTED_VALUE"""),1.6)</f>
        <v>1.6</v>
      </c>
      <c r="F3" s="1">
        <f ca="1">IFERROR(__xludf.DUMMYFUNCTION("""COMPUTED_VALUE"""),88500)</f>
        <v>88500</v>
      </c>
      <c r="I3" s="1"/>
    </row>
    <row r="4" spans="1:9">
      <c r="A4" s="3">
        <f ca="1">IFERROR(__xludf.DUMMYFUNCTION("""COMPUTED_VALUE"""),29224.6666666666)</f>
        <v>29224.666666666599</v>
      </c>
      <c r="B4" s="1">
        <f ca="1">IFERROR(__xludf.DUMMYFUNCTION("""COMPUTED_VALUE"""),1.63)</f>
        <v>1.63</v>
      </c>
      <c r="C4" s="1">
        <f ca="1">IFERROR(__xludf.DUMMYFUNCTION("""COMPUTED_VALUE"""),1.63)</f>
        <v>1.63</v>
      </c>
      <c r="D4" s="1">
        <f ca="1">IFERROR(__xludf.DUMMYFUNCTION("""COMPUTED_VALUE"""),1.6)</f>
        <v>1.6</v>
      </c>
      <c r="E4" s="1">
        <f ca="1">IFERROR(__xludf.DUMMYFUNCTION("""COMPUTED_VALUE"""),1.63)</f>
        <v>1.63</v>
      </c>
      <c r="F4" s="1">
        <f ca="1">IFERROR(__xludf.DUMMYFUNCTION("""COMPUTED_VALUE"""),36300)</f>
        <v>36300</v>
      </c>
      <c r="I4" s="1"/>
    </row>
    <row r="5" spans="1:9">
      <c r="A5" s="3">
        <f ca="1">IFERROR(__xludf.DUMMYFUNCTION("""COMPUTED_VALUE"""),29227.6666666666)</f>
        <v>29227.666666666599</v>
      </c>
      <c r="B5" s="1">
        <f ca="1">IFERROR(__xludf.DUMMYFUNCTION("""COMPUTED_VALUE"""),1.62)</f>
        <v>1.62</v>
      </c>
      <c r="C5" s="1">
        <f ca="1">IFERROR(__xludf.DUMMYFUNCTION("""COMPUTED_VALUE"""),1.63)</f>
        <v>1.63</v>
      </c>
      <c r="D5" s="1">
        <f ca="1">IFERROR(__xludf.DUMMYFUNCTION("""COMPUTED_VALUE"""),1.61)</f>
        <v>1.61</v>
      </c>
      <c r="E5" s="1">
        <f ca="1">IFERROR(__xludf.DUMMYFUNCTION("""COMPUTED_VALUE"""),1.62)</f>
        <v>1.62</v>
      </c>
      <c r="F5" s="1">
        <f ca="1">IFERROR(__xludf.DUMMYFUNCTION("""COMPUTED_VALUE"""),40000)</f>
        <v>40000</v>
      </c>
      <c r="I5" s="1"/>
    </row>
    <row r="6" spans="1:9">
      <c r="A6" s="3">
        <f ca="1">IFERROR(__xludf.DUMMYFUNCTION("""COMPUTED_VALUE"""),29228.6666666666)</f>
        <v>29228.666666666599</v>
      </c>
      <c r="B6" s="1">
        <f ca="1">IFERROR(__xludf.DUMMYFUNCTION("""COMPUTED_VALUE"""),1.69)</f>
        <v>1.69</v>
      </c>
      <c r="C6" s="1">
        <f ca="1">IFERROR(__xludf.DUMMYFUNCTION("""COMPUTED_VALUE"""),1.69)</f>
        <v>1.69</v>
      </c>
      <c r="D6" s="1">
        <f ca="1">IFERROR(__xludf.DUMMYFUNCTION("""COMPUTED_VALUE"""),1.63)</f>
        <v>1.63</v>
      </c>
      <c r="E6" s="1">
        <f ca="1">IFERROR(__xludf.DUMMYFUNCTION("""COMPUTED_VALUE"""),1.69)</f>
        <v>1.69</v>
      </c>
      <c r="F6" s="1">
        <f ca="1">IFERROR(__xludf.DUMMYFUNCTION("""COMPUTED_VALUE"""),104600)</f>
        <v>104600</v>
      </c>
      <c r="I6" s="1"/>
    </row>
    <row r="7" spans="1:9">
      <c r="A7" s="3">
        <f ca="1">IFERROR(__xludf.DUMMYFUNCTION("""COMPUTED_VALUE"""),29229.6666666666)</f>
        <v>29229.666666666599</v>
      </c>
      <c r="B7" s="1">
        <f ca="1">IFERROR(__xludf.DUMMYFUNCTION("""COMPUTED_VALUE"""),1.66)</f>
        <v>1.66</v>
      </c>
      <c r="C7" s="1">
        <f ca="1">IFERROR(__xludf.DUMMYFUNCTION("""COMPUTED_VALUE"""),1.7)</f>
        <v>1.7</v>
      </c>
      <c r="D7" s="1">
        <f ca="1">IFERROR(__xludf.DUMMYFUNCTION("""COMPUTED_VALUE"""),1.66)</f>
        <v>1.66</v>
      </c>
      <c r="E7" s="1">
        <f ca="1">IFERROR(__xludf.DUMMYFUNCTION("""COMPUTED_VALUE"""),1.66)</f>
        <v>1.66</v>
      </c>
      <c r="F7" s="1">
        <f ca="1">IFERROR(__xludf.DUMMYFUNCTION("""COMPUTED_VALUE"""),99800)</f>
        <v>99800</v>
      </c>
      <c r="I7" s="1"/>
    </row>
    <row r="8" spans="1:9">
      <c r="A8" s="3">
        <f ca="1">IFERROR(__xludf.DUMMYFUNCTION("""COMPUTED_VALUE"""),29230.6666666666)</f>
        <v>29230.666666666599</v>
      </c>
      <c r="B8" s="1">
        <f ca="1">IFERROR(__xludf.DUMMYFUNCTION("""COMPUTED_VALUE"""),1.66)</f>
        <v>1.66</v>
      </c>
      <c r="C8" s="1">
        <f ca="1">IFERROR(__xludf.DUMMYFUNCTION("""COMPUTED_VALUE"""),1.68)</f>
        <v>1.68</v>
      </c>
      <c r="D8" s="1">
        <f ca="1">IFERROR(__xludf.DUMMYFUNCTION("""COMPUTED_VALUE"""),1.66)</f>
        <v>1.66</v>
      </c>
      <c r="E8" s="1">
        <f ca="1">IFERROR(__xludf.DUMMYFUNCTION("""COMPUTED_VALUE"""),1.66)</f>
        <v>1.66</v>
      </c>
      <c r="F8" s="1">
        <f ca="1">IFERROR(__xludf.DUMMYFUNCTION("""COMPUTED_VALUE"""),76300)</f>
        <v>76300</v>
      </c>
      <c r="I8" s="1"/>
    </row>
    <row r="9" spans="1:9">
      <c r="A9" s="3">
        <f ca="1">IFERROR(__xludf.DUMMYFUNCTION("""COMPUTED_VALUE"""),29231.6666666666)</f>
        <v>29231.666666666599</v>
      </c>
      <c r="B9" s="1">
        <f ca="1">IFERROR(__xludf.DUMMYFUNCTION("""COMPUTED_VALUE"""),1.65)</f>
        <v>1.65</v>
      </c>
      <c r="C9" s="1">
        <f ca="1">IFERROR(__xludf.DUMMYFUNCTION("""COMPUTED_VALUE"""),1.67)</f>
        <v>1.67</v>
      </c>
      <c r="D9" s="1">
        <f ca="1">IFERROR(__xludf.DUMMYFUNCTION("""COMPUTED_VALUE"""),1.64)</f>
        <v>1.64</v>
      </c>
      <c r="E9" s="1">
        <f ca="1">IFERROR(__xludf.DUMMYFUNCTION("""COMPUTED_VALUE"""),1.65)</f>
        <v>1.65</v>
      </c>
      <c r="F9" s="1">
        <f ca="1">IFERROR(__xludf.DUMMYFUNCTION("""COMPUTED_VALUE"""),46100)</f>
        <v>46100</v>
      </c>
      <c r="I9" s="1"/>
    </row>
    <row r="10" spans="1:9">
      <c r="A10" s="3">
        <f ca="1">IFERROR(__xludf.DUMMYFUNCTION("""COMPUTED_VALUE"""),29234.6666666666)</f>
        <v>29234.666666666599</v>
      </c>
      <c r="B10" s="1">
        <f ca="1">IFERROR(__xludf.DUMMYFUNCTION("""COMPUTED_VALUE"""),1.63)</f>
        <v>1.63</v>
      </c>
      <c r="C10" s="1">
        <f ca="1">IFERROR(__xludf.DUMMYFUNCTION("""COMPUTED_VALUE"""),1.66)</f>
        <v>1.66</v>
      </c>
      <c r="D10" s="1">
        <f ca="1">IFERROR(__xludf.DUMMYFUNCTION("""COMPUTED_VALUE"""),1.63)</f>
        <v>1.63</v>
      </c>
      <c r="E10" s="1">
        <f ca="1">IFERROR(__xludf.DUMMYFUNCTION("""COMPUTED_VALUE"""),1.63)</f>
        <v>1.63</v>
      </c>
      <c r="F10" s="1">
        <f ca="1">IFERROR(__xludf.DUMMYFUNCTION("""COMPUTED_VALUE"""),35900)</f>
        <v>35900</v>
      </c>
      <c r="I10" s="1"/>
    </row>
    <row r="11" spans="1:9">
      <c r="A11" s="3">
        <f ca="1">IFERROR(__xludf.DUMMYFUNCTION("""COMPUTED_VALUE"""),29235.6666666666)</f>
        <v>29235.666666666599</v>
      </c>
      <c r="B11" s="1">
        <f ca="1">IFERROR(__xludf.DUMMYFUNCTION("""COMPUTED_VALUE"""),1.63)</f>
        <v>1.63</v>
      </c>
      <c r="C11" s="1">
        <f ca="1">IFERROR(__xludf.DUMMYFUNCTION("""COMPUTED_VALUE"""),1.64)</f>
        <v>1.64</v>
      </c>
      <c r="D11" s="1">
        <f ca="1">IFERROR(__xludf.DUMMYFUNCTION("""COMPUTED_VALUE"""),1.62)</f>
        <v>1.62</v>
      </c>
      <c r="E11" s="1">
        <f ca="1">IFERROR(__xludf.DUMMYFUNCTION("""COMPUTED_VALUE"""),1.63)</f>
        <v>1.63</v>
      </c>
      <c r="F11" s="1">
        <f ca="1">IFERROR(__xludf.DUMMYFUNCTION("""COMPUTED_VALUE"""),37500)</f>
        <v>37500</v>
      </c>
      <c r="I11" s="1"/>
    </row>
    <row r="12" spans="1:9">
      <c r="A12" s="3">
        <f ca="1">IFERROR(__xludf.DUMMYFUNCTION("""COMPUTED_VALUE"""),29236.6666666666)</f>
        <v>29236.666666666599</v>
      </c>
      <c r="B12" s="1">
        <f ca="1">IFERROR(__xludf.DUMMYFUNCTION("""COMPUTED_VALUE"""),1.62)</f>
        <v>1.62</v>
      </c>
      <c r="C12" s="1">
        <f ca="1">IFERROR(__xludf.DUMMYFUNCTION("""COMPUTED_VALUE"""),1.65)</f>
        <v>1.65</v>
      </c>
      <c r="D12" s="1">
        <f ca="1">IFERROR(__xludf.DUMMYFUNCTION("""COMPUTED_VALUE"""),1.62)</f>
        <v>1.62</v>
      </c>
      <c r="E12" s="1">
        <f ca="1">IFERROR(__xludf.DUMMYFUNCTION("""COMPUTED_VALUE"""),1.62)</f>
        <v>1.62</v>
      </c>
      <c r="F12" s="1">
        <f ca="1">IFERROR(__xludf.DUMMYFUNCTION("""COMPUTED_VALUE"""),46700)</f>
        <v>46700</v>
      </c>
      <c r="I12" s="1"/>
    </row>
    <row r="13" spans="1:9">
      <c r="A13" s="3">
        <f ca="1">IFERROR(__xludf.DUMMYFUNCTION("""COMPUTED_VALUE"""),29237.6666666666)</f>
        <v>29237.666666666599</v>
      </c>
      <c r="B13" s="1">
        <f ca="1">IFERROR(__xludf.DUMMYFUNCTION("""COMPUTED_VALUE"""),1.6)</f>
        <v>1.6</v>
      </c>
      <c r="C13" s="1">
        <f ca="1">IFERROR(__xludf.DUMMYFUNCTION("""COMPUTED_VALUE"""),1.63)</f>
        <v>1.63</v>
      </c>
      <c r="D13" s="1">
        <f ca="1">IFERROR(__xludf.DUMMYFUNCTION("""COMPUTED_VALUE"""),1.6)</f>
        <v>1.6</v>
      </c>
      <c r="E13" s="1">
        <f ca="1">IFERROR(__xludf.DUMMYFUNCTION("""COMPUTED_VALUE"""),1.6)</f>
        <v>1.6</v>
      </c>
      <c r="F13" s="1">
        <f ca="1">IFERROR(__xludf.DUMMYFUNCTION("""COMPUTED_VALUE"""),64000)</f>
        <v>64000</v>
      </c>
      <c r="I13" s="1"/>
    </row>
    <row r="14" spans="1:9">
      <c r="A14" s="3">
        <f ca="1">IFERROR(__xludf.DUMMYFUNCTION("""COMPUTED_VALUE"""),29238.6666666666)</f>
        <v>29238.666666666599</v>
      </c>
      <c r="B14" s="1">
        <f ca="1">IFERROR(__xludf.DUMMYFUNCTION("""COMPUTED_VALUE"""),1.59)</f>
        <v>1.59</v>
      </c>
      <c r="C14" s="1">
        <f ca="1">IFERROR(__xludf.DUMMYFUNCTION("""COMPUTED_VALUE"""),1.61)</f>
        <v>1.61</v>
      </c>
      <c r="D14" s="1">
        <f ca="1">IFERROR(__xludf.DUMMYFUNCTION("""COMPUTED_VALUE"""),1.59)</f>
        <v>1.59</v>
      </c>
      <c r="E14" s="1">
        <f ca="1">IFERROR(__xludf.DUMMYFUNCTION("""COMPUTED_VALUE"""),1.59)</f>
        <v>1.59</v>
      </c>
      <c r="F14" s="1">
        <f ca="1">IFERROR(__xludf.DUMMYFUNCTION("""COMPUTED_VALUE"""),74200)</f>
        <v>74200</v>
      </c>
      <c r="I14" s="1"/>
    </row>
    <row r="15" spans="1:9">
      <c r="A15" s="3">
        <f ca="1">IFERROR(__xludf.DUMMYFUNCTION("""COMPUTED_VALUE"""),29241.6666666666)</f>
        <v>29241.666666666599</v>
      </c>
      <c r="B15" s="1">
        <f ca="1">IFERROR(__xludf.DUMMYFUNCTION("""COMPUTED_VALUE"""),1.61)</f>
        <v>1.61</v>
      </c>
      <c r="C15" s="1">
        <f ca="1">IFERROR(__xludf.DUMMYFUNCTION("""COMPUTED_VALUE"""),1.61)</f>
        <v>1.61</v>
      </c>
      <c r="D15" s="1">
        <f ca="1">IFERROR(__xludf.DUMMYFUNCTION("""COMPUTED_VALUE"""),1.59)</f>
        <v>1.59</v>
      </c>
      <c r="E15" s="1">
        <f ca="1">IFERROR(__xludf.DUMMYFUNCTION("""COMPUTED_VALUE"""),1.61)</f>
        <v>1.61</v>
      </c>
      <c r="F15" s="1">
        <f ca="1">IFERROR(__xludf.DUMMYFUNCTION("""COMPUTED_VALUE"""),41900)</f>
        <v>41900</v>
      </c>
      <c r="I15" s="1"/>
    </row>
    <row r="16" spans="1:9">
      <c r="A16" s="3">
        <f ca="1">IFERROR(__xludf.DUMMYFUNCTION("""COMPUTED_VALUE"""),29242.6666666666)</f>
        <v>29242.666666666599</v>
      </c>
      <c r="B16" s="1">
        <f ca="1">IFERROR(__xludf.DUMMYFUNCTION("""COMPUTED_VALUE"""),1.6)</f>
        <v>1.6</v>
      </c>
      <c r="C16" s="1">
        <f ca="1">IFERROR(__xludf.DUMMYFUNCTION("""COMPUTED_VALUE"""),1.62)</f>
        <v>1.62</v>
      </c>
      <c r="D16" s="1">
        <f ca="1">IFERROR(__xludf.DUMMYFUNCTION("""COMPUTED_VALUE"""),1.6)</f>
        <v>1.6</v>
      </c>
      <c r="E16" s="1">
        <f ca="1">IFERROR(__xludf.DUMMYFUNCTION("""COMPUTED_VALUE"""),1.6)</f>
        <v>1.6</v>
      </c>
      <c r="F16" s="1">
        <f ca="1">IFERROR(__xludf.DUMMYFUNCTION("""COMPUTED_VALUE"""),59400)</f>
        <v>59400</v>
      </c>
      <c r="I16" s="1"/>
    </row>
    <row r="17" spans="1:9">
      <c r="A17" s="3">
        <f ca="1">IFERROR(__xludf.DUMMYFUNCTION("""COMPUTED_VALUE"""),29243.6666666666)</f>
        <v>29243.666666666599</v>
      </c>
      <c r="B17" s="1">
        <f ca="1">IFERROR(__xludf.DUMMYFUNCTION("""COMPUTED_VALUE"""),1.61)</f>
        <v>1.61</v>
      </c>
      <c r="C17" s="1">
        <f ca="1">IFERROR(__xludf.DUMMYFUNCTION("""COMPUTED_VALUE"""),1.61)</f>
        <v>1.61</v>
      </c>
      <c r="D17" s="1">
        <f ca="1">IFERROR(__xludf.DUMMYFUNCTION("""COMPUTED_VALUE"""),1.59)</f>
        <v>1.59</v>
      </c>
      <c r="E17" s="1">
        <f ca="1">IFERROR(__xludf.DUMMYFUNCTION("""COMPUTED_VALUE"""),1.61)</f>
        <v>1.61</v>
      </c>
      <c r="F17" s="1">
        <f ca="1">IFERROR(__xludf.DUMMYFUNCTION("""COMPUTED_VALUE"""),70900)</f>
        <v>70900</v>
      </c>
      <c r="I17" s="1"/>
    </row>
    <row r="18" spans="1:9">
      <c r="A18" s="3">
        <f ca="1">IFERROR(__xludf.DUMMYFUNCTION("""COMPUTED_VALUE"""),29244.6666666666)</f>
        <v>29244.666666666599</v>
      </c>
      <c r="B18" s="1">
        <f ca="1">IFERROR(__xludf.DUMMYFUNCTION("""COMPUTED_VALUE"""),1.6)</f>
        <v>1.6</v>
      </c>
      <c r="C18" s="1">
        <f ca="1">IFERROR(__xludf.DUMMYFUNCTION("""COMPUTED_VALUE"""),1.63)</f>
        <v>1.63</v>
      </c>
      <c r="D18" s="1">
        <f ca="1">IFERROR(__xludf.DUMMYFUNCTION("""COMPUTED_VALUE"""),1.6)</f>
        <v>1.6</v>
      </c>
      <c r="E18" s="1">
        <f ca="1">IFERROR(__xludf.DUMMYFUNCTION("""COMPUTED_VALUE"""),1.6)</f>
        <v>1.6</v>
      </c>
      <c r="F18" s="1">
        <f ca="1">IFERROR(__xludf.DUMMYFUNCTION("""COMPUTED_VALUE"""),61600)</f>
        <v>61600</v>
      </c>
      <c r="I18" s="1"/>
    </row>
    <row r="19" spans="1:9">
      <c r="A19" s="3">
        <f ca="1">IFERROR(__xludf.DUMMYFUNCTION("""COMPUTED_VALUE"""),29245.6666666666)</f>
        <v>29245.666666666599</v>
      </c>
      <c r="B19" s="1">
        <f ca="1">IFERROR(__xludf.DUMMYFUNCTION("""COMPUTED_VALUE"""),1.58)</f>
        <v>1.58</v>
      </c>
      <c r="C19" s="1">
        <f ca="1">IFERROR(__xludf.DUMMYFUNCTION("""COMPUTED_VALUE"""),1.59)</f>
        <v>1.59</v>
      </c>
      <c r="D19" s="1">
        <f ca="1">IFERROR(__xludf.DUMMYFUNCTION("""COMPUTED_VALUE"""),1.56)</f>
        <v>1.56</v>
      </c>
      <c r="E19" s="1">
        <f ca="1">IFERROR(__xludf.DUMMYFUNCTION("""COMPUTED_VALUE"""),1.58)</f>
        <v>1.58</v>
      </c>
      <c r="F19" s="1">
        <f ca="1">IFERROR(__xludf.DUMMYFUNCTION("""COMPUTED_VALUE"""),63700)</f>
        <v>63700</v>
      </c>
      <c r="I19" s="1"/>
    </row>
    <row r="20" spans="1:9">
      <c r="A20" s="3">
        <f ca="1">IFERROR(__xludf.DUMMYFUNCTION("""COMPUTED_VALUE"""),29248.6666666666)</f>
        <v>29248.666666666599</v>
      </c>
      <c r="B20" s="1">
        <f ca="1">IFERROR(__xludf.DUMMYFUNCTION("""COMPUTED_VALUE"""),1.6)</f>
        <v>1.6</v>
      </c>
      <c r="C20" s="1">
        <f ca="1">IFERROR(__xludf.DUMMYFUNCTION("""COMPUTED_VALUE"""),1.6)</f>
        <v>1.6</v>
      </c>
      <c r="D20" s="1">
        <f ca="1">IFERROR(__xludf.DUMMYFUNCTION("""COMPUTED_VALUE"""),1.59)</f>
        <v>1.59</v>
      </c>
      <c r="E20" s="1">
        <f ca="1">IFERROR(__xludf.DUMMYFUNCTION("""COMPUTED_VALUE"""),1.6)</f>
        <v>1.6</v>
      </c>
      <c r="F20" s="1">
        <f ca="1">IFERROR(__xludf.DUMMYFUNCTION("""COMPUTED_VALUE"""),47400)</f>
        <v>47400</v>
      </c>
      <c r="I20" s="1"/>
    </row>
    <row r="21" spans="1:9">
      <c r="A21" s="3">
        <f ca="1">IFERROR(__xludf.DUMMYFUNCTION("""COMPUTED_VALUE"""),29249.6666666666)</f>
        <v>29249.666666666599</v>
      </c>
      <c r="B21" s="1">
        <f ca="1">IFERROR(__xludf.DUMMYFUNCTION("""COMPUTED_VALUE"""),1.58)</f>
        <v>1.58</v>
      </c>
      <c r="C21" s="1">
        <f ca="1">IFERROR(__xludf.DUMMYFUNCTION("""COMPUTED_VALUE"""),1.61)</f>
        <v>1.61</v>
      </c>
      <c r="D21" s="1">
        <f ca="1">IFERROR(__xludf.DUMMYFUNCTION("""COMPUTED_VALUE"""),1.58)</f>
        <v>1.58</v>
      </c>
      <c r="E21" s="1">
        <f ca="1">IFERROR(__xludf.DUMMYFUNCTION("""COMPUTED_VALUE"""),1.58)</f>
        <v>1.58</v>
      </c>
      <c r="F21" s="1">
        <f ca="1">IFERROR(__xludf.DUMMYFUNCTION("""COMPUTED_VALUE"""),37600)</f>
        <v>37600</v>
      </c>
      <c r="I21" s="1"/>
    </row>
    <row r="22" spans="1:9">
      <c r="A22" s="3">
        <f ca="1">IFERROR(__xludf.DUMMYFUNCTION("""COMPUTED_VALUE"""),29250.6666666666)</f>
        <v>29250.666666666599</v>
      </c>
      <c r="B22" s="1">
        <f ca="1">IFERROR(__xludf.DUMMYFUNCTION("""COMPUTED_VALUE"""),1.57)</f>
        <v>1.57</v>
      </c>
      <c r="C22" s="1">
        <f ca="1">IFERROR(__xludf.DUMMYFUNCTION("""COMPUTED_VALUE"""),1.58)</f>
        <v>1.58</v>
      </c>
      <c r="D22" s="1">
        <f ca="1">IFERROR(__xludf.DUMMYFUNCTION("""COMPUTED_VALUE"""),1.57)</f>
        <v>1.57</v>
      </c>
      <c r="E22" s="1">
        <f ca="1">IFERROR(__xludf.DUMMYFUNCTION("""COMPUTED_VALUE"""),1.57)</f>
        <v>1.57</v>
      </c>
      <c r="F22" s="1">
        <f ca="1">IFERROR(__xludf.DUMMYFUNCTION("""COMPUTED_VALUE"""),80200)</f>
        <v>80200</v>
      </c>
      <c r="I22" s="1"/>
    </row>
    <row r="23" spans="1:9">
      <c r="A23" s="3">
        <f ca="1">IFERROR(__xludf.DUMMYFUNCTION("""COMPUTED_VALUE"""),29251.6666666666)</f>
        <v>29251.666666666599</v>
      </c>
      <c r="B23" s="1">
        <f ca="1">IFERROR(__xludf.DUMMYFUNCTION("""COMPUTED_VALUE"""),1.57)</f>
        <v>1.57</v>
      </c>
      <c r="C23" s="1">
        <f ca="1">IFERROR(__xludf.DUMMYFUNCTION("""COMPUTED_VALUE"""),1.59)</f>
        <v>1.59</v>
      </c>
      <c r="D23" s="1">
        <f ca="1">IFERROR(__xludf.DUMMYFUNCTION("""COMPUTED_VALUE"""),1.57)</f>
        <v>1.57</v>
      </c>
      <c r="E23" s="1">
        <f ca="1">IFERROR(__xludf.DUMMYFUNCTION("""COMPUTED_VALUE"""),1.57)</f>
        <v>1.57</v>
      </c>
      <c r="F23" s="1">
        <f ca="1">IFERROR(__xludf.DUMMYFUNCTION("""COMPUTED_VALUE"""),78300)</f>
        <v>78300</v>
      </c>
      <c r="I23" s="1"/>
    </row>
    <row r="24" spans="1:9">
      <c r="A24" s="3">
        <f ca="1">IFERROR(__xludf.DUMMYFUNCTION("""COMPUTED_VALUE"""),29252.6666666666)</f>
        <v>29252.666666666599</v>
      </c>
      <c r="B24" s="1">
        <f ca="1">IFERROR(__xludf.DUMMYFUNCTION("""COMPUTED_VALUE"""),1.56)</f>
        <v>1.56</v>
      </c>
      <c r="C24" s="1">
        <f ca="1">IFERROR(__xludf.DUMMYFUNCTION("""COMPUTED_VALUE"""),1.56)</f>
        <v>1.56</v>
      </c>
      <c r="D24" s="1">
        <f ca="1">IFERROR(__xludf.DUMMYFUNCTION("""COMPUTED_VALUE"""),1.55)</f>
        <v>1.55</v>
      </c>
      <c r="E24" s="1">
        <f ca="1">IFERROR(__xludf.DUMMYFUNCTION("""COMPUTED_VALUE"""),1.56)</f>
        <v>1.56</v>
      </c>
      <c r="F24" s="1">
        <f ca="1">IFERROR(__xludf.DUMMYFUNCTION("""COMPUTED_VALUE"""),78700)</f>
        <v>78700</v>
      </c>
      <c r="I24" s="1"/>
    </row>
    <row r="25" spans="1:9">
      <c r="A25" s="3">
        <f ca="1">IFERROR(__xludf.DUMMYFUNCTION("""COMPUTED_VALUE"""),29255.6666666666)</f>
        <v>29255.666666666599</v>
      </c>
      <c r="B25" s="1">
        <f ca="1">IFERROR(__xludf.DUMMYFUNCTION("""COMPUTED_VALUE"""),1.57)</f>
        <v>1.57</v>
      </c>
      <c r="C25" s="1">
        <f ca="1">IFERROR(__xludf.DUMMYFUNCTION("""COMPUTED_VALUE"""),1.58)</f>
        <v>1.58</v>
      </c>
      <c r="D25" s="1">
        <f ca="1">IFERROR(__xludf.DUMMYFUNCTION("""COMPUTED_VALUE"""),1.56)</f>
        <v>1.56</v>
      </c>
      <c r="E25" s="1">
        <f ca="1">IFERROR(__xludf.DUMMYFUNCTION("""COMPUTED_VALUE"""),1.57)</f>
        <v>1.57</v>
      </c>
      <c r="F25" s="1">
        <f ca="1">IFERROR(__xludf.DUMMYFUNCTION("""COMPUTED_VALUE"""),47200)</f>
        <v>47200</v>
      </c>
      <c r="I25" s="1"/>
    </row>
    <row r="26" spans="1:9">
      <c r="A26" s="3">
        <f ca="1">IFERROR(__xludf.DUMMYFUNCTION("""COMPUTED_VALUE"""),29256.6666666666)</f>
        <v>29256.666666666599</v>
      </c>
      <c r="B26" s="1">
        <f ca="1">IFERROR(__xludf.DUMMYFUNCTION("""COMPUTED_VALUE"""),1.58)</f>
        <v>1.58</v>
      </c>
      <c r="C26" s="1">
        <f ca="1">IFERROR(__xludf.DUMMYFUNCTION("""COMPUTED_VALUE"""),1.58)</f>
        <v>1.58</v>
      </c>
      <c r="D26" s="1">
        <f ca="1">IFERROR(__xludf.DUMMYFUNCTION("""COMPUTED_VALUE"""),1.56)</f>
        <v>1.56</v>
      </c>
      <c r="E26" s="1">
        <f ca="1">IFERROR(__xludf.DUMMYFUNCTION("""COMPUTED_VALUE"""),1.58)</f>
        <v>1.58</v>
      </c>
      <c r="F26" s="1">
        <f ca="1">IFERROR(__xludf.DUMMYFUNCTION("""COMPUTED_VALUE"""),51200)</f>
        <v>51200</v>
      </c>
      <c r="I26" s="1"/>
    </row>
    <row r="27" spans="1:9">
      <c r="A27" s="3">
        <f ca="1">IFERROR(__xludf.DUMMYFUNCTION("""COMPUTED_VALUE"""),29257.6666666666)</f>
        <v>29257.666666666599</v>
      </c>
      <c r="B27" s="1">
        <f ca="1">IFERROR(__xludf.DUMMYFUNCTION("""COMPUTED_VALUE"""),1.57)</f>
        <v>1.57</v>
      </c>
      <c r="C27" s="1">
        <f ca="1">IFERROR(__xludf.DUMMYFUNCTION("""COMPUTED_VALUE"""),1.59)</f>
        <v>1.59</v>
      </c>
      <c r="D27" s="1">
        <f ca="1">IFERROR(__xludf.DUMMYFUNCTION("""COMPUTED_VALUE"""),1.56)</f>
        <v>1.56</v>
      </c>
      <c r="E27" s="1">
        <f ca="1">IFERROR(__xludf.DUMMYFUNCTION("""COMPUTED_VALUE"""),1.57)</f>
        <v>1.57</v>
      </c>
      <c r="F27" s="1">
        <f ca="1">IFERROR(__xludf.DUMMYFUNCTION("""COMPUTED_VALUE"""),42900)</f>
        <v>42900</v>
      </c>
      <c r="I27" s="1"/>
    </row>
    <row r="28" spans="1:9">
      <c r="A28" s="3">
        <f ca="1">IFERROR(__xludf.DUMMYFUNCTION("""COMPUTED_VALUE"""),29258.6666666666)</f>
        <v>29258.666666666599</v>
      </c>
      <c r="B28" s="1">
        <f ca="1">IFERROR(__xludf.DUMMYFUNCTION("""COMPUTED_VALUE"""),1.57)</f>
        <v>1.57</v>
      </c>
      <c r="C28" s="1">
        <f ca="1">IFERROR(__xludf.DUMMYFUNCTION("""COMPUTED_VALUE"""),1.59)</f>
        <v>1.59</v>
      </c>
      <c r="D28" s="1">
        <f ca="1">IFERROR(__xludf.DUMMYFUNCTION("""COMPUTED_VALUE"""),1.56)</f>
        <v>1.56</v>
      </c>
      <c r="E28" s="1">
        <f ca="1">IFERROR(__xludf.DUMMYFUNCTION("""COMPUTED_VALUE"""),1.57)</f>
        <v>1.57</v>
      </c>
      <c r="F28" s="1">
        <f ca="1">IFERROR(__xludf.DUMMYFUNCTION("""COMPUTED_VALUE"""),65400)</f>
        <v>65400</v>
      </c>
      <c r="I28" s="1"/>
    </row>
    <row r="29" spans="1:9">
      <c r="A29" s="3">
        <f ca="1">IFERROR(__xludf.DUMMYFUNCTION("""COMPUTED_VALUE"""),29259.6666666666)</f>
        <v>29259.666666666599</v>
      </c>
      <c r="B29" s="1">
        <f ca="1">IFERROR(__xludf.DUMMYFUNCTION("""COMPUTED_VALUE"""),1.57)</f>
        <v>1.57</v>
      </c>
      <c r="C29" s="1">
        <f ca="1">IFERROR(__xludf.DUMMYFUNCTION("""COMPUTED_VALUE"""),1.57)</f>
        <v>1.57</v>
      </c>
      <c r="D29" s="1">
        <f ca="1">IFERROR(__xludf.DUMMYFUNCTION("""COMPUTED_VALUE"""),1.56)</f>
        <v>1.56</v>
      </c>
      <c r="E29" s="1">
        <f ca="1">IFERROR(__xludf.DUMMYFUNCTION("""COMPUTED_VALUE"""),1.57)</f>
        <v>1.57</v>
      </c>
      <c r="F29" s="1">
        <f ca="1">IFERROR(__xludf.DUMMYFUNCTION("""COMPUTED_VALUE"""),55900)</f>
        <v>55900</v>
      </c>
      <c r="I29" s="1"/>
    </row>
    <row r="30" spans="1:9">
      <c r="A30" s="3">
        <f ca="1">IFERROR(__xludf.DUMMYFUNCTION("""COMPUTED_VALUE"""),29262.6666666666)</f>
        <v>29262.666666666599</v>
      </c>
      <c r="B30" s="1">
        <f ca="1">IFERROR(__xludf.DUMMYFUNCTION("""COMPUTED_VALUE"""),1.56)</f>
        <v>1.56</v>
      </c>
      <c r="C30" s="1">
        <f ca="1">IFERROR(__xludf.DUMMYFUNCTION("""COMPUTED_VALUE"""),1.57)</f>
        <v>1.57</v>
      </c>
      <c r="D30" s="1">
        <f ca="1">IFERROR(__xludf.DUMMYFUNCTION("""COMPUTED_VALUE"""),1.56)</f>
        <v>1.56</v>
      </c>
      <c r="E30" s="1">
        <f ca="1">IFERROR(__xludf.DUMMYFUNCTION("""COMPUTED_VALUE"""),1.56)</f>
        <v>1.56</v>
      </c>
      <c r="F30" s="1">
        <f ca="1">IFERROR(__xludf.DUMMYFUNCTION("""COMPUTED_VALUE"""),83300)</f>
        <v>83300</v>
      </c>
      <c r="I30" s="1"/>
    </row>
    <row r="31" spans="1:9">
      <c r="A31" s="3">
        <f ca="1">IFERROR(__xludf.DUMMYFUNCTION("""COMPUTED_VALUE"""),29263.6666666666)</f>
        <v>29263.666666666599</v>
      </c>
      <c r="B31" s="1">
        <f ca="1">IFERROR(__xludf.DUMMYFUNCTION("""COMPUTED_VALUE"""),1.54)</f>
        <v>1.54</v>
      </c>
      <c r="C31" s="1">
        <f ca="1">IFERROR(__xludf.DUMMYFUNCTION("""COMPUTED_VALUE"""),1.55)</f>
        <v>1.55</v>
      </c>
      <c r="D31" s="1">
        <f ca="1">IFERROR(__xludf.DUMMYFUNCTION("""COMPUTED_VALUE"""),1.53)</f>
        <v>1.53</v>
      </c>
      <c r="E31" s="1">
        <f ca="1">IFERROR(__xludf.DUMMYFUNCTION("""COMPUTED_VALUE"""),1.54)</f>
        <v>1.54</v>
      </c>
      <c r="F31" s="1">
        <f ca="1">IFERROR(__xludf.DUMMYFUNCTION("""COMPUTED_VALUE"""),59300)</f>
        <v>59300</v>
      </c>
      <c r="I31" s="1"/>
    </row>
    <row r="32" spans="1:9">
      <c r="A32" s="3">
        <f ca="1">IFERROR(__xludf.DUMMYFUNCTION("""COMPUTED_VALUE"""),29264.6666666666)</f>
        <v>29264.666666666599</v>
      </c>
      <c r="B32" s="1">
        <f ca="1">IFERROR(__xludf.DUMMYFUNCTION("""COMPUTED_VALUE"""),1.55)</f>
        <v>1.55</v>
      </c>
      <c r="C32" s="1">
        <f ca="1">IFERROR(__xludf.DUMMYFUNCTION("""COMPUTED_VALUE"""),1.56)</f>
        <v>1.56</v>
      </c>
      <c r="D32" s="1">
        <f ca="1">IFERROR(__xludf.DUMMYFUNCTION("""COMPUTED_VALUE"""),1.54)</f>
        <v>1.54</v>
      </c>
      <c r="E32" s="1">
        <f ca="1">IFERROR(__xludf.DUMMYFUNCTION("""COMPUTED_VALUE"""),1.55)</f>
        <v>1.55</v>
      </c>
      <c r="F32" s="1">
        <f ca="1">IFERROR(__xludf.DUMMYFUNCTION("""COMPUTED_VALUE"""),84900)</f>
        <v>84900</v>
      </c>
      <c r="I32" s="1"/>
    </row>
    <row r="33" spans="1:9">
      <c r="A33" s="3">
        <f ca="1">IFERROR(__xludf.DUMMYFUNCTION("""COMPUTED_VALUE"""),29265.6666666666)</f>
        <v>29265.666666666599</v>
      </c>
      <c r="B33" s="1">
        <f ca="1">IFERROR(__xludf.DUMMYFUNCTION("""COMPUTED_VALUE"""),1.53)</f>
        <v>1.53</v>
      </c>
      <c r="C33" s="1">
        <f ca="1">IFERROR(__xludf.DUMMYFUNCTION("""COMPUTED_VALUE"""),1.56)</f>
        <v>1.56</v>
      </c>
      <c r="D33" s="1">
        <f ca="1">IFERROR(__xludf.DUMMYFUNCTION("""COMPUTED_VALUE"""),1.53)</f>
        <v>1.53</v>
      </c>
      <c r="E33" s="1">
        <f ca="1">IFERROR(__xludf.DUMMYFUNCTION("""COMPUTED_VALUE"""),1.53)</f>
        <v>1.53</v>
      </c>
      <c r="F33" s="1">
        <f ca="1">IFERROR(__xludf.DUMMYFUNCTION("""COMPUTED_VALUE"""),57500)</f>
        <v>57500</v>
      </c>
      <c r="I33" s="1"/>
    </row>
    <row r="34" spans="1:9">
      <c r="A34" s="3">
        <f ca="1">IFERROR(__xludf.DUMMYFUNCTION("""COMPUTED_VALUE"""),29266.6666666666)</f>
        <v>29266.666666666599</v>
      </c>
      <c r="B34" s="1">
        <f ca="1">IFERROR(__xludf.DUMMYFUNCTION("""COMPUTED_VALUE"""),1.51)</f>
        <v>1.51</v>
      </c>
      <c r="C34" s="1">
        <f ca="1">IFERROR(__xludf.DUMMYFUNCTION("""COMPUTED_VALUE"""),1.53)</f>
        <v>1.53</v>
      </c>
      <c r="D34" s="1">
        <f ca="1">IFERROR(__xludf.DUMMYFUNCTION("""COMPUTED_VALUE"""),1.51)</f>
        <v>1.51</v>
      </c>
      <c r="E34" s="1">
        <f ca="1">IFERROR(__xludf.DUMMYFUNCTION("""COMPUTED_VALUE"""),1.51)</f>
        <v>1.51</v>
      </c>
      <c r="F34" s="1">
        <f ca="1">IFERROR(__xludf.DUMMYFUNCTION("""COMPUTED_VALUE"""),58200)</f>
        <v>58200</v>
      </c>
      <c r="I34" s="1"/>
    </row>
    <row r="35" spans="1:9">
      <c r="A35" s="3">
        <f ca="1">IFERROR(__xludf.DUMMYFUNCTION("""COMPUTED_VALUE"""),29270.6666666666)</f>
        <v>29270.666666666599</v>
      </c>
      <c r="B35" s="1">
        <f ca="1">IFERROR(__xludf.DUMMYFUNCTION("""COMPUTED_VALUE"""),1.51)</f>
        <v>1.51</v>
      </c>
      <c r="C35" s="1">
        <f ca="1">IFERROR(__xludf.DUMMYFUNCTION("""COMPUTED_VALUE"""),1.51)</f>
        <v>1.51</v>
      </c>
      <c r="D35" s="1">
        <f ca="1">IFERROR(__xludf.DUMMYFUNCTION("""COMPUTED_VALUE"""),1.5)</f>
        <v>1.5</v>
      </c>
      <c r="E35" s="1">
        <f ca="1">IFERROR(__xludf.DUMMYFUNCTION("""COMPUTED_VALUE"""),1.51)</f>
        <v>1.51</v>
      </c>
      <c r="F35" s="1">
        <f ca="1">IFERROR(__xludf.DUMMYFUNCTION("""COMPUTED_VALUE"""),27600)</f>
        <v>27600</v>
      </c>
      <c r="I35" s="1"/>
    </row>
    <row r="36" spans="1:9">
      <c r="A36" s="3">
        <f ca="1">IFERROR(__xludf.DUMMYFUNCTION("""COMPUTED_VALUE"""),29271.6666666666)</f>
        <v>29271.666666666599</v>
      </c>
      <c r="B36" s="1">
        <f ca="1">IFERROR(__xludf.DUMMYFUNCTION("""COMPUTED_VALUE"""),1.51)</f>
        <v>1.51</v>
      </c>
      <c r="C36" s="1">
        <f ca="1">IFERROR(__xludf.DUMMYFUNCTION("""COMPUTED_VALUE"""),1.52)</f>
        <v>1.52</v>
      </c>
      <c r="D36" s="1">
        <f ca="1">IFERROR(__xludf.DUMMYFUNCTION("""COMPUTED_VALUE"""),1.5)</f>
        <v>1.5</v>
      </c>
      <c r="E36" s="1">
        <f ca="1">IFERROR(__xludf.DUMMYFUNCTION("""COMPUTED_VALUE"""),1.51)</f>
        <v>1.51</v>
      </c>
      <c r="F36" s="1">
        <f ca="1">IFERROR(__xludf.DUMMYFUNCTION("""COMPUTED_VALUE"""),37300)</f>
        <v>37300</v>
      </c>
      <c r="I36" s="1"/>
    </row>
    <row r="37" spans="1:9">
      <c r="A37" s="3">
        <f ca="1">IFERROR(__xludf.DUMMYFUNCTION("""COMPUTED_VALUE"""),29272.6666666666)</f>
        <v>29272.666666666599</v>
      </c>
      <c r="B37" s="1">
        <f ca="1">IFERROR(__xludf.DUMMYFUNCTION("""COMPUTED_VALUE"""),1.47)</f>
        <v>1.47</v>
      </c>
      <c r="C37" s="1">
        <f ca="1">IFERROR(__xludf.DUMMYFUNCTION("""COMPUTED_VALUE"""),1.5)</f>
        <v>1.5</v>
      </c>
      <c r="D37" s="1">
        <f ca="1">IFERROR(__xludf.DUMMYFUNCTION("""COMPUTED_VALUE"""),1.46)</f>
        <v>1.46</v>
      </c>
      <c r="E37" s="1">
        <f ca="1">IFERROR(__xludf.DUMMYFUNCTION("""COMPUTED_VALUE"""),1.47)</f>
        <v>1.47</v>
      </c>
      <c r="F37" s="1">
        <f ca="1">IFERROR(__xludf.DUMMYFUNCTION("""COMPUTED_VALUE"""),61300)</f>
        <v>61300</v>
      </c>
      <c r="I37" s="1"/>
    </row>
    <row r="38" spans="1:9">
      <c r="A38" s="3">
        <f ca="1">IFERROR(__xludf.DUMMYFUNCTION("""COMPUTED_VALUE"""),29273.6666666666)</f>
        <v>29273.666666666599</v>
      </c>
      <c r="B38" s="1">
        <f ca="1">IFERROR(__xludf.DUMMYFUNCTION("""COMPUTED_VALUE"""),1.47)</f>
        <v>1.47</v>
      </c>
      <c r="C38" s="1">
        <f ca="1">IFERROR(__xludf.DUMMYFUNCTION("""COMPUTED_VALUE"""),1.47)</f>
        <v>1.47</v>
      </c>
      <c r="D38" s="1">
        <f ca="1">IFERROR(__xludf.DUMMYFUNCTION("""COMPUTED_VALUE"""),1.46)</f>
        <v>1.46</v>
      </c>
      <c r="E38" s="1">
        <f ca="1">IFERROR(__xludf.DUMMYFUNCTION("""COMPUTED_VALUE"""),1.47)</f>
        <v>1.47</v>
      </c>
      <c r="F38" s="1">
        <f ca="1">IFERROR(__xludf.DUMMYFUNCTION("""COMPUTED_VALUE"""),93500)</f>
        <v>93500</v>
      </c>
      <c r="I38" s="1"/>
    </row>
    <row r="39" spans="1:9">
      <c r="A39" s="3">
        <f ca="1">IFERROR(__xludf.DUMMYFUNCTION("""COMPUTED_VALUE"""),29276.6666666666)</f>
        <v>29276.666666666599</v>
      </c>
      <c r="B39" s="1">
        <f ca="1">IFERROR(__xludf.DUMMYFUNCTION("""COMPUTED_VALUE"""),1.46)</f>
        <v>1.46</v>
      </c>
      <c r="C39" s="1">
        <f ca="1">IFERROR(__xludf.DUMMYFUNCTION("""COMPUTED_VALUE"""),1.47)</f>
        <v>1.47</v>
      </c>
      <c r="D39" s="1">
        <f ca="1">IFERROR(__xludf.DUMMYFUNCTION("""COMPUTED_VALUE"""),1.46)</f>
        <v>1.46</v>
      </c>
      <c r="E39" s="1">
        <f ca="1">IFERROR(__xludf.DUMMYFUNCTION("""COMPUTED_VALUE"""),1.46)</f>
        <v>1.46</v>
      </c>
      <c r="F39" s="1">
        <f ca="1">IFERROR(__xludf.DUMMYFUNCTION("""COMPUTED_VALUE"""),130100)</f>
        <v>130100</v>
      </c>
      <c r="I39" s="1"/>
    </row>
    <row r="40" spans="1:9">
      <c r="A40" s="3">
        <f ca="1">IFERROR(__xludf.DUMMYFUNCTION("""COMPUTED_VALUE"""),29277.6666666666)</f>
        <v>29277.666666666599</v>
      </c>
      <c r="B40" s="1">
        <f ca="1">IFERROR(__xludf.DUMMYFUNCTION("""COMPUTED_VALUE"""),1.45)</f>
        <v>1.45</v>
      </c>
      <c r="C40" s="1">
        <f ca="1">IFERROR(__xludf.DUMMYFUNCTION("""COMPUTED_VALUE"""),1.46)</f>
        <v>1.46</v>
      </c>
      <c r="D40" s="1">
        <f ca="1">IFERROR(__xludf.DUMMYFUNCTION("""COMPUTED_VALUE"""),1.45)</f>
        <v>1.45</v>
      </c>
      <c r="E40" s="1">
        <f ca="1">IFERROR(__xludf.DUMMYFUNCTION("""COMPUTED_VALUE"""),1.45)</f>
        <v>1.45</v>
      </c>
      <c r="F40" s="1">
        <f ca="1">IFERROR(__xludf.DUMMYFUNCTION("""COMPUTED_VALUE"""),90700)</f>
        <v>90700</v>
      </c>
      <c r="I40" s="1"/>
    </row>
    <row r="41" spans="1:9">
      <c r="A41" s="3">
        <f ca="1">IFERROR(__xludf.DUMMYFUNCTION("""COMPUTED_VALUE"""),29278.6666666666)</f>
        <v>29278.666666666599</v>
      </c>
      <c r="B41" s="1">
        <f ca="1">IFERROR(__xludf.DUMMYFUNCTION("""COMPUTED_VALUE"""),1.45)</f>
        <v>1.45</v>
      </c>
      <c r="C41" s="1">
        <f ca="1">IFERROR(__xludf.DUMMYFUNCTION("""COMPUTED_VALUE"""),1.46)</f>
        <v>1.46</v>
      </c>
      <c r="D41" s="1">
        <f ca="1">IFERROR(__xludf.DUMMYFUNCTION("""COMPUTED_VALUE"""),1.45)</f>
        <v>1.45</v>
      </c>
      <c r="E41" s="1">
        <f ca="1">IFERROR(__xludf.DUMMYFUNCTION("""COMPUTED_VALUE"""),1.45)</f>
        <v>1.45</v>
      </c>
      <c r="F41" s="1">
        <f ca="1">IFERROR(__xludf.DUMMYFUNCTION("""COMPUTED_VALUE"""),46000)</f>
        <v>46000</v>
      </c>
      <c r="I41" s="1"/>
    </row>
    <row r="42" spans="1:9">
      <c r="A42" s="3">
        <f ca="1">IFERROR(__xludf.DUMMYFUNCTION("""COMPUTED_VALUE"""),29279.6666666666)</f>
        <v>29279.666666666599</v>
      </c>
      <c r="B42" s="1">
        <f ca="1">IFERROR(__xludf.DUMMYFUNCTION("""COMPUTED_VALUE"""),1.44)</f>
        <v>1.44</v>
      </c>
      <c r="C42" s="1">
        <f ca="1">IFERROR(__xludf.DUMMYFUNCTION("""COMPUTED_VALUE"""),1.45)</f>
        <v>1.45</v>
      </c>
      <c r="D42" s="1">
        <f ca="1">IFERROR(__xludf.DUMMYFUNCTION("""COMPUTED_VALUE"""),1.44)</f>
        <v>1.44</v>
      </c>
      <c r="E42" s="1">
        <f ca="1">IFERROR(__xludf.DUMMYFUNCTION("""COMPUTED_VALUE"""),1.44)</f>
        <v>1.44</v>
      </c>
      <c r="F42" s="1">
        <f ca="1">IFERROR(__xludf.DUMMYFUNCTION("""COMPUTED_VALUE"""),74900)</f>
        <v>74900</v>
      </c>
      <c r="I42" s="1"/>
    </row>
    <row r="43" spans="1:9">
      <c r="A43" s="3">
        <f ca="1">IFERROR(__xludf.DUMMYFUNCTION("""COMPUTED_VALUE"""),29280.6666666666)</f>
        <v>29280.666666666599</v>
      </c>
      <c r="B43" s="1">
        <f ca="1">IFERROR(__xludf.DUMMYFUNCTION("""COMPUTED_VALUE"""),1.43)</f>
        <v>1.43</v>
      </c>
      <c r="C43" s="1">
        <f ca="1">IFERROR(__xludf.DUMMYFUNCTION("""COMPUTED_VALUE"""),1.45)</f>
        <v>1.45</v>
      </c>
      <c r="D43" s="1">
        <f ca="1">IFERROR(__xludf.DUMMYFUNCTION("""COMPUTED_VALUE"""),1.43)</f>
        <v>1.43</v>
      </c>
      <c r="E43" s="1">
        <f ca="1">IFERROR(__xludf.DUMMYFUNCTION("""COMPUTED_VALUE"""),1.43)</f>
        <v>1.43</v>
      </c>
      <c r="F43" s="1">
        <f ca="1">IFERROR(__xludf.DUMMYFUNCTION("""COMPUTED_VALUE"""),98900)</f>
        <v>98900</v>
      </c>
      <c r="I43" s="1"/>
    </row>
    <row r="44" spans="1:9">
      <c r="A44" s="3">
        <f ca="1">IFERROR(__xludf.DUMMYFUNCTION("""COMPUTED_VALUE"""),29283.6666666666)</f>
        <v>29283.666666666599</v>
      </c>
      <c r="B44" s="1">
        <f ca="1">IFERROR(__xludf.DUMMYFUNCTION("""COMPUTED_VALUE"""),1.43)</f>
        <v>1.43</v>
      </c>
      <c r="C44" s="1">
        <f ca="1">IFERROR(__xludf.DUMMYFUNCTION("""COMPUTED_VALUE"""),1.44)</f>
        <v>1.44</v>
      </c>
      <c r="D44" s="1">
        <f ca="1">IFERROR(__xludf.DUMMYFUNCTION("""COMPUTED_VALUE"""),1.43)</f>
        <v>1.43</v>
      </c>
      <c r="E44" s="1">
        <f ca="1">IFERROR(__xludf.DUMMYFUNCTION("""COMPUTED_VALUE"""),1.43)</f>
        <v>1.43</v>
      </c>
      <c r="F44" s="1">
        <f ca="1">IFERROR(__xludf.DUMMYFUNCTION("""COMPUTED_VALUE"""),47600)</f>
        <v>47600</v>
      </c>
      <c r="I44" s="1"/>
    </row>
    <row r="45" spans="1:9">
      <c r="A45" s="3">
        <f ca="1">IFERROR(__xludf.DUMMYFUNCTION("""COMPUTED_VALUE"""),29284.6666666666)</f>
        <v>29284.666666666599</v>
      </c>
      <c r="B45" s="1">
        <f ca="1">IFERROR(__xludf.DUMMYFUNCTION("""COMPUTED_VALUE"""),1.44)</f>
        <v>1.44</v>
      </c>
      <c r="C45" s="1">
        <f ca="1">IFERROR(__xludf.DUMMYFUNCTION("""COMPUTED_VALUE"""),1.44)</f>
        <v>1.44</v>
      </c>
      <c r="D45" s="1">
        <f ca="1">IFERROR(__xludf.DUMMYFUNCTION("""COMPUTED_VALUE"""),1.43)</f>
        <v>1.43</v>
      </c>
      <c r="E45" s="1">
        <f ca="1">IFERROR(__xludf.DUMMYFUNCTION("""COMPUTED_VALUE"""),1.44)</f>
        <v>1.44</v>
      </c>
      <c r="F45" s="1">
        <f ca="1">IFERROR(__xludf.DUMMYFUNCTION("""COMPUTED_VALUE"""),95600)</f>
        <v>95600</v>
      </c>
      <c r="I45" s="1"/>
    </row>
    <row r="46" spans="1:9">
      <c r="A46" s="3">
        <f ca="1">IFERROR(__xludf.DUMMYFUNCTION("""COMPUTED_VALUE"""),29285.6666666666)</f>
        <v>29285.666666666599</v>
      </c>
      <c r="B46" s="1">
        <f ca="1">IFERROR(__xludf.DUMMYFUNCTION("""COMPUTED_VALUE"""),1.41)</f>
        <v>1.41</v>
      </c>
      <c r="C46" s="1">
        <f ca="1">IFERROR(__xludf.DUMMYFUNCTION("""COMPUTED_VALUE"""),1.44)</f>
        <v>1.44</v>
      </c>
      <c r="D46" s="1">
        <f ca="1">IFERROR(__xludf.DUMMYFUNCTION("""COMPUTED_VALUE"""),1.41)</f>
        <v>1.41</v>
      </c>
      <c r="E46" s="1">
        <f ca="1">IFERROR(__xludf.DUMMYFUNCTION("""COMPUTED_VALUE"""),1.41)</f>
        <v>1.41</v>
      </c>
      <c r="F46" s="1">
        <f ca="1">IFERROR(__xludf.DUMMYFUNCTION("""COMPUTED_VALUE"""),47500)</f>
        <v>47500</v>
      </c>
      <c r="I46" s="1"/>
    </row>
    <row r="47" spans="1:9">
      <c r="A47" s="3">
        <f ca="1">IFERROR(__xludf.DUMMYFUNCTION("""COMPUTED_VALUE"""),29286.6666666666)</f>
        <v>29286.666666666599</v>
      </c>
      <c r="B47" s="1">
        <f ca="1">IFERROR(__xludf.DUMMYFUNCTION("""COMPUTED_VALUE"""),1.42)</f>
        <v>1.42</v>
      </c>
      <c r="C47" s="1">
        <f ca="1">IFERROR(__xludf.DUMMYFUNCTION("""COMPUTED_VALUE"""),1.42)</f>
        <v>1.42</v>
      </c>
      <c r="D47" s="1">
        <f ca="1">IFERROR(__xludf.DUMMYFUNCTION("""COMPUTED_VALUE"""),1.4)</f>
        <v>1.4</v>
      </c>
      <c r="E47" s="1">
        <f ca="1">IFERROR(__xludf.DUMMYFUNCTION("""COMPUTED_VALUE"""),1.42)</f>
        <v>1.42</v>
      </c>
      <c r="F47" s="1">
        <f ca="1">IFERROR(__xludf.DUMMYFUNCTION("""COMPUTED_VALUE"""),48400)</f>
        <v>48400</v>
      </c>
      <c r="I47" s="1"/>
    </row>
    <row r="48" spans="1:9">
      <c r="A48" s="3">
        <f ca="1">IFERROR(__xludf.DUMMYFUNCTION("""COMPUTED_VALUE"""),29287.6666666666)</f>
        <v>29287.666666666599</v>
      </c>
      <c r="B48" s="1">
        <f ca="1">IFERROR(__xludf.DUMMYFUNCTION("""COMPUTED_VALUE"""),1.42)</f>
        <v>1.42</v>
      </c>
      <c r="C48" s="1">
        <f ca="1">IFERROR(__xludf.DUMMYFUNCTION("""COMPUTED_VALUE"""),1.44)</f>
        <v>1.44</v>
      </c>
      <c r="D48" s="1">
        <f ca="1">IFERROR(__xludf.DUMMYFUNCTION("""COMPUTED_VALUE"""),1.42)</f>
        <v>1.42</v>
      </c>
      <c r="E48" s="1">
        <f ca="1">IFERROR(__xludf.DUMMYFUNCTION("""COMPUTED_VALUE"""),1.42)</f>
        <v>1.42</v>
      </c>
      <c r="F48" s="1">
        <f ca="1">IFERROR(__xludf.DUMMYFUNCTION("""COMPUTED_VALUE"""),68300)</f>
        <v>68300</v>
      </c>
      <c r="I48" s="1"/>
    </row>
    <row r="49" spans="1:9">
      <c r="A49" s="3">
        <f ca="1">IFERROR(__xludf.DUMMYFUNCTION("""COMPUTED_VALUE"""),29290.6666666666)</f>
        <v>29290.666666666599</v>
      </c>
      <c r="B49" s="1">
        <f ca="1">IFERROR(__xludf.DUMMYFUNCTION("""COMPUTED_VALUE"""),1.42)</f>
        <v>1.42</v>
      </c>
      <c r="C49" s="1">
        <f ca="1">IFERROR(__xludf.DUMMYFUNCTION("""COMPUTED_VALUE"""),1.44)</f>
        <v>1.44</v>
      </c>
      <c r="D49" s="1">
        <f ca="1">IFERROR(__xludf.DUMMYFUNCTION("""COMPUTED_VALUE"""),1.42)</f>
        <v>1.42</v>
      </c>
      <c r="E49" s="1">
        <f ca="1">IFERROR(__xludf.DUMMYFUNCTION("""COMPUTED_VALUE"""),1.42)</f>
        <v>1.42</v>
      </c>
      <c r="F49" s="1">
        <f ca="1">IFERROR(__xludf.DUMMYFUNCTION("""COMPUTED_VALUE"""),63200)</f>
        <v>63200</v>
      </c>
      <c r="I49" s="1"/>
    </row>
    <row r="50" spans="1:9">
      <c r="A50" s="3">
        <f ca="1">IFERROR(__xludf.DUMMYFUNCTION("""COMPUTED_VALUE"""),29291.6666666666)</f>
        <v>29291.666666666599</v>
      </c>
      <c r="B50" s="1">
        <f ca="1">IFERROR(__xludf.DUMMYFUNCTION("""COMPUTED_VALUE"""),1.45)</f>
        <v>1.45</v>
      </c>
      <c r="C50" s="1">
        <f ca="1">IFERROR(__xludf.DUMMYFUNCTION("""COMPUTED_VALUE"""),1.45)</f>
        <v>1.45</v>
      </c>
      <c r="D50" s="1">
        <f ca="1">IFERROR(__xludf.DUMMYFUNCTION("""COMPUTED_VALUE"""),1.43)</f>
        <v>1.43</v>
      </c>
      <c r="E50" s="1">
        <f ca="1">IFERROR(__xludf.DUMMYFUNCTION("""COMPUTED_VALUE"""),1.45)</f>
        <v>1.45</v>
      </c>
      <c r="F50" s="1">
        <f ca="1">IFERROR(__xludf.DUMMYFUNCTION("""COMPUTED_VALUE"""),46300)</f>
        <v>46300</v>
      </c>
      <c r="I50" s="1"/>
    </row>
    <row r="51" spans="1:9">
      <c r="A51" s="3">
        <f ca="1">IFERROR(__xludf.DUMMYFUNCTION("""COMPUTED_VALUE"""),29292.6666666666)</f>
        <v>29292.666666666599</v>
      </c>
      <c r="B51" s="1">
        <f ca="1">IFERROR(__xludf.DUMMYFUNCTION("""COMPUTED_VALUE"""),1.42)</f>
        <v>1.42</v>
      </c>
      <c r="C51" s="1">
        <f ca="1">IFERROR(__xludf.DUMMYFUNCTION("""COMPUTED_VALUE"""),1.45)</f>
        <v>1.45</v>
      </c>
      <c r="D51" s="1">
        <f ca="1">IFERROR(__xludf.DUMMYFUNCTION("""COMPUTED_VALUE"""),1.42)</f>
        <v>1.42</v>
      </c>
      <c r="E51" s="1">
        <f ca="1">IFERROR(__xludf.DUMMYFUNCTION("""COMPUTED_VALUE"""),1.42)</f>
        <v>1.42</v>
      </c>
      <c r="F51" s="1">
        <f ca="1">IFERROR(__xludf.DUMMYFUNCTION("""COMPUTED_VALUE"""),73200)</f>
        <v>73200</v>
      </c>
      <c r="I51" s="1"/>
    </row>
    <row r="52" spans="1:9">
      <c r="A52" s="3">
        <f ca="1">IFERROR(__xludf.DUMMYFUNCTION("""COMPUTED_VALUE"""),29293.6666666666)</f>
        <v>29293.666666666599</v>
      </c>
      <c r="B52" s="1">
        <f ca="1">IFERROR(__xludf.DUMMYFUNCTION("""COMPUTED_VALUE"""),1.39)</f>
        <v>1.39</v>
      </c>
      <c r="C52" s="1">
        <f ca="1">IFERROR(__xludf.DUMMYFUNCTION("""COMPUTED_VALUE"""),1.42)</f>
        <v>1.42</v>
      </c>
      <c r="D52" s="1">
        <f ca="1">IFERROR(__xludf.DUMMYFUNCTION("""COMPUTED_VALUE"""),1.39)</f>
        <v>1.39</v>
      </c>
      <c r="E52" s="1">
        <f ca="1">IFERROR(__xludf.DUMMYFUNCTION("""COMPUTED_VALUE"""),1.39)</f>
        <v>1.39</v>
      </c>
      <c r="F52" s="1">
        <f ca="1">IFERROR(__xludf.DUMMYFUNCTION("""COMPUTED_VALUE"""),53200)</f>
        <v>53200</v>
      </c>
      <c r="I52" s="1"/>
    </row>
    <row r="53" spans="1:9">
      <c r="A53" s="3">
        <f ca="1">IFERROR(__xludf.DUMMYFUNCTION("""COMPUTED_VALUE"""),29294.6666666666)</f>
        <v>29294.666666666599</v>
      </c>
      <c r="B53" s="1">
        <f ca="1">IFERROR(__xludf.DUMMYFUNCTION("""COMPUTED_VALUE"""),1.39)</f>
        <v>1.39</v>
      </c>
      <c r="C53" s="1">
        <f ca="1">IFERROR(__xludf.DUMMYFUNCTION("""COMPUTED_VALUE"""),1.4)</f>
        <v>1.4</v>
      </c>
      <c r="D53" s="1">
        <f ca="1">IFERROR(__xludf.DUMMYFUNCTION("""COMPUTED_VALUE"""),1.38)</f>
        <v>1.38</v>
      </c>
      <c r="E53" s="1">
        <f ca="1">IFERROR(__xludf.DUMMYFUNCTION("""COMPUTED_VALUE"""),1.39)</f>
        <v>1.39</v>
      </c>
      <c r="F53" s="1">
        <f ca="1">IFERROR(__xludf.DUMMYFUNCTION("""COMPUTED_VALUE"""),51000)</f>
        <v>51000</v>
      </c>
      <c r="I53" s="1"/>
    </row>
    <row r="54" spans="1:9">
      <c r="A54" s="3">
        <f ca="1">IFERROR(__xludf.DUMMYFUNCTION("""COMPUTED_VALUE"""),29297.6666666666)</f>
        <v>29297.666666666599</v>
      </c>
      <c r="B54" s="1">
        <f ca="1">IFERROR(__xludf.DUMMYFUNCTION("""COMPUTED_VALUE"""),1.38)</f>
        <v>1.38</v>
      </c>
      <c r="C54" s="1">
        <f ca="1">IFERROR(__xludf.DUMMYFUNCTION("""COMPUTED_VALUE"""),1.4)</f>
        <v>1.4</v>
      </c>
      <c r="D54" s="1">
        <f ca="1">IFERROR(__xludf.DUMMYFUNCTION("""COMPUTED_VALUE"""),1.38)</f>
        <v>1.38</v>
      </c>
      <c r="E54" s="1">
        <f ca="1">IFERROR(__xludf.DUMMYFUNCTION("""COMPUTED_VALUE"""),1.38)</f>
        <v>1.38</v>
      </c>
      <c r="F54" s="1">
        <f ca="1">IFERROR(__xludf.DUMMYFUNCTION("""COMPUTED_VALUE"""),39900)</f>
        <v>39900</v>
      </c>
      <c r="I54" s="1"/>
    </row>
    <row r="55" spans="1:9">
      <c r="A55" s="3">
        <f ca="1">IFERROR(__xludf.DUMMYFUNCTION("""COMPUTED_VALUE"""),29298.6666666666)</f>
        <v>29298.666666666599</v>
      </c>
      <c r="B55" s="1">
        <f ca="1">IFERROR(__xludf.DUMMYFUNCTION("""COMPUTED_VALUE"""),1.41)</f>
        <v>1.41</v>
      </c>
      <c r="C55" s="1">
        <f ca="1">IFERROR(__xludf.DUMMYFUNCTION("""COMPUTED_VALUE"""),1.42)</f>
        <v>1.42</v>
      </c>
      <c r="D55" s="1">
        <f ca="1">IFERROR(__xludf.DUMMYFUNCTION("""COMPUTED_VALUE"""),1.38)</f>
        <v>1.38</v>
      </c>
      <c r="E55" s="1">
        <f ca="1">IFERROR(__xludf.DUMMYFUNCTION("""COMPUTED_VALUE"""),1.41)</f>
        <v>1.41</v>
      </c>
      <c r="F55" s="1">
        <f ca="1">IFERROR(__xludf.DUMMYFUNCTION("""COMPUTED_VALUE"""),51700)</f>
        <v>51700</v>
      </c>
      <c r="I55" s="1"/>
    </row>
    <row r="56" spans="1:9">
      <c r="A56" s="3">
        <f ca="1">IFERROR(__xludf.DUMMYFUNCTION("""COMPUTED_VALUE"""),29299.6666666666)</f>
        <v>29299.666666666599</v>
      </c>
      <c r="B56" s="1">
        <f ca="1">IFERROR(__xludf.DUMMYFUNCTION("""COMPUTED_VALUE"""),1.42)</f>
        <v>1.42</v>
      </c>
      <c r="C56" s="1">
        <f ca="1">IFERROR(__xludf.DUMMYFUNCTION("""COMPUTED_VALUE"""),1.42)</f>
        <v>1.42</v>
      </c>
      <c r="D56" s="1">
        <f ca="1">IFERROR(__xludf.DUMMYFUNCTION("""COMPUTED_VALUE"""),1.41)</f>
        <v>1.41</v>
      </c>
      <c r="E56" s="1">
        <f ca="1">IFERROR(__xludf.DUMMYFUNCTION("""COMPUTED_VALUE"""),1.42)</f>
        <v>1.42</v>
      </c>
      <c r="F56" s="1">
        <f ca="1">IFERROR(__xludf.DUMMYFUNCTION("""COMPUTED_VALUE"""),38000)</f>
        <v>38000</v>
      </c>
      <c r="I56" s="1"/>
    </row>
    <row r="57" spans="1:9">
      <c r="A57" s="3">
        <f ca="1">IFERROR(__xludf.DUMMYFUNCTION("""COMPUTED_VALUE"""),29300.6666666666)</f>
        <v>29300.666666666599</v>
      </c>
      <c r="B57" s="1">
        <f ca="1">IFERROR(__xludf.DUMMYFUNCTION("""COMPUTED_VALUE"""),1.43)</f>
        <v>1.43</v>
      </c>
      <c r="C57" s="1">
        <f ca="1">IFERROR(__xludf.DUMMYFUNCTION("""COMPUTED_VALUE"""),1.43)</f>
        <v>1.43</v>
      </c>
      <c r="D57" s="1">
        <f ca="1">IFERROR(__xludf.DUMMYFUNCTION("""COMPUTED_VALUE"""),1.42)</f>
        <v>1.42</v>
      </c>
      <c r="E57" s="1">
        <f ca="1">IFERROR(__xludf.DUMMYFUNCTION("""COMPUTED_VALUE"""),1.43)</f>
        <v>1.43</v>
      </c>
      <c r="F57" s="1">
        <f ca="1">IFERROR(__xludf.DUMMYFUNCTION("""COMPUTED_VALUE"""),31600)</f>
        <v>31600</v>
      </c>
      <c r="I57" s="1"/>
    </row>
    <row r="58" spans="1:9">
      <c r="A58" s="3">
        <f ca="1">IFERROR(__xludf.DUMMYFUNCTION("""COMPUTED_VALUE"""),29301.6666666666)</f>
        <v>29301.666666666599</v>
      </c>
      <c r="B58" s="1">
        <f ca="1">IFERROR(__xludf.DUMMYFUNCTION("""COMPUTED_VALUE"""),1.42)</f>
        <v>1.42</v>
      </c>
      <c r="C58" s="1">
        <f ca="1">IFERROR(__xludf.DUMMYFUNCTION("""COMPUTED_VALUE"""),1.43)</f>
        <v>1.43</v>
      </c>
      <c r="D58" s="1">
        <f ca="1">IFERROR(__xludf.DUMMYFUNCTION("""COMPUTED_VALUE"""),1.42)</f>
        <v>1.42</v>
      </c>
      <c r="E58" s="1">
        <f ca="1">IFERROR(__xludf.DUMMYFUNCTION("""COMPUTED_VALUE"""),1.42)</f>
        <v>1.42</v>
      </c>
      <c r="F58" s="1">
        <f ca="1">IFERROR(__xludf.DUMMYFUNCTION("""COMPUTED_VALUE"""),36300)</f>
        <v>36300</v>
      </c>
      <c r="I58" s="1"/>
    </row>
    <row r="59" spans="1:9">
      <c r="A59" s="3">
        <f ca="1">IFERROR(__xludf.DUMMYFUNCTION("""COMPUTED_VALUE"""),29304.6666666666)</f>
        <v>29304.666666666599</v>
      </c>
      <c r="B59" s="1">
        <f ca="1">IFERROR(__xludf.DUMMYFUNCTION("""COMPUTED_VALUE"""),1.39)</f>
        <v>1.39</v>
      </c>
      <c r="C59" s="1">
        <f ca="1">IFERROR(__xludf.DUMMYFUNCTION("""COMPUTED_VALUE"""),1.42)</f>
        <v>1.42</v>
      </c>
      <c r="D59" s="1">
        <f ca="1">IFERROR(__xludf.DUMMYFUNCTION("""COMPUTED_VALUE"""),1.39)</f>
        <v>1.39</v>
      </c>
      <c r="E59" s="1">
        <f ca="1">IFERROR(__xludf.DUMMYFUNCTION("""COMPUTED_VALUE"""),1.39)</f>
        <v>1.39</v>
      </c>
      <c r="F59" s="1">
        <f ca="1">IFERROR(__xludf.DUMMYFUNCTION("""COMPUTED_VALUE"""),62300)</f>
        <v>62300</v>
      </c>
      <c r="I59" s="1"/>
    </row>
    <row r="60" spans="1:9">
      <c r="A60" s="3">
        <f ca="1">IFERROR(__xludf.DUMMYFUNCTION("""COMPUTED_VALUE"""),29305.6666666666)</f>
        <v>29305.666666666599</v>
      </c>
      <c r="B60" s="1">
        <f ca="1">IFERROR(__xludf.DUMMYFUNCTION("""COMPUTED_VALUE"""),1.39)</f>
        <v>1.39</v>
      </c>
      <c r="C60" s="1">
        <f ca="1">IFERROR(__xludf.DUMMYFUNCTION("""COMPUTED_VALUE"""),1.39)</f>
        <v>1.39</v>
      </c>
      <c r="D60" s="1">
        <f ca="1">IFERROR(__xludf.DUMMYFUNCTION("""COMPUTED_VALUE"""),1.38)</f>
        <v>1.38</v>
      </c>
      <c r="E60" s="1">
        <f ca="1">IFERROR(__xludf.DUMMYFUNCTION("""COMPUTED_VALUE"""),1.39)</f>
        <v>1.39</v>
      </c>
      <c r="F60" s="1">
        <f ca="1">IFERROR(__xludf.DUMMYFUNCTION("""COMPUTED_VALUE"""),50300)</f>
        <v>50300</v>
      </c>
      <c r="I60" s="1"/>
    </row>
    <row r="61" spans="1:9">
      <c r="A61" s="3">
        <f ca="1">IFERROR(__xludf.DUMMYFUNCTION("""COMPUTED_VALUE"""),29306.6666666666)</f>
        <v>29306.666666666599</v>
      </c>
      <c r="B61" s="1">
        <f ca="1">IFERROR(__xludf.DUMMYFUNCTION("""COMPUTED_VALUE"""),1.41)</f>
        <v>1.41</v>
      </c>
      <c r="C61" s="1">
        <f ca="1">IFERROR(__xludf.DUMMYFUNCTION("""COMPUTED_VALUE"""),1.42)</f>
        <v>1.42</v>
      </c>
      <c r="D61" s="1">
        <f ca="1">IFERROR(__xludf.DUMMYFUNCTION("""COMPUTED_VALUE"""),1.4)</f>
        <v>1.4</v>
      </c>
      <c r="E61" s="1">
        <f ca="1">IFERROR(__xludf.DUMMYFUNCTION("""COMPUTED_VALUE"""),1.41)</f>
        <v>1.41</v>
      </c>
      <c r="F61" s="1">
        <f ca="1">IFERROR(__xludf.DUMMYFUNCTION("""COMPUTED_VALUE"""),64600)</f>
        <v>64600</v>
      </c>
      <c r="I61" s="1"/>
    </row>
    <row r="62" spans="1:9">
      <c r="A62" s="3">
        <f ca="1">IFERROR(__xludf.DUMMYFUNCTION("""COMPUTED_VALUE"""),29307.6666666666)</f>
        <v>29307.666666666599</v>
      </c>
      <c r="B62" s="1">
        <f ca="1">IFERROR(__xludf.DUMMYFUNCTION("""COMPUTED_VALUE"""),1.41)</f>
        <v>1.41</v>
      </c>
      <c r="C62" s="1">
        <f ca="1">IFERROR(__xludf.DUMMYFUNCTION("""COMPUTED_VALUE"""),1.42)</f>
        <v>1.42</v>
      </c>
      <c r="D62" s="1">
        <f ca="1">IFERROR(__xludf.DUMMYFUNCTION("""COMPUTED_VALUE"""),1.39)</f>
        <v>1.39</v>
      </c>
      <c r="E62" s="1">
        <f ca="1">IFERROR(__xludf.DUMMYFUNCTION("""COMPUTED_VALUE"""),1.41)</f>
        <v>1.41</v>
      </c>
      <c r="F62" s="1">
        <f ca="1">IFERROR(__xludf.DUMMYFUNCTION("""COMPUTED_VALUE"""),36200)</f>
        <v>36200</v>
      </c>
      <c r="I62" s="1"/>
    </row>
    <row r="63" spans="1:9">
      <c r="A63" s="3">
        <f ca="1">IFERROR(__xludf.DUMMYFUNCTION("""COMPUTED_VALUE"""),29308.6666666666)</f>
        <v>29308.666666666599</v>
      </c>
      <c r="B63" s="1">
        <f ca="1">IFERROR(__xludf.DUMMYFUNCTION("""COMPUTED_VALUE"""),1.44)</f>
        <v>1.44</v>
      </c>
      <c r="C63" s="1">
        <f ca="1">IFERROR(__xludf.DUMMYFUNCTION("""COMPUTED_VALUE"""),1.44)</f>
        <v>1.44</v>
      </c>
      <c r="D63" s="1">
        <f ca="1">IFERROR(__xludf.DUMMYFUNCTION("""COMPUTED_VALUE"""),1.42)</f>
        <v>1.42</v>
      </c>
      <c r="E63" s="1">
        <f ca="1">IFERROR(__xludf.DUMMYFUNCTION("""COMPUTED_VALUE"""),1.44)</f>
        <v>1.44</v>
      </c>
      <c r="F63" s="1">
        <f ca="1">IFERROR(__xludf.DUMMYFUNCTION("""COMPUTED_VALUE"""),129500)</f>
        <v>129500</v>
      </c>
      <c r="I63" s="1"/>
    </row>
    <row r="64" spans="1:9">
      <c r="A64" s="3">
        <f ca="1">IFERROR(__xludf.DUMMYFUNCTION("""COMPUTED_VALUE"""),29311.6666666666)</f>
        <v>29311.666666666599</v>
      </c>
      <c r="B64" s="1">
        <f ca="1">IFERROR(__xludf.DUMMYFUNCTION("""COMPUTED_VALUE"""),1.48)</f>
        <v>1.48</v>
      </c>
      <c r="C64" s="1">
        <f ca="1">IFERROR(__xludf.DUMMYFUNCTION("""COMPUTED_VALUE"""),1.48)</f>
        <v>1.48</v>
      </c>
      <c r="D64" s="1">
        <f ca="1">IFERROR(__xludf.DUMMYFUNCTION("""COMPUTED_VALUE"""),1.44)</f>
        <v>1.44</v>
      </c>
      <c r="E64" s="1">
        <f ca="1">IFERROR(__xludf.DUMMYFUNCTION("""COMPUTED_VALUE"""),1.48)</f>
        <v>1.48</v>
      </c>
      <c r="F64" s="1">
        <f ca="1">IFERROR(__xludf.DUMMYFUNCTION("""COMPUTED_VALUE"""),109400)</f>
        <v>109400</v>
      </c>
      <c r="I64" s="1"/>
    </row>
    <row r="65" spans="1:9">
      <c r="A65" s="3">
        <f ca="1">IFERROR(__xludf.DUMMYFUNCTION("""COMPUTED_VALUE"""),29312.6666666666)</f>
        <v>29312.666666666599</v>
      </c>
      <c r="B65" s="1">
        <f ca="1">IFERROR(__xludf.DUMMYFUNCTION("""COMPUTED_VALUE"""),1.49)</f>
        <v>1.49</v>
      </c>
      <c r="C65" s="1">
        <f ca="1">IFERROR(__xludf.DUMMYFUNCTION("""COMPUTED_VALUE"""),1.49)</f>
        <v>1.49</v>
      </c>
      <c r="D65" s="1">
        <f ca="1">IFERROR(__xludf.DUMMYFUNCTION("""COMPUTED_VALUE"""),1.48)</f>
        <v>1.48</v>
      </c>
      <c r="E65" s="1">
        <f ca="1">IFERROR(__xludf.DUMMYFUNCTION("""COMPUTED_VALUE"""),1.49)</f>
        <v>1.49</v>
      </c>
      <c r="F65" s="1">
        <f ca="1">IFERROR(__xludf.DUMMYFUNCTION("""COMPUTED_VALUE"""),48200)</f>
        <v>48200</v>
      </c>
      <c r="I65" s="1"/>
    </row>
    <row r="66" spans="1:9">
      <c r="A66" s="3">
        <f ca="1">IFERROR(__xludf.DUMMYFUNCTION("""COMPUTED_VALUE"""),29313.6666666666)</f>
        <v>29313.666666666599</v>
      </c>
      <c r="B66" s="1">
        <f ca="1">IFERROR(__xludf.DUMMYFUNCTION("""COMPUTED_VALUE"""),1.48)</f>
        <v>1.48</v>
      </c>
      <c r="C66" s="1">
        <f ca="1">IFERROR(__xludf.DUMMYFUNCTION("""COMPUTED_VALUE"""),1.49)</f>
        <v>1.49</v>
      </c>
      <c r="D66" s="1">
        <f ca="1">IFERROR(__xludf.DUMMYFUNCTION("""COMPUTED_VALUE"""),1.48)</f>
        <v>1.48</v>
      </c>
      <c r="E66" s="1">
        <f ca="1">IFERROR(__xludf.DUMMYFUNCTION("""COMPUTED_VALUE"""),1.48)</f>
        <v>1.48</v>
      </c>
      <c r="F66" s="1">
        <f ca="1">IFERROR(__xludf.DUMMYFUNCTION("""COMPUTED_VALUE"""),97100)</f>
        <v>97100</v>
      </c>
      <c r="I66" s="1"/>
    </row>
    <row r="67" spans="1:9">
      <c r="A67" s="3">
        <f ca="1">IFERROR(__xludf.DUMMYFUNCTION("""COMPUTED_VALUE"""),29314.6666666666)</f>
        <v>29314.666666666599</v>
      </c>
      <c r="B67" s="1">
        <f ca="1">IFERROR(__xludf.DUMMYFUNCTION("""COMPUTED_VALUE"""),1.5)</f>
        <v>1.5</v>
      </c>
      <c r="C67" s="1">
        <f ca="1">IFERROR(__xludf.DUMMYFUNCTION("""COMPUTED_VALUE"""),1.51)</f>
        <v>1.51</v>
      </c>
      <c r="D67" s="1">
        <f ca="1">IFERROR(__xludf.DUMMYFUNCTION("""COMPUTED_VALUE"""),1.49)</f>
        <v>1.49</v>
      </c>
      <c r="E67" s="1">
        <f ca="1">IFERROR(__xludf.DUMMYFUNCTION("""COMPUTED_VALUE"""),1.5)</f>
        <v>1.5</v>
      </c>
      <c r="F67" s="1">
        <f ca="1">IFERROR(__xludf.DUMMYFUNCTION("""COMPUTED_VALUE"""),85600)</f>
        <v>85600</v>
      </c>
      <c r="I67" s="1"/>
    </row>
    <row r="68" spans="1:9">
      <c r="A68" s="3">
        <f ca="1">IFERROR(__xludf.DUMMYFUNCTION("""COMPUTED_VALUE"""),29318.6666666666)</f>
        <v>29318.666666666599</v>
      </c>
      <c r="B68" s="1">
        <f ca="1">IFERROR(__xludf.DUMMYFUNCTION("""COMPUTED_VALUE"""),1.47)</f>
        <v>1.47</v>
      </c>
      <c r="C68" s="1">
        <f ca="1">IFERROR(__xludf.DUMMYFUNCTION("""COMPUTED_VALUE"""),1.5)</f>
        <v>1.5</v>
      </c>
      <c r="D68" s="1">
        <f ca="1">IFERROR(__xludf.DUMMYFUNCTION("""COMPUTED_VALUE"""),1.47)</f>
        <v>1.47</v>
      </c>
      <c r="E68" s="1">
        <f ca="1">IFERROR(__xludf.DUMMYFUNCTION("""COMPUTED_VALUE"""),1.47)</f>
        <v>1.47</v>
      </c>
      <c r="F68" s="1">
        <f ca="1">IFERROR(__xludf.DUMMYFUNCTION("""COMPUTED_VALUE"""),66800)</f>
        <v>66800</v>
      </c>
      <c r="I68" s="1"/>
    </row>
    <row r="69" spans="1:9">
      <c r="A69" s="3">
        <f ca="1">IFERROR(__xludf.DUMMYFUNCTION("""COMPUTED_VALUE"""),29319.6666666666)</f>
        <v>29319.666666666599</v>
      </c>
      <c r="B69" s="1">
        <f ca="1">IFERROR(__xludf.DUMMYFUNCTION("""COMPUTED_VALUE"""),1.48)</f>
        <v>1.48</v>
      </c>
      <c r="C69" s="1">
        <f ca="1">IFERROR(__xludf.DUMMYFUNCTION("""COMPUTED_VALUE"""),1.49)</f>
        <v>1.49</v>
      </c>
      <c r="D69" s="1">
        <f ca="1">IFERROR(__xludf.DUMMYFUNCTION("""COMPUTED_VALUE"""),1.46)</f>
        <v>1.46</v>
      </c>
      <c r="E69" s="1">
        <f ca="1">IFERROR(__xludf.DUMMYFUNCTION("""COMPUTED_VALUE"""),1.48)</f>
        <v>1.48</v>
      </c>
      <c r="F69" s="1">
        <f ca="1">IFERROR(__xludf.DUMMYFUNCTION("""COMPUTED_VALUE"""),60100)</f>
        <v>60100</v>
      </c>
      <c r="I69" s="1"/>
    </row>
    <row r="70" spans="1:9">
      <c r="A70" s="3">
        <f ca="1">IFERROR(__xludf.DUMMYFUNCTION("""COMPUTED_VALUE"""),29320.6666666666)</f>
        <v>29320.666666666599</v>
      </c>
      <c r="B70" s="1">
        <f ca="1">IFERROR(__xludf.DUMMYFUNCTION("""COMPUTED_VALUE"""),1.49)</f>
        <v>1.49</v>
      </c>
      <c r="C70" s="1">
        <f ca="1">IFERROR(__xludf.DUMMYFUNCTION("""COMPUTED_VALUE"""),1.49)</f>
        <v>1.49</v>
      </c>
      <c r="D70" s="1">
        <f ca="1">IFERROR(__xludf.DUMMYFUNCTION("""COMPUTED_VALUE"""),1.48)</f>
        <v>1.48</v>
      </c>
      <c r="E70" s="1">
        <f ca="1">IFERROR(__xludf.DUMMYFUNCTION("""COMPUTED_VALUE"""),1.49)</f>
        <v>1.49</v>
      </c>
      <c r="F70" s="1">
        <f ca="1">IFERROR(__xludf.DUMMYFUNCTION("""COMPUTED_VALUE"""),25700)</f>
        <v>25700</v>
      </c>
      <c r="I70" s="1"/>
    </row>
    <row r="71" spans="1:9">
      <c r="A71" s="3">
        <f ca="1">IFERROR(__xludf.DUMMYFUNCTION("""COMPUTED_VALUE"""),29321.6666666666)</f>
        <v>29321.666666666599</v>
      </c>
      <c r="B71" s="1">
        <f ca="1">IFERROR(__xludf.DUMMYFUNCTION("""COMPUTED_VALUE"""),1.49)</f>
        <v>1.49</v>
      </c>
      <c r="C71" s="1">
        <f ca="1">IFERROR(__xludf.DUMMYFUNCTION("""COMPUTED_VALUE"""),1.49)</f>
        <v>1.49</v>
      </c>
      <c r="D71" s="1">
        <f ca="1">IFERROR(__xludf.DUMMYFUNCTION("""COMPUTED_VALUE"""),1.49)</f>
        <v>1.49</v>
      </c>
      <c r="E71" s="1">
        <f ca="1">IFERROR(__xludf.DUMMYFUNCTION("""COMPUTED_VALUE"""),1.49)</f>
        <v>1.49</v>
      </c>
      <c r="F71" s="1">
        <f ca="1">IFERROR(__xludf.DUMMYFUNCTION("""COMPUTED_VALUE"""),28500)</f>
        <v>28500</v>
      </c>
      <c r="I71" s="1"/>
    </row>
    <row r="72" spans="1:9">
      <c r="A72" s="3">
        <f ca="1">IFERROR(__xludf.DUMMYFUNCTION("""COMPUTED_VALUE"""),29322.6666666666)</f>
        <v>29322.666666666599</v>
      </c>
      <c r="B72" s="1">
        <f ca="1">IFERROR(__xludf.DUMMYFUNCTION("""COMPUTED_VALUE"""),1.48)</f>
        <v>1.48</v>
      </c>
      <c r="C72" s="1">
        <f ca="1">IFERROR(__xludf.DUMMYFUNCTION("""COMPUTED_VALUE"""),1.49)</f>
        <v>1.49</v>
      </c>
      <c r="D72" s="1">
        <f ca="1">IFERROR(__xludf.DUMMYFUNCTION("""COMPUTED_VALUE"""),1.48)</f>
        <v>1.48</v>
      </c>
      <c r="E72" s="1">
        <f ca="1">IFERROR(__xludf.DUMMYFUNCTION("""COMPUTED_VALUE"""),1.48)</f>
        <v>1.48</v>
      </c>
      <c r="F72" s="1">
        <f ca="1">IFERROR(__xludf.DUMMYFUNCTION("""COMPUTED_VALUE"""),34400)</f>
        <v>34400</v>
      </c>
      <c r="I72" s="1"/>
    </row>
    <row r="73" spans="1:9">
      <c r="A73" s="3">
        <f ca="1">IFERROR(__xludf.DUMMYFUNCTION("""COMPUTED_VALUE"""),29325.6666666666)</f>
        <v>29325.666666666599</v>
      </c>
      <c r="B73" s="1">
        <f ca="1">IFERROR(__xludf.DUMMYFUNCTION("""COMPUTED_VALUE"""),1.46)</f>
        <v>1.46</v>
      </c>
      <c r="C73" s="1">
        <f ca="1">IFERROR(__xludf.DUMMYFUNCTION("""COMPUTED_VALUE"""),1.47)</f>
        <v>1.47</v>
      </c>
      <c r="D73" s="1">
        <f ca="1">IFERROR(__xludf.DUMMYFUNCTION("""COMPUTED_VALUE"""),1.46)</f>
        <v>1.46</v>
      </c>
      <c r="E73" s="1">
        <f ca="1">IFERROR(__xludf.DUMMYFUNCTION("""COMPUTED_VALUE"""),1.46)</f>
        <v>1.46</v>
      </c>
      <c r="F73" s="1">
        <f ca="1">IFERROR(__xludf.DUMMYFUNCTION("""COMPUTED_VALUE"""),27700)</f>
        <v>27700</v>
      </c>
      <c r="I73" s="1"/>
    </row>
    <row r="74" spans="1:9">
      <c r="A74" s="3">
        <f ca="1">IFERROR(__xludf.DUMMYFUNCTION("""COMPUTED_VALUE"""),29326.6666666666)</f>
        <v>29326.666666666599</v>
      </c>
      <c r="B74" s="1">
        <f ca="1">IFERROR(__xludf.DUMMYFUNCTION("""COMPUTED_VALUE"""),1.49)</f>
        <v>1.49</v>
      </c>
      <c r="C74" s="1">
        <f ca="1">IFERROR(__xludf.DUMMYFUNCTION("""COMPUTED_VALUE"""),1.49)</f>
        <v>1.49</v>
      </c>
      <c r="D74" s="1">
        <f ca="1">IFERROR(__xludf.DUMMYFUNCTION("""COMPUTED_VALUE"""),1.46)</f>
        <v>1.46</v>
      </c>
      <c r="E74" s="1">
        <f ca="1">IFERROR(__xludf.DUMMYFUNCTION("""COMPUTED_VALUE"""),1.49)</f>
        <v>1.49</v>
      </c>
      <c r="F74" s="1">
        <f ca="1">IFERROR(__xludf.DUMMYFUNCTION("""COMPUTED_VALUE"""),55800)</f>
        <v>55800</v>
      </c>
      <c r="I74" s="1"/>
    </row>
    <row r="75" spans="1:9">
      <c r="A75" s="3">
        <f ca="1">IFERROR(__xludf.DUMMYFUNCTION("""COMPUTED_VALUE"""),29327.6666666666)</f>
        <v>29327.666666666599</v>
      </c>
      <c r="B75" s="1">
        <f ca="1">IFERROR(__xludf.DUMMYFUNCTION("""COMPUTED_VALUE"""),1.49)</f>
        <v>1.49</v>
      </c>
      <c r="C75" s="1">
        <f ca="1">IFERROR(__xludf.DUMMYFUNCTION("""COMPUTED_VALUE"""),1.51)</f>
        <v>1.51</v>
      </c>
      <c r="D75" s="1">
        <f ca="1">IFERROR(__xludf.DUMMYFUNCTION("""COMPUTED_VALUE"""),1.49)</f>
        <v>1.49</v>
      </c>
      <c r="E75" s="1">
        <f ca="1">IFERROR(__xludf.DUMMYFUNCTION("""COMPUTED_VALUE"""),1.49)</f>
        <v>1.49</v>
      </c>
      <c r="F75" s="1">
        <f ca="1">IFERROR(__xludf.DUMMYFUNCTION("""COMPUTED_VALUE"""),69500)</f>
        <v>69500</v>
      </c>
      <c r="I75" s="1"/>
    </row>
    <row r="76" spans="1:9">
      <c r="A76" s="3">
        <f ca="1">IFERROR(__xludf.DUMMYFUNCTION("""COMPUTED_VALUE"""),29328.6666666666)</f>
        <v>29328.666666666599</v>
      </c>
      <c r="B76" s="1">
        <f ca="1">IFERROR(__xludf.DUMMYFUNCTION("""COMPUTED_VALUE"""),1.49)</f>
        <v>1.49</v>
      </c>
      <c r="C76" s="1">
        <f ca="1">IFERROR(__xludf.DUMMYFUNCTION("""COMPUTED_VALUE"""),1.5)</f>
        <v>1.5</v>
      </c>
      <c r="D76" s="1">
        <f ca="1">IFERROR(__xludf.DUMMYFUNCTION("""COMPUTED_VALUE"""),1.48)</f>
        <v>1.48</v>
      </c>
      <c r="E76" s="1">
        <f ca="1">IFERROR(__xludf.DUMMYFUNCTION("""COMPUTED_VALUE"""),1.49)</f>
        <v>1.49</v>
      </c>
      <c r="F76" s="1">
        <f ca="1">IFERROR(__xludf.DUMMYFUNCTION("""COMPUTED_VALUE"""),50800)</f>
        <v>50800</v>
      </c>
      <c r="I76" s="1"/>
    </row>
    <row r="77" spans="1:9">
      <c r="A77" s="3">
        <f ca="1">IFERROR(__xludf.DUMMYFUNCTION("""COMPUTED_VALUE"""),29329.6666666666)</f>
        <v>29329.666666666599</v>
      </c>
      <c r="B77" s="1">
        <f ca="1">IFERROR(__xludf.DUMMYFUNCTION("""COMPUTED_VALUE"""),1.49)</f>
        <v>1.49</v>
      </c>
      <c r="C77" s="1">
        <f ca="1">IFERROR(__xludf.DUMMYFUNCTION("""COMPUTED_VALUE"""),1.49)</f>
        <v>1.49</v>
      </c>
      <c r="D77" s="1">
        <f ca="1">IFERROR(__xludf.DUMMYFUNCTION("""COMPUTED_VALUE"""),1.48)</f>
        <v>1.48</v>
      </c>
      <c r="E77" s="1">
        <f ca="1">IFERROR(__xludf.DUMMYFUNCTION("""COMPUTED_VALUE"""),1.49)</f>
        <v>1.49</v>
      </c>
      <c r="F77" s="1">
        <f ca="1">IFERROR(__xludf.DUMMYFUNCTION("""COMPUTED_VALUE"""),26700)</f>
        <v>26700</v>
      </c>
      <c r="I77" s="1"/>
    </row>
    <row r="78" spans="1:9">
      <c r="A78" s="3">
        <f ca="1">IFERROR(__xludf.DUMMYFUNCTION("""COMPUTED_VALUE"""),29332.6666666666)</f>
        <v>29332.666666666599</v>
      </c>
      <c r="B78" s="1">
        <f ca="1">IFERROR(__xludf.DUMMYFUNCTION("""COMPUTED_VALUE"""),1.49)</f>
        <v>1.49</v>
      </c>
      <c r="C78" s="1">
        <f ca="1">IFERROR(__xludf.DUMMYFUNCTION("""COMPUTED_VALUE"""),1.49)</f>
        <v>1.49</v>
      </c>
      <c r="D78" s="1">
        <f ca="1">IFERROR(__xludf.DUMMYFUNCTION("""COMPUTED_VALUE"""),1.48)</f>
        <v>1.48</v>
      </c>
      <c r="E78" s="1">
        <f ca="1">IFERROR(__xludf.DUMMYFUNCTION("""COMPUTED_VALUE"""),1.49)</f>
        <v>1.49</v>
      </c>
      <c r="F78" s="1">
        <f ca="1">IFERROR(__xludf.DUMMYFUNCTION("""COMPUTED_VALUE"""),24700)</f>
        <v>24700</v>
      </c>
      <c r="I78" s="1"/>
    </row>
    <row r="79" spans="1:9">
      <c r="A79" s="3">
        <f ca="1">IFERROR(__xludf.DUMMYFUNCTION("""COMPUTED_VALUE"""),29333.6666666666)</f>
        <v>29333.666666666599</v>
      </c>
      <c r="B79" s="1">
        <f ca="1">IFERROR(__xludf.DUMMYFUNCTION("""COMPUTED_VALUE"""),1.51)</f>
        <v>1.51</v>
      </c>
      <c r="C79" s="1">
        <f ca="1">IFERROR(__xludf.DUMMYFUNCTION("""COMPUTED_VALUE"""),1.52)</f>
        <v>1.52</v>
      </c>
      <c r="D79" s="1">
        <f ca="1">IFERROR(__xludf.DUMMYFUNCTION("""COMPUTED_VALUE"""),1.5)</f>
        <v>1.5</v>
      </c>
      <c r="E79" s="1">
        <f ca="1">IFERROR(__xludf.DUMMYFUNCTION("""COMPUTED_VALUE"""),1.51)</f>
        <v>1.51</v>
      </c>
      <c r="F79" s="1">
        <f ca="1">IFERROR(__xludf.DUMMYFUNCTION("""COMPUTED_VALUE"""),75000)</f>
        <v>75000</v>
      </c>
      <c r="I79" s="1"/>
    </row>
    <row r="80" spans="1:9">
      <c r="A80" s="3">
        <f ca="1">IFERROR(__xludf.DUMMYFUNCTION("""COMPUTED_VALUE"""),29334.6666666666)</f>
        <v>29334.666666666599</v>
      </c>
      <c r="B80" s="1">
        <f ca="1">IFERROR(__xludf.DUMMYFUNCTION("""COMPUTED_VALUE"""),1.5)</f>
        <v>1.5</v>
      </c>
      <c r="C80" s="1">
        <f ca="1">IFERROR(__xludf.DUMMYFUNCTION("""COMPUTED_VALUE"""),1.51)</f>
        <v>1.51</v>
      </c>
      <c r="D80" s="1">
        <f ca="1">IFERROR(__xludf.DUMMYFUNCTION("""COMPUTED_VALUE"""),1.5)</f>
        <v>1.5</v>
      </c>
      <c r="E80" s="1">
        <f ca="1">IFERROR(__xludf.DUMMYFUNCTION("""COMPUTED_VALUE"""),1.5)</f>
        <v>1.5</v>
      </c>
      <c r="F80" s="1">
        <f ca="1">IFERROR(__xludf.DUMMYFUNCTION("""COMPUTED_VALUE"""),34800)</f>
        <v>34800</v>
      </c>
      <c r="I80" s="1"/>
    </row>
    <row r="81" spans="1:9">
      <c r="A81" s="3">
        <f ca="1">IFERROR(__xludf.DUMMYFUNCTION("""COMPUTED_VALUE"""),29335.6666666666)</f>
        <v>29335.666666666599</v>
      </c>
      <c r="B81" s="1">
        <f ca="1">IFERROR(__xludf.DUMMYFUNCTION("""COMPUTED_VALUE"""),1.54)</f>
        <v>1.54</v>
      </c>
      <c r="C81" s="1">
        <f ca="1">IFERROR(__xludf.DUMMYFUNCTION("""COMPUTED_VALUE"""),1.55)</f>
        <v>1.55</v>
      </c>
      <c r="D81" s="1">
        <f ca="1">IFERROR(__xludf.DUMMYFUNCTION("""COMPUTED_VALUE"""),1.49)</f>
        <v>1.49</v>
      </c>
      <c r="E81" s="1">
        <f ca="1">IFERROR(__xludf.DUMMYFUNCTION("""COMPUTED_VALUE"""),1.54)</f>
        <v>1.54</v>
      </c>
      <c r="F81" s="1">
        <f ca="1">IFERROR(__xludf.DUMMYFUNCTION("""COMPUTED_VALUE"""),54600)</f>
        <v>54600</v>
      </c>
      <c r="I81" s="1"/>
    </row>
    <row r="82" spans="1:9">
      <c r="A82" s="3">
        <f ca="1">IFERROR(__xludf.DUMMYFUNCTION("""COMPUTED_VALUE"""),29336.6666666666)</f>
        <v>29336.666666666599</v>
      </c>
      <c r="B82" s="1">
        <f ca="1">IFERROR(__xludf.DUMMYFUNCTION("""COMPUTED_VALUE"""),1.57)</f>
        <v>1.57</v>
      </c>
      <c r="C82" s="1">
        <f ca="1">IFERROR(__xludf.DUMMYFUNCTION("""COMPUTED_VALUE"""),1.57)</f>
        <v>1.57</v>
      </c>
      <c r="D82" s="1">
        <f ca="1">IFERROR(__xludf.DUMMYFUNCTION("""COMPUTED_VALUE"""),1.52)</f>
        <v>1.52</v>
      </c>
      <c r="E82" s="1">
        <f ca="1">IFERROR(__xludf.DUMMYFUNCTION("""COMPUTED_VALUE"""),1.57)</f>
        <v>1.57</v>
      </c>
      <c r="F82" s="1">
        <f ca="1">IFERROR(__xludf.DUMMYFUNCTION("""COMPUTED_VALUE"""),59500)</f>
        <v>59500</v>
      </c>
      <c r="I82" s="1"/>
    </row>
    <row r="83" spans="1:9">
      <c r="A83" s="3">
        <f ca="1">IFERROR(__xludf.DUMMYFUNCTION("""COMPUTED_VALUE"""),29339.6666666666)</f>
        <v>29339.666666666599</v>
      </c>
      <c r="B83" s="1">
        <f ca="1">IFERROR(__xludf.DUMMYFUNCTION("""COMPUTED_VALUE"""),1.57)</f>
        <v>1.57</v>
      </c>
      <c r="C83" s="1">
        <f ca="1">IFERROR(__xludf.DUMMYFUNCTION("""COMPUTED_VALUE"""),1.6)</f>
        <v>1.6</v>
      </c>
      <c r="D83" s="1">
        <f ca="1">IFERROR(__xludf.DUMMYFUNCTION("""COMPUTED_VALUE"""),1.57)</f>
        <v>1.57</v>
      </c>
      <c r="E83" s="1">
        <f ca="1">IFERROR(__xludf.DUMMYFUNCTION("""COMPUTED_VALUE"""),1.57)</f>
        <v>1.57</v>
      </c>
      <c r="F83" s="1">
        <f ca="1">IFERROR(__xludf.DUMMYFUNCTION("""COMPUTED_VALUE"""),57100)</f>
        <v>57100</v>
      </c>
      <c r="I83" s="1"/>
    </row>
    <row r="84" spans="1:9">
      <c r="A84" s="3">
        <f ca="1">IFERROR(__xludf.DUMMYFUNCTION("""COMPUTED_VALUE"""),29340.6666666666)</f>
        <v>29340.666666666599</v>
      </c>
      <c r="B84" s="1">
        <f ca="1">IFERROR(__xludf.DUMMYFUNCTION("""COMPUTED_VALUE"""),1.58)</f>
        <v>1.58</v>
      </c>
      <c r="C84" s="1">
        <f ca="1">IFERROR(__xludf.DUMMYFUNCTION("""COMPUTED_VALUE"""),1.58)</f>
        <v>1.58</v>
      </c>
      <c r="D84" s="1">
        <f ca="1">IFERROR(__xludf.DUMMYFUNCTION("""COMPUTED_VALUE"""),1.56)</f>
        <v>1.56</v>
      </c>
      <c r="E84" s="1">
        <f ca="1">IFERROR(__xludf.DUMMYFUNCTION("""COMPUTED_VALUE"""),1.58)</f>
        <v>1.58</v>
      </c>
      <c r="F84" s="1">
        <f ca="1">IFERROR(__xludf.DUMMYFUNCTION("""COMPUTED_VALUE"""),27400)</f>
        <v>27400</v>
      </c>
      <c r="I84" s="1"/>
    </row>
    <row r="85" spans="1:9">
      <c r="A85" s="3">
        <f ca="1">IFERROR(__xludf.DUMMYFUNCTION("""COMPUTED_VALUE"""),29341.6666666666)</f>
        <v>29341.666666666599</v>
      </c>
      <c r="B85" s="1">
        <f ca="1">IFERROR(__xludf.DUMMYFUNCTION("""COMPUTED_VALUE"""),1.58)</f>
        <v>1.58</v>
      </c>
      <c r="C85" s="1">
        <f ca="1">IFERROR(__xludf.DUMMYFUNCTION("""COMPUTED_VALUE"""),1.58)</f>
        <v>1.58</v>
      </c>
      <c r="D85" s="1">
        <f ca="1">IFERROR(__xludf.DUMMYFUNCTION("""COMPUTED_VALUE"""),1.56)</f>
        <v>1.56</v>
      </c>
      <c r="E85" s="1">
        <f ca="1">IFERROR(__xludf.DUMMYFUNCTION("""COMPUTED_VALUE"""),1.58)</f>
        <v>1.58</v>
      </c>
      <c r="F85" s="1">
        <f ca="1">IFERROR(__xludf.DUMMYFUNCTION("""COMPUTED_VALUE"""),51600)</f>
        <v>51600</v>
      </c>
      <c r="I85" s="1"/>
    </row>
    <row r="86" spans="1:9">
      <c r="A86" s="3">
        <f ca="1">IFERROR(__xludf.DUMMYFUNCTION("""COMPUTED_VALUE"""),29342.6666666666)</f>
        <v>29342.666666666599</v>
      </c>
      <c r="B86" s="1">
        <f ca="1">IFERROR(__xludf.DUMMYFUNCTION("""COMPUTED_VALUE"""),1.58)</f>
        <v>1.58</v>
      </c>
      <c r="C86" s="1">
        <f ca="1">IFERROR(__xludf.DUMMYFUNCTION("""COMPUTED_VALUE"""),1.59)</f>
        <v>1.59</v>
      </c>
      <c r="D86" s="1">
        <f ca="1">IFERROR(__xludf.DUMMYFUNCTION("""COMPUTED_VALUE"""),1.56)</f>
        <v>1.56</v>
      </c>
      <c r="E86" s="1">
        <f ca="1">IFERROR(__xludf.DUMMYFUNCTION("""COMPUTED_VALUE"""),1.58)</f>
        <v>1.58</v>
      </c>
      <c r="F86" s="1">
        <f ca="1">IFERROR(__xludf.DUMMYFUNCTION("""COMPUTED_VALUE"""),65700)</f>
        <v>65700</v>
      </c>
      <c r="I86" s="1"/>
    </row>
    <row r="87" spans="1:9">
      <c r="A87" s="3">
        <f ca="1">IFERROR(__xludf.DUMMYFUNCTION("""COMPUTED_VALUE"""),29343.6666666666)</f>
        <v>29343.666666666599</v>
      </c>
      <c r="B87" s="1">
        <f ca="1">IFERROR(__xludf.DUMMYFUNCTION("""COMPUTED_VALUE"""),1.58)</f>
        <v>1.58</v>
      </c>
      <c r="C87" s="1">
        <f ca="1">IFERROR(__xludf.DUMMYFUNCTION("""COMPUTED_VALUE"""),1.58)</f>
        <v>1.58</v>
      </c>
      <c r="D87" s="1">
        <f ca="1">IFERROR(__xludf.DUMMYFUNCTION("""COMPUTED_VALUE"""),1.56)</f>
        <v>1.56</v>
      </c>
      <c r="E87" s="1">
        <f ca="1">IFERROR(__xludf.DUMMYFUNCTION("""COMPUTED_VALUE"""),1.58)</f>
        <v>1.58</v>
      </c>
      <c r="F87" s="1">
        <f ca="1">IFERROR(__xludf.DUMMYFUNCTION("""COMPUTED_VALUE"""),50700)</f>
        <v>50700</v>
      </c>
      <c r="I87" s="1"/>
    </row>
    <row r="88" spans="1:9">
      <c r="A88" s="3">
        <f ca="1">IFERROR(__xludf.DUMMYFUNCTION("""COMPUTED_VALUE"""),29346.6666666666)</f>
        <v>29346.666666666599</v>
      </c>
      <c r="B88" s="1">
        <f ca="1">IFERROR(__xludf.DUMMYFUNCTION("""COMPUTED_VALUE"""),1.58)</f>
        <v>1.58</v>
      </c>
      <c r="C88" s="1">
        <f ca="1">IFERROR(__xludf.DUMMYFUNCTION("""COMPUTED_VALUE"""),1.58)</f>
        <v>1.58</v>
      </c>
      <c r="D88" s="1">
        <f ca="1">IFERROR(__xludf.DUMMYFUNCTION("""COMPUTED_VALUE"""),1.57)</f>
        <v>1.57</v>
      </c>
      <c r="E88" s="1">
        <f ca="1">IFERROR(__xludf.DUMMYFUNCTION("""COMPUTED_VALUE"""),1.58)</f>
        <v>1.58</v>
      </c>
      <c r="F88" s="1">
        <f ca="1">IFERROR(__xludf.DUMMYFUNCTION("""COMPUTED_VALUE"""),50100)</f>
        <v>50100</v>
      </c>
      <c r="I88" s="1"/>
    </row>
    <row r="89" spans="1:9">
      <c r="A89" s="3">
        <f ca="1">IFERROR(__xludf.DUMMYFUNCTION("""COMPUTED_VALUE"""),29347.6666666666)</f>
        <v>29347.666666666599</v>
      </c>
      <c r="B89" s="1">
        <f ca="1">IFERROR(__xludf.DUMMYFUNCTION("""COMPUTED_VALUE"""),1.6)</f>
        <v>1.6</v>
      </c>
      <c r="C89" s="1">
        <f ca="1">IFERROR(__xludf.DUMMYFUNCTION("""COMPUTED_VALUE"""),1.61)</f>
        <v>1.61</v>
      </c>
      <c r="D89" s="1">
        <f ca="1">IFERROR(__xludf.DUMMYFUNCTION("""COMPUTED_VALUE"""),1.58)</f>
        <v>1.58</v>
      </c>
      <c r="E89" s="1">
        <f ca="1">IFERROR(__xludf.DUMMYFUNCTION("""COMPUTED_VALUE"""),1.6)</f>
        <v>1.6</v>
      </c>
      <c r="F89" s="1">
        <f ca="1">IFERROR(__xludf.DUMMYFUNCTION("""COMPUTED_VALUE"""),105600)</f>
        <v>105600</v>
      </c>
      <c r="I89" s="1"/>
    </row>
    <row r="90" spans="1:9">
      <c r="A90" s="3">
        <f ca="1">IFERROR(__xludf.DUMMYFUNCTION("""COMPUTED_VALUE"""),29348.6666666666)</f>
        <v>29348.666666666599</v>
      </c>
      <c r="B90" s="1">
        <f ca="1">IFERROR(__xludf.DUMMYFUNCTION("""COMPUTED_VALUE"""),1.6)</f>
        <v>1.6</v>
      </c>
      <c r="C90" s="1">
        <f ca="1">IFERROR(__xludf.DUMMYFUNCTION("""COMPUTED_VALUE"""),1.61)</f>
        <v>1.61</v>
      </c>
      <c r="D90" s="1">
        <f ca="1">IFERROR(__xludf.DUMMYFUNCTION("""COMPUTED_VALUE"""),1.58)</f>
        <v>1.58</v>
      </c>
      <c r="E90" s="1">
        <f ca="1">IFERROR(__xludf.DUMMYFUNCTION("""COMPUTED_VALUE"""),1.6)</f>
        <v>1.6</v>
      </c>
      <c r="F90" s="1">
        <f ca="1">IFERROR(__xludf.DUMMYFUNCTION("""COMPUTED_VALUE"""),72900)</f>
        <v>72900</v>
      </c>
      <c r="I90" s="1"/>
    </row>
    <row r="91" spans="1:9">
      <c r="A91" s="3">
        <f ca="1">IFERROR(__xludf.DUMMYFUNCTION("""COMPUTED_VALUE"""),29349.6666666666)</f>
        <v>29349.666666666599</v>
      </c>
      <c r="B91" s="1">
        <f ca="1">IFERROR(__xludf.DUMMYFUNCTION("""COMPUTED_VALUE"""),1.6)</f>
        <v>1.6</v>
      </c>
      <c r="C91" s="1">
        <f ca="1">IFERROR(__xludf.DUMMYFUNCTION("""COMPUTED_VALUE"""),1.61)</f>
        <v>1.61</v>
      </c>
      <c r="D91" s="1">
        <f ca="1">IFERROR(__xludf.DUMMYFUNCTION("""COMPUTED_VALUE"""),1.59)</f>
        <v>1.59</v>
      </c>
      <c r="E91" s="1">
        <f ca="1">IFERROR(__xludf.DUMMYFUNCTION("""COMPUTED_VALUE"""),1.6)</f>
        <v>1.6</v>
      </c>
      <c r="F91" s="1">
        <f ca="1">IFERROR(__xludf.DUMMYFUNCTION("""COMPUTED_VALUE"""),56500)</f>
        <v>56500</v>
      </c>
      <c r="I91" s="1"/>
    </row>
    <row r="92" spans="1:9">
      <c r="A92" s="3">
        <f ca="1">IFERROR(__xludf.DUMMYFUNCTION("""COMPUTED_VALUE"""),29350.6666666666)</f>
        <v>29350.666666666599</v>
      </c>
      <c r="B92" s="1">
        <f ca="1">IFERROR(__xludf.DUMMYFUNCTION("""COMPUTED_VALUE"""),1.6)</f>
        <v>1.6</v>
      </c>
      <c r="C92" s="1">
        <f ca="1">IFERROR(__xludf.DUMMYFUNCTION("""COMPUTED_VALUE"""),1.61)</f>
        <v>1.61</v>
      </c>
      <c r="D92" s="1">
        <f ca="1">IFERROR(__xludf.DUMMYFUNCTION("""COMPUTED_VALUE"""),1.6)</f>
        <v>1.6</v>
      </c>
      <c r="E92" s="1">
        <f ca="1">IFERROR(__xludf.DUMMYFUNCTION("""COMPUTED_VALUE"""),1.6)</f>
        <v>1.6</v>
      </c>
      <c r="F92" s="1">
        <f ca="1">IFERROR(__xludf.DUMMYFUNCTION("""COMPUTED_VALUE"""),12500)</f>
        <v>12500</v>
      </c>
      <c r="I92" s="1"/>
    </row>
    <row r="93" spans="1:9">
      <c r="A93" s="3">
        <f ca="1">IFERROR(__xludf.DUMMYFUNCTION("""COMPUTED_VALUE"""),29353.6666666666)</f>
        <v>29353.666666666599</v>
      </c>
      <c r="B93" s="1">
        <f ca="1">IFERROR(__xludf.DUMMYFUNCTION("""COMPUTED_VALUE"""),1.61)</f>
        <v>1.61</v>
      </c>
      <c r="C93" s="1">
        <f ca="1">IFERROR(__xludf.DUMMYFUNCTION("""COMPUTED_VALUE"""),1.61)</f>
        <v>1.61</v>
      </c>
      <c r="D93" s="1">
        <f ca="1">IFERROR(__xludf.DUMMYFUNCTION("""COMPUTED_VALUE"""),1.6)</f>
        <v>1.6</v>
      </c>
      <c r="E93" s="1">
        <f ca="1">IFERROR(__xludf.DUMMYFUNCTION("""COMPUTED_VALUE"""),1.61)</f>
        <v>1.61</v>
      </c>
      <c r="F93" s="1">
        <f ca="1">IFERROR(__xludf.DUMMYFUNCTION("""COMPUTED_VALUE"""),36800)</f>
        <v>36800</v>
      </c>
      <c r="I93" s="1"/>
    </row>
    <row r="94" spans="1:9">
      <c r="A94" s="3">
        <f ca="1">IFERROR(__xludf.DUMMYFUNCTION("""COMPUTED_VALUE"""),29354.6666666666)</f>
        <v>29354.666666666599</v>
      </c>
      <c r="B94" s="1">
        <f ca="1">IFERROR(__xludf.DUMMYFUNCTION("""COMPUTED_VALUE"""),1.61)</f>
        <v>1.61</v>
      </c>
      <c r="C94" s="1">
        <f ca="1">IFERROR(__xludf.DUMMYFUNCTION("""COMPUTED_VALUE"""),1.61)</f>
        <v>1.61</v>
      </c>
      <c r="D94" s="1">
        <f ca="1">IFERROR(__xludf.DUMMYFUNCTION("""COMPUTED_VALUE"""),1.6)</f>
        <v>1.6</v>
      </c>
      <c r="E94" s="1">
        <f ca="1">IFERROR(__xludf.DUMMYFUNCTION("""COMPUTED_VALUE"""),1.61)</f>
        <v>1.61</v>
      </c>
      <c r="F94" s="1">
        <f ca="1">IFERROR(__xludf.DUMMYFUNCTION("""COMPUTED_VALUE"""),30700)</f>
        <v>30700</v>
      </c>
      <c r="I94" s="1"/>
    </row>
    <row r="95" spans="1:9">
      <c r="A95" s="3">
        <f ca="1">IFERROR(__xludf.DUMMYFUNCTION("""COMPUTED_VALUE"""),29355.6666666666)</f>
        <v>29355.666666666599</v>
      </c>
      <c r="B95" s="1">
        <f ca="1">IFERROR(__xludf.DUMMYFUNCTION("""COMPUTED_VALUE"""),1.62)</f>
        <v>1.62</v>
      </c>
      <c r="C95" s="1">
        <f ca="1">IFERROR(__xludf.DUMMYFUNCTION("""COMPUTED_VALUE"""),1.63)</f>
        <v>1.63</v>
      </c>
      <c r="D95" s="1">
        <f ca="1">IFERROR(__xludf.DUMMYFUNCTION("""COMPUTED_VALUE"""),1.61)</f>
        <v>1.61</v>
      </c>
      <c r="E95" s="1">
        <f ca="1">IFERROR(__xludf.DUMMYFUNCTION("""COMPUTED_VALUE"""),1.62)</f>
        <v>1.62</v>
      </c>
      <c r="F95" s="1">
        <f ca="1">IFERROR(__xludf.DUMMYFUNCTION("""COMPUTED_VALUE"""),46900)</f>
        <v>46900</v>
      </c>
      <c r="I95" s="1"/>
    </row>
    <row r="96" spans="1:9">
      <c r="A96" s="3">
        <f ca="1">IFERROR(__xludf.DUMMYFUNCTION("""COMPUTED_VALUE"""),29356.6666666666)</f>
        <v>29356.666666666599</v>
      </c>
      <c r="B96" s="1">
        <f ca="1">IFERROR(__xludf.DUMMYFUNCTION("""COMPUTED_VALUE"""),1.65)</f>
        <v>1.65</v>
      </c>
      <c r="C96" s="1">
        <f ca="1">IFERROR(__xludf.DUMMYFUNCTION("""COMPUTED_VALUE"""),1.66)</f>
        <v>1.66</v>
      </c>
      <c r="D96" s="1">
        <f ca="1">IFERROR(__xludf.DUMMYFUNCTION("""COMPUTED_VALUE"""),1.62)</f>
        <v>1.62</v>
      </c>
      <c r="E96" s="1">
        <f ca="1">IFERROR(__xludf.DUMMYFUNCTION("""COMPUTED_VALUE"""),1.65)</f>
        <v>1.65</v>
      </c>
      <c r="F96" s="1">
        <f ca="1">IFERROR(__xludf.DUMMYFUNCTION("""COMPUTED_VALUE"""),100500)</f>
        <v>100500</v>
      </c>
      <c r="I96" s="1"/>
    </row>
    <row r="97" spans="1:9">
      <c r="A97" s="3">
        <f ca="1">IFERROR(__xludf.DUMMYFUNCTION("""COMPUTED_VALUE"""),29357.6666666666)</f>
        <v>29357.666666666599</v>
      </c>
      <c r="B97" s="1">
        <f ca="1">IFERROR(__xludf.DUMMYFUNCTION("""COMPUTED_VALUE"""),1.65)</f>
        <v>1.65</v>
      </c>
      <c r="C97" s="1">
        <f ca="1">IFERROR(__xludf.DUMMYFUNCTION("""COMPUTED_VALUE"""),1.65)</f>
        <v>1.65</v>
      </c>
      <c r="D97" s="1">
        <f ca="1">IFERROR(__xludf.DUMMYFUNCTION("""COMPUTED_VALUE"""),1.65)</f>
        <v>1.65</v>
      </c>
      <c r="E97" s="1">
        <f ca="1">IFERROR(__xludf.DUMMYFUNCTION("""COMPUTED_VALUE"""),1.65)</f>
        <v>1.65</v>
      </c>
      <c r="F97" s="1">
        <f ca="1">IFERROR(__xludf.DUMMYFUNCTION("""COMPUTED_VALUE"""),49000)</f>
        <v>49000</v>
      </c>
      <c r="I97" s="1"/>
    </row>
    <row r="98" spans="1:9">
      <c r="A98" s="3">
        <f ca="1">IFERROR(__xludf.DUMMYFUNCTION("""COMPUTED_VALUE"""),29360.6666666666)</f>
        <v>29360.666666666599</v>
      </c>
      <c r="B98" s="1">
        <f ca="1">IFERROR(__xludf.DUMMYFUNCTION("""COMPUTED_VALUE"""),1.63)</f>
        <v>1.63</v>
      </c>
      <c r="C98" s="1">
        <f ca="1">IFERROR(__xludf.DUMMYFUNCTION("""COMPUTED_VALUE"""),1.65)</f>
        <v>1.65</v>
      </c>
      <c r="D98" s="1">
        <f ca="1">IFERROR(__xludf.DUMMYFUNCTION("""COMPUTED_VALUE"""),1.63)</f>
        <v>1.63</v>
      </c>
      <c r="E98" s="1">
        <f ca="1">IFERROR(__xludf.DUMMYFUNCTION("""COMPUTED_VALUE"""),1.63)</f>
        <v>1.63</v>
      </c>
      <c r="F98" s="1">
        <f ca="1">IFERROR(__xludf.DUMMYFUNCTION("""COMPUTED_VALUE"""),40200)</f>
        <v>40200</v>
      </c>
      <c r="I98" s="1"/>
    </row>
    <row r="99" spans="1:9">
      <c r="A99" s="3">
        <f ca="1">IFERROR(__xludf.DUMMYFUNCTION("""COMPUTED_VALUE"""),29361.6666666666)</f>
        <v>29361.666666666599</v>
      </c>
      <c r="B99" s="1">
        <f ca="1">IFERROR(__xludf.DUMMYFUNCTION("""COMPUTED_VALUE"""),1.64)</f>
        <v>1.64</v>
      </c>
      <c r="C99" s="1">
        <f ca="1">IFERROR(__xludf.DUMMYFUNCTION("""COMPUTED_VALUE"""),1.64)</f>
        <v>1.64</v>
      </c>
      <c r="D99" s="1">
        <f ca="1">IFERROR(__xludf.DUMMYFUNCTION("""COMPUTED_VALUE"""),1.63)</f>
        <v>1.63</v>
      </c>
      <c r="E99" s="1">
        <f ca="1">IFERROR(__xludf.DUMMYFUNCTION("""COMPUTED_VALUE"""),1.64)</f>
        <v>1.64</v>
      </c>
      <c r="F99" s="1">
        <f ca="1">IFERROR(__xludf.DUMMYFUNCTION("""COMPUTED_VALUE"""),42300)</f>
        <v>42300</v>
      </c>
      <c r="I99" s="1"/>
    </row>
    <row r="100" spans="1:9">
      <c r="A100" s="3">
        <f ca="1">IFERROR(__xludf.DUMMYFUNCTION("""COMPUTED_VALUE"""),29362.6666666666)</f>
        <v>29362.666666666599</v>
      </c>
      <c r="B100" s="1">
        <f ca="1">IFERROR(__xludf.DUMMYFUNCTION("""COMPUTED_VALUE"""),1.65)</f>
        <v>1.65</v>
      </c>
      <c r="C100" s="1">
        <f ca="1">IFERROR(__xludf.DUMMYFUNCTION("""COMPUTED_VALUE"""),1.65)</f>
        <v>1.65</v>
      </c>
      <c r="D100" s="1">
        <f ca="1">IFERROR(__xludf.DUMMYFUNCTION("""COMPUTED_VALUE"""),1.64)</f>
        <v>1.64</v>
      </c>
      <c r="E100" s="1">
        <f ca="1">IFERROR(__xludf.DUMMYFUNCTION("""COMPUTED_VALUE"""),1.65)</f>
        <v>1.65</v>
      </c>
      <c r="F100" s="1">
        <f ca="1">IFERROR(__xludf.DUMMYFUNCTION("""COMPUTED_VALUE"""),81000)</f>
        <v>81000</v>
      </c>
      <c r="I100" s="1"/>
    </row>
    <row r="101" spans="1:9">
      <c r="A101" s="3">
        <f ca="1">IFERROR(__xludf.DUMMYFUNCTION("""COMPUTED_VALUE"""),29363.6666666666)</f>
        <v>29363.666666666599</v>
      </c>
      <c r="B101" s="1">
        <f ca="1">IFERROR(__xludf.DUMMYFUNCTION("""COMPUTED_VALUE"""),1.67)</f>
        <v>1.67</v>
      </c>
      <c r="C101" s="1">
        <f ca="1">IFERROR(__xludf.DUMMYFUNCTION("""COMPUTED_VALUE"""),1.67)</f>
        <v>1.67</v>
      </c>
      <c r="D101" s="1">
        <f ca="1">IFERROR(__xludf.DUMMYFUNCTION("""COMPUTED_VALUE"""),1.65)</f>
        <v>1.65</v>
      </c>
      <c r="E101" s="1">
        <f ca="1">IFERROR(__xludf.DUMMYFUNCTION("""COMPUTED_VALUE"""),1.67)</f>
        <v>1.67</v>
      </c>
      <c r="F101" s="1">
        <f ca="1">IFERROR(__xludf.DUMMYFUNCTION("""COMPUTED_VALUE"""),66200)</f>
        <v>66200</v>
      </c>
      <c r="I101" s="1"/>
    </row>
    <row r="102" spans="1:9">
      <c r="A102" s="3">
        <f ca="1">IFERROR(__xludf.DUMMYFUNCTION("""COMPUTED_VALUE"""),29364.6666666666)</f>
        <v>29364.666666666599</v>
      </c>
      <c r="B102" s="1">
        <f ca="1">IFERROR(__xludf.DUMMYFUNCTION("""COMPUTED_VALUE"""),1.7)</f>
        <v>1.7</v>
      </c>
      <c r="C102" s="1">
        <f ca="1">IFERROR(__xludf.DUMMYFUNCTION("""COMPUTED_VALUE"""),1.7)</f>
        <v>1.7</v>
      </c>
      <c r="D102" s="1">
        <f ca="1">IFERROR(__xludf.DUMMYFUNCTION("""COMPUTED_VALUE"""),1.67)</f>
        <v>1.67</v>
      </c>
      <c r="E102" s="1">
        <f ca="1">IFERROR(__xludf.DUMMYFUNCTION("""COMPUTED_VALUE"""),1.7)</f>
        <v>1.7</v>
      </c>
      <c r="F102" s="1">
        <f ca="1">IFERROR(__xludf.DUMMYFUNCTION("""COMPUTED_VALUE"""),139600)</f>
        <v>139600</v>
      </c>
      <c r="I102" s="1"/>
    </row>
    <row r="103" spans="1:9">
      <c r="A103" s="3">
        <f ca="1">IFERROR(__xludf.DUMMYFUNCTION("""COMPUTED_VALUE"""),29368.6666666666)</f>
        <v>29368.666666666599</v>
      </c>
      <c r="B103" s="1">
        <f ca="1">IFERROR(__xludf.DUMMYFUNCTION("""COMPUTED_VALUE"""),1.68)</f>
        <v>1.68</v>
      </c>
      <c r="C103" s="1">
        <f ca="1">IFERROR(__xludf.DUMMYFUNCTION("""COMPUTED_VALUE"""),1.7)</f>
        <v>1.7</v>
      </c>
      <c r="D103" s="1">
        <f ca="1">IFERROR(__xludf.DUMMYFUNCTION("""COMPUTED_VALUE"""),1.67)</f>
        <v>1.67</v>
      </c>
      <c r="E103" s="1">
        <f ca="1">IFERROR(__xludf.DUMMYFUNCTION("""COMPUTED_VALUE"""),1.68)</f>
        <v>1.68</v>
      </c>
      <c r="F103" s="1">
        <f ca="1">IFERROR(__xludf.DUMMYFUNCTION("""COMPUTED_VALUE"""),76100)</f>
        <v>76100</v>
      </c>
      <c r="I103" s="1"/>
    </row>
    <row r="104" spans="1:9">
      <c r="A104" s="3">
        <f ca="1">IFERROR(__xludf.DUMMYFUNCTION("""COMPUTED_VALUE"""),29369.6666666666)</f>
        <v>29369.666666666599</v>
      </c>
      <c r="B104" s="1">
        <f ca="1">IFERROR(__xludf.DUMMYFUNCTION("""COMPUTED_VALUE"""),1.68)</f>
        <v>1.68</v>
      </c>
      <c r="C104" s="1">
        <f ca="1">IFERROR(__xludf.DUMMYFUNCTION("""COMPUTED_VALUE"""),1.69)</f>
        <v>1.69</v>
      </c>
      <c r="D104" s="1">
        <f ca="1">IFERROR(__xludf.DUMMYFUNCTION("""COMPUTED_VALUE"""),1.67)</f>
        <v>1.67</v>
      </c>
      <c r="E104" s="1">
        <f ca="1">IFERROR(__xludf.DUMMYFUNCTION("""COMPUTED_VALUE"""),1.68)</f>
        <v>1.68</v>
      </c>
      <c r="F104" s="1">
        <f ca="1">IFERROR(__xludf.DUMMYFUNCTION("""COMPUTED_VALUE"""),43900)</f>
        <v>43900</v>
      </c>
      <c r="I104" s="1"/>
    </row>
    <row r="105" spans="1:9">
      <c r="A105" s="3">
        <f ca="1">IFERROR(__xludf.DUMMYFUNCTION("""COMPUTED_VALUE"""),29370.6666666666)</f>
        <v>29370.666666666599</v>
      </c>
      <c r="B105" s="1">
        <f ca="1">IFERROR(__xludf.DUMMYFUNCTION("""COMPUTED_VALUE"""),1.67)</f>
        <v>1.67</v>
      </c>
      <c r="C105" s="1">
        <f ca="1">IFERROR(__xludf.DUMMYFUNCTION("""COMPUTED_VALUE"""),1.69)</f>
        <v>1.69</v>
      </c>
      <c r="D105" s="1">
        <f ca="1">IFERROR(__xludf.DUMMYFUNCTION("""COMPUTED_VALUE"""),1.66)</f>
        <v>1.66</v>
      </c>
      <c r="E105" s="1">
        <f ca="1">IFERROR(__xludf.DUMMYFUNCTION("""COMPUTED_VALUE"""),1.67)</f>
        <v>1.67</v>
      </c>
      <c r="F105" s="1">
        <f ca="1">IFERROR(__xludf.DUMMYFUNCTION("""COMPUTED_VALUE"""),17400)</f>
        <v>17400</v>
      </c>
      <c r="I105" s="1"/>
    </row>
    <row r="106" spans="1:9">
      <c r="A106" s="3">
        <f ca="1">IFERROR(__xludf.DUMMYFUNCTION("""COMPUTED_VALUE"""),29371.6666666666)</f>
        <v>29371.666666666599</v>
      </c>
      <c r="B106" s="1">
        <f ca="1">IFERROR(__xludf.DUMMYFUNCTION("""COMPUTED_VALUE"""),1.67)</f>
        <v>1.67</v>
      </c>
      <c r="C106" s="1">
        <f ca="1">IFERROR(__xludf.DUMMYFUNCTION("""COMPUTED_VALUE"""),1.67)</f>
        <v>1.67</v>
      </c>
      <c r="D106" s="1">
        <f ca="1">IFERROR(__xludf.DUMMYFUNCTION("""COMPUTED_VALUE"""),1.65)</f>
        <v>1.65</v>
      </c>
      <c r="E106" s="1">
        <f ca="1">IFERROR(__xludf.DUMMYFUNCTION("""COMPUTED_VALUE"""),1.67)</f>
        <v>1.67</v>
      </c>
      <c r="F106" s="1">
        <f ca="1">IFERROR(__xludf.DUMMYFUNCTION("""COMPUTED_VALUE"""),34700)</f>
        <v>34700</v>
      </c>
      <c r="I106" s="1"/>
    </row>
    <row r="107" spans="1:9">
      <c r="A107" s="3">
        <f ca="1">IFERROR(__xludf.DUMMYFUNCTION("""COMPUTED_VALUE"""),29374.6666666666)</f>
        <v>29374.666666666599</v>
      </c>
      <c r="B107" s="1">
        <f ca="1">IFERROR(__xludf.DUMMYFUNCTION("""COMPUTED_VALUE"""),1.65)</f>
        <v>1.65</v>
      </c>
      <c r="C107" s="1">
        <f ca="1">IFERROR(__xludf.DUMMYFUNCTION("""COMPUTED_VALUE"""),1.67)</f>
        <v>1.67</v>
      </c>
      <c r="D107" s="1">
        <f ca="1">IFERROR(__xludf.DUMMYFUNCTION("""COMPUTED_VALUE"""),1.65)</f>
        <v>1.65</v>
      </c>
      <c r="E107" s="1">
        <f ca="1">IFERROR(__xludf.DUMMYFUNCTION("""COMPUTED_VALUE"""),1.65)</f>
        <v>1.65</v>
      </c>
      <c r="F107" s="1">
        <f ca="1">IFERROR(__xludf.DUMMYFUNCTION("""COMPUTED_VALUE"""),32600)</f>
        <v>32600</v>
      </c>
      <c r="I107" s="1"/>
    </row>
    <row r="108" spans="1:9">
      <c r="A108" s="3">
        <f ca="1">IFERROR(__xludf.DUMMYFUNCTION("""COMPUTED_VALUE"""),29375.6666666666)</f>
        <v>29375.666666666599</v>
      </c>
      <c r="B108" s="1">
        <f ca="1">IFERROR(__xludf.DUMMYFUNCTION("""COMPUTED_VALUE"""),1.64)</f>
        <v>1.64</v>
      </c>
      <c r="C108" s="1">
        <f ca="1">IFERROR(__xludf.DUMMYFUNCTION("""COMPUTED_VALUE"""),1.65)</f>
        <v>1.65</v>
      </c>
      <c r="D108" s="1">
        <f ca="1">IFERROR(__xludf.DUMMYFUNCTION("""COMPUTED_VALUE"""),1.63)</f>
        <v>1.63</v>
      </c>
      <c r="E108" s="1">
        <f ca="1">IFERROR(__xludf.DUMMYFUNCTION("""COMPUTED_VALUE"""),1.64)</f>
        <v>1.64</v>
      </c>
      <c r="F108" s="1">
        <f ca="1">IFERROR(__xludf.DUMMYFUNCTION("""COMPUTED_VALUE"""),69100)</f>
        <v>69100</v>
      </c>
      <c r="I108" s="1"/>
    </row>
    <row r="109" spans="1:9">
      <c r="A109" s="3">
        <f ca="1">IFERROR(__xludf.DUMMYFUNCTION("""COMPUTED_VALUE"""),29376.6666666666)</f>
        <v>29376.666666666599</v>
      </c>
      <c r="B109" s="1">
        <f ca="1">IFERROR(__xludf.DUMMYFUNCTION("""COMPUTED_VALUE"""),1.65)</f>
        <v>1.65</v>
      </c>
      <c r="C109" s="1">
        <f ca="1">IFERROR(__xludf.DUMMYFUNCTION("""COMPUTED_VALUE"""),1.66)</f>
        <v>1.66</v>
      </c>
      <c r="D109" s="1">
        <f ca="1">IFERROR(__xludf.DUMMYFUNCTION("""COMPUTED_VALUE"""),1.63)</f>
        <v>1.63</v>
      </c>
      <c r="E109" s="1">
        <f ca="1">IFERROR(__xludf.DUMMYFUNCTION("""COMPUTED_VALUE"""),1.65)</f>
        <v>1.65</v>
      </c>
      <c r="F109" s="1">
        <f ca="1">IFERROR(__xludf.DUMMYFUNCTION("""COMPUTED_VALUE"""),35800)</f>
        <v>35800</v>
      </c>
      <c r="I109" s="1"/>
    </row>
    <row r="110" spans="1:9">
      <c r="A110" s="3">
        <f ca="1">IFERROR(__xludf.DUMMYFUNCTION("""COMPUTED_VALUE"""),29377.6666666666)</f>
        <v>29377.666666666599</v>
      </c>
      <c r="B110" s="1">
        <f ca="1">IFERROR(__xludf.DUMMYFUNCTION("""COMPUTED_VALUE"""),1.67)</f>
        <v>1.67</v>
      </c>
      <c r="C110" s="1">
        <f ca="1">IFERROR(__xludf.DUMMYFUNCTION("""COMPUTED_VALUE"""),1.67)</f>
        <v>1.67</v>
      </c>
      <c r="D110" s="1">
        <f ca="1">IFERROR(__xludf.DUMMYFUNCTION("""COMPUTED_VALUE"""),1.66)</f>
        <v>1.66</v>
      </c>
      <c r="E110" s="1">
        <f ca="1">IFERROR(__xludf.DUMMYFUNCTION("""COMPUTED_VALUE"""),1.67)</f>
        <v>1.67</v>
      </c>
      <c r="F110" s="1">
        <f ca="1">IFERROR(__xludf.DUMMYFUNCTION("""COMPUTED_VALUE"""),44300)</f>
        <v>44300</v>
      </c>
      <c r="I110" s="1"/>
    </row>
    <row r="111" spans="1:9">
      <c r="A111" s="3">
        <f ca="1">IFERROR(__xludf.DUMMYFUNCTION("""COMPUTED_VALUE"""),29378.6666666666)</f>
        <v>29378.666666666599</v>
      </c>
      <c r="B111" s="1">
        <f ca="1">IFERROR(__xludf.DUMMYFUNCTION("""COMPUTED_VALUE"""),1.69)</f>
        <v>1.69</v>
      </c>
      <c r="C111" s="1">
        <f ca="1">IFERROR(__xludf.DUMMYFUNCTION("""COMPUTED_VALUE"""),1.69)</f>
        <v>1.69</v>
      </c>
      <c r="D111" s="1">
        <f ca="1">IFERROR(__xludf.DUMMYFUNCTION("""COMPUTED_VALUE"""),1.66)</f>
        <v>1.66</v>
      </c>
      <c r="E111" s="1">
        <f ca="1">IFERROR(__xludf.DUMMYFUNCTION("""COMPUTED_VALUE"""),1.69)</f>
        <v>1.69</v>
      </c>
      <c r="F111" s="1">
        <f ca="1">IFERROR(__xludf.DUMMYFUNCTION("""COMPUTED_VALUE"""),70900)</f>
        <v>70900</v>
      </c>
      <c r="I111" s="1"/>
    </row>
    <row r="112" spans="1:9">
      <c r="A112" s="3">
        <f ca="1">IFERROR(__xludf.DUMMYFUNCTION("""COMPUTED_VALUE"""),29381.6666666666)</f>
        <v>29381.666666666599</v>
      </c>
      <c r="B112" s="1">
        <f ca="1">IFERROR(__xludf.DUMMYFUNCTION("""COMPUTED_VALUE"""),1.7)</f>
        <v>1.7</v>
      </c>
      <c r="C112" s="1">
        <f ca="1">IFERROR(__xludf.DUMMYFUNCTION("""COMPUTED_VALUE"""),1.71)</f>
        <v>1.71</v>
      </c>
      <c r="D112" s="1">
        <f ca="1">IFERROR(__xludf.DUMMYFUNCTION("""COMPUTED_VALUE"""),1.68)</f>
        <v>1.68</v>
      </c>
      <c r="E112" s="1">
        <f ca="1">IFERROR(__xludf.DUMMYFUNCTION("""COMPUTED_VALUE"""),1.7)</f>
        <v>1.7</v>
      </c>
      <c r="F112" s="1">
        <f ca="1">IFERROR(__xludf.DUMMYFUNCTION("""COMPUTED_VALUE"""),70800)</f>
        <v>70800</v>
      </c>
      <c r="I112" s="1"/>
    </row>
    <row r="113" spans="1:9">
      <c r="A113" s="3">
        <f ca="1">IFERROR(__xludf.DUMMYFUNCTION("""COMPUTED_VALUE"""),29382.6666666666)</f>
        <v>29382.666666666599</v>
      </c>
      <c r="B113" s="1">
        <f ca="1">IFERROR(__xludf.DUMMYFUNCTION("""COMPUTED_VALUE"""),1.71)</f>
        <v>1.71</v>
      </c>
      <c r="C113" s="1">
        <f ca="1">IFERROR(__xludf.DUMMYFUNCTION("""COMPUTED_VALUE"""),1.71)</f>
        <v>1.71</v>
      </c>
      <c r="D113" s="1">
        <f ca="1">IFERROR(__xludf.DUMMYFUNCTION("""COMPUTED_VALUE"""),1.7)</f>
        <v>1.7</v>
      </c>
      <c r="E113" s="1">
        <f ca="1">IFERROR(__xludf.DUMMYFUNCTION("""COMPUTED_VALUE"""),1.71)</f>
        <v>1.71</v>
      </c>
      <c r="F113" s="1">
        <f ca="1">IFERROR(__xludf.DUMMYFUNCTION("""COMPUTED_VALUE"""),70300)</f>
        <v>70300</v>
      </c>
      <c r="I113" s="1"/>
    </row>
    <row r="114" spans="1:9">
      <c r="A114" s="3">
        <f ca="1">IFERROR(__xludf.DUMMYFUNCTION("""COMPUTED_VALUE"""),29383.6666666666)</f>
        <v>29383.666666666599</v>
      </c>
      <c r="B114" s="1">
        <f ca="1">IFERROR(__xludf.DUMMYFUNCTION("""COMPUTED_VALUE"""),1.7)</f>
        <v>1.7</v>
      </c>
      <c r="C114" s="1">
        <f ca="1">IFERROR(__xludf.DUMMYFUNCTION("""COMPUTED_VALUE"""),1.72)</f>
        <v>1.72</v>
      </c>
      <c r="D114" s="1">
        <f ca="1">IFERROR(__xludf.DUMMYFUNCTION("""COMPUTED_VALUE"""),1.7)</f>
        <v>1.7</v>
      </c>
      <c r="E114" s="1">
        <f ca="1">IFERROR(__xludf.DUMMYFUNCTION("""COMPUTED_VALUE"""),1.7)</f>
        <v>1.7</v>
      </c>
      <c r="F114" s="1">
        <f ca="1">IFERROR(__xludf.DUMMYFUNCTION("""COMPUTED_VALUE"""),70600)</f>
        <v>70600</v>
      </c>
      <c r="I114" s="1"/>
    </row>
    <row r="115" spans="1:9">
      <c r="A115" s="3">
        <f ca="1">IFERROR(__xludf.DUMMYFUNCTION("""COMPUTED_VALUE"""),29384.6666666666)</f>
        <v>29384.666666666599</v>
      </c>
      <c r="B115" s="1">
        <f ca="1">IFERROR(__xludf.DUMMYFUNCTION("""COMPUTED_VALUE"""),1.7)</f>
        <v>1.7</v>
      </c>
      <c r="C115" s="1">
        <f ca="1">IFERROR(__xludf.DUMMYFUNCTION("""COMPUTED_VALUE"""),1.71)</f>
        <v>1.71</v>
      </c>
      <c r="D115" s="1">
        <f ca="1">IFERROR(__xludf.DUMMYFUNCTION("""COMPUTED_VALUE"""),1.69)</f>
        <v>1.69</v>
      </c>
      <c r="E115" s="1">
        <f ca="1">IFERROR(__xludf.DUMMYFUNCTION("""COMPUTED_VALUE"""),1.7)</f>
        <v>1.7</v>
      </c>
      <c r="F115" s="1">
        <f ca="1">IFERROR(__xludf.DUMMYFUNCTION("""COMPUTED_VALUE"""),63300)</f>
        <v>63300</v>
      </c>
      <c r="I115" s="1"/>
    </row>
    <row r="116" spans="1:9">
      <c r="A116" s="3">
        <f ca="1">IFERROR(__xludf.DUMMYFUNCTION("""COMPUTED_VALUE"""),29385.6666666666)</f>
        <v>29385.666666666599</v>
      </c>
      <c r="B116" s="1">
        <f ca="1">IFERROR(__xludf.DUMMYFUNCTION("""COMPUTED_VALUE"""),1.69)</f>
        <v>1.69</v>
      </c>
      <c r="C116" s="1">
        <f ca="1">IFERROR(__xludf.DUMMYFUNCTION("""COMPUTED_VALUE"""),1.7)</f>
        <v>1.7</v>
      </c>
      <c r="D116" s="1">
        <f ca="1">IFERROR(__xludf.DUMMYFUNCTION("""COMPUTED_VALUE"""),1.68)</f>
        <v>1.68</v>
      </c>
      <c r="E116" s="1">
        <f ca="1">IFERROR(__xludf.DUMMYFUNCTION("""COMPUTED_VALUE"""),1.69)</f>
        <v>1.69</v>
      </c>
      <c r="F116" s="1">
        <f ca="1">IFERROR(__xludf.DUMMYFUNCTION("""COMPUTED_VALUE"""),51200)</f>
        <v>51200</v>
      </c>
      <c r="I116" s="1"/>
    </row>
    <row r="117" spans="1:9">
      <c r="A117" s="3">
        <f ca="1">IFERROR(__xludf.DUMMYFUNCTION("""COMPUTED_VALUE"""),29388.6666666666)</f>
        <v>29388.666666666599</v>
      </c>
      <c r="B117" s="1">
        <f ca="1">IFERROR(__xludf.DUMMYFUNCTION("""COMPUTED_VALUE"""),1.69)</f>
        <v>1.69</v>
      </c>
      <c r="C117" s="1">
        <f ca="1">IFERROR(__xludf.DUMMYFUNCTION("""COMPUTED_VALUE"""),1.69)</f>
        <v>1.69</v>
      </c>
      <c r="D117" s="1">
        <f ca="1">IFERROR(__xludf.DUMMYFUNCTION("""COMPUTED_VALUE"""),1.68)</f>
        <v>1.68</v>
      </c>
      <c r="E117" s="1">
        <f ca="1">IFERROR(__xludf.DUMMYFUNCTION("""COMPUTED_VALUE"""),1.69)</f>
        <v>1.69</v>
      </c>
      <c r="F117" s="1">
        <f ca="1">IFERROR(__xludf.DUMMYFUNCTION("""COMPUTED_VALUE"""),31800)</f>
        <v>31800</v>
      </c>
      <c r="I117" s="1"/>
    </row>
    <row r="118" spans="1:9">
      <c r="A118" s="3">
        <f ca="1">IFERROR(__xludf.DUMMYFUNCTION("""COMPUTED_VALUE"""),29389.6666666666)</f>
        <v>29389.666666666599</v>
      </c>
      <c r="B118" s="1">
        <f ca="1">IFERROR(__xludf.DUMMYFUNCTION("""COMPUTED_VALUE"""),1.7)</f>
        <v>1.7</v>
      </c>
      <c r="C118" s="1">
        <f ca="1">IFERROR(__xludf.DUMMYFUNCTION("""COMPUTED_VALUE"""),1.71)</f>
        <v>1.71</v>
      </c>
      <c r="D118" s="1">
        <f ca="1">IFERROR(__xludf.DUMMYFUNCTION("""COMPUTED_VALUE"""),1.69)</f>
        <v>1.69</v>
      </c>
      <c r="E118" s="1">
        <f ca="1">IFERROR(__xludf.DUMMYFUNCTION("""COMPUTED_VALUE"""),1.7)</f>
        <v>1.7</v>
      </c>
      <c r="F118" s="1">
        <f ca="1">IFERROR(__xludf.DUMMYFUNCTION("""COMPUTED_VALUE"""),35600)</f>
        <v>35600</v>
      </c>
      <c r="I118" s="1"/>
    </row>
    <row r="119" spans="1:9">
      <c r="A119" s="3">
        <f ca="1">IFERROR(__xludf.DUMMYFUNCTION("""COMPUTED_VALUE"""),29390.6666666666)</f>
        <v>29390.666666666599</v>
      </c>
      <c r="B119" s="1">
        <f ca="1">IFERROR(__xludf.DUMMYFUNCTION("""COMPUTED_VALUE"""),1.7)</f>
        <v>1.7</v>
      </c>
      <c r="C119" s="1">
        <f ca="1">IFERROR(__xludf.DUMMYFUNCTION("""COMPUTED_VALUE"""),1.7)</f>
        <v>1.7</v>
      </c>
      <c r="D119" s="1">
        <f ca="1">IFERROR(__xludf.DUMMYFUNCTION("""COMPUTED_VALUE"""),1.68)</f>
        <v>1.68</v>
      </c>
      <c r="E119" s="1">
        <f ca="1">IFERROR(__xludf.DUMMYFUNCTION("""COMPUTED_VALUE"""),1.7)</f>
        <v>1.7</v>
      </c>
      <c r="F119" s="1">
        <f ca="1">IFERROR(__xludf.DUMMYFUNCTION("""COMPUTED_VALUE"""),31700)</f>
        <v>31700</v>
      </c>
      <c r="I119" s="1"/>
    </row>
    <row r="120" spans="1:9">
      <c r="A120" s="3">
        <f ca="1">IFERROR(__xludf.DUMMYFUNCTION("""COMPUTED_VALUE"""),29391.6666666666)</f>
        <v>29391.666666666599</v>
      </c>
      <c r="B120" s="1">
        <f ca="1">IFERROR(__xludf.DUMMYFUNCTION("""COMPUTED_VALUE"""),1.67)</f>
        <v>1.67</v>
      </c>
      <c r="C120" s="1">
        <f ca="1">IFERROR(__xludf.DUMMYFUNCTION("""COMPUTED_VALUE"""),1.7)</f>
        <v>1.7</v>
      </c>
      <c r="D120" s="1">
        <f ca="1">IFERROR(__xludf.DUMMYFUNCTION("""COMPUTED_VALUE"""),1.67)</f>
        <v>1.67</v>
      </c>
      <c r="E120" s="1">
        <f ca="1">IFERROR(__xludf.DUMMYFUNCTION("""COMPUTED_VALUE"""),1.67)</f>
        <v>1.67</v>
      </c>
      <c r="F120" s="1">
        <f ca="1">IFERROR(__xludf.DUMMYFUNCTION("""COMPUTED_VALUE"""),27500)</f>
        <v>27500</v>
      </c>
      <c r="I120" s="1"/>
    </row>
    <row r="121" spans="1:9">
      <c r="A121" s="3">
        <f ca="1">IFERROR(__xludf.DUMMYFUNCTION("""COMPUTED_VALUE"""),29392.6666666666)</f>
        <v>29392.666666666599</v>
      </c>
      <c r="B121" s="1">
        <f ca="1">IFERROR(__xludf.DUMMYFUNCTION("""COMPUTED_VALUE"""),1.66)</f>
        <v>1.66</v>
      </c>
      <c r="C121" s="1">
        <f ca="1">IFERROR(__xludf.DUMMYFUNCTION("""COMPUTED_VALUE"""),1.67)</f>
        <v>1.67</v>
      </c>
      <c r="D121" s="1">
        <f ca="1">IFERROR(__xludf.DUMMYFUNCTION("""COMPUTED_VALUE"""),1.65)</f>
        <v>1.65</v>
      </c>
      <c r="E121" s="1">
        <f ca="1">IFERROR(__xludf.DUMMYFUNCTION("""COMPUTED_VALUE"""),1.66)</f>
        <v>1.66</v>
      </c>
      <c r="F121" s="1">
        <f ca="1">IFERROR(__xludf.DUMMYFUNCTION("""COMPUTED_VALUE"""),38400)</f>
        <v>38400</v>
      </c>
      <c r="I121" s="1"/>
    </row>
    <row r="122" spans="1:9">
      <c r="A122" s="3">
        <f ca="1">IFERROR(__xludf.DUMMYFUNCTION("""COMPUTED_VALUE"""),29395.6666666666)</f>
        <v>29395.666666666599</v>
      </c>
      <c r="B122" s="1">
        <f ca="1">IFERROR(__xludf.DUMMYFUNCTION("""COMPUTED_VALUE"""),1.67)</f>
        <v>1.67</v>
      </c>
      <c r="C122" s="1">
        <f ca="1">IFERROR(__xludf.DUMMYFUNCTION("""COMPUTED_VALUE"""),1.67)</f>
        <v>1.67</v>
      </c>
      <c r="D122" s="1">
        <f ca="1">IFERROR(__xludf.DUMMYFUNCTION("""COMPUTED_VALUE"""),1.66)</f>
        <v>1.66</v>
      </c>
      <c r="E122" s="1">
        <f ca="1">IFERROR(__xludf.DUMMYFUNCTION("""COMPUTED_VALUE"""),1.67)</f>
        <v>1.67</v>
      </c>
      <c r="F122" s="1">
        <f ca="1">IFERROR(__xludf.DUMMYFUNCTION("""COMPUTED_VALUE"""),38700)</f>
        <v>38700</v>
      </c>
      <c r="I122" s="1"/>
    </row>
    <row r="123" spans="1:9">
      <c r="A123" s="3">
        <f ca="1">IFERROR(__xludf.DUMMYFUNCTION("""COMPUTED_VALUE"""),29396.6666666666)</f>
        <v>29396.666666666599</v>
      </c>
      <c r="B123" s="1">
        <f ca="1">IFERROR(__xludf.DUMMYFUNCTION("""COMPUTED_VALUE"""),1.65)</f>
        <v>1.65</v>
      </c>
      <c r="C123" s="1">
        <f ca="1">IFERROR(__xludf.DUMMYFUNCTION("""COMPUTED_VALUE"""),1.66)</f>
        <v>1.66</v>
      </c>
      <c r="D123" s="1">
        <f ca="1">IFERROR(__xludf.DUMMYFUNCTION("""COMPUTED_VALUE"""),1.65)</f>
        <v>1.65</v>
      </c>
      <c r="E123" s="1">
        <f ca="1">IFERROR(__xludf.DUMMYFUNCTION("""COMPUTED_VALUE"""),1.65)</f>
        <v>1.65</v>
      </c>
      <c r="F123" s="1">
        <f ca="1">IFERROR(__xludf.DUMMYFUNCTION("""COMPUTED_VALUE"""),28200)</f>
        <v>28200</v>
      </c>
      <c r="I123" s="1"/>
    </row>
    <row r="124" spans="1:9">
      <c r="A124" s="3">
        <f ca="1">IFERROR(__xludf.DUMMYFUNCTION("""COMPUTED_VALUE"""),29397.6666666666)</f>
        <v>29397.666666666599</v>
      </c>
      <c r="B124" s="1">
        <f ca="1">IFERROR(__xludf.DUMMYFUNCTION("""COMPUTED_VALUE"""),1.67)</f>
        <v>1.67</v>
      </c>
      <c r="C124" s="1">
        <f ca="1">IFERROR(__xludf.DUMMYFUNCTION("""COMPUTED_VALUE"""),1.67)</f>
        <v>1.67</v>
      </c>
      <c r="D124" s="1">
        <f ca="1">IFERROR(__xludf.DUMMYFUNCTION("""COMPUTED_VALUE"""),1.65)</f>
        <v>1.65</v>
      </c>
      <c r="E124" s="1">
        <f ca="1">IFERROR(__xludf.DUMMYFUNCTION("""COMPUTED_VALUE"""),1.67)</f>
        <v>1.67</v>
      </c>
      <c r="F124" s="1">
        <f ca="1">IFERROR(__xludf.DUMMYFUNCTION("""COMPUTED_VALUE"""),21500)</f>
        <v>21500</v>
      </c>
      <c r="I124" s="1"/>
    </row>
    <row r="125" spans="1:9">
      <c r="A125" s="3">
        <f ca="1">IFERROR(__xludf.DUMMYFUNCTION("""COMPUTED_VALUE"""),29398.6666666666)</f>
        <v>29398.666666666599</v>
      </c>
      <c r="B125" s="1">
        <f ca="1">IFERROR(__xludf.DUMMYFUNCTION("""COMPUTED_VALUE"""),1.66)</f>
        <v>1.66</v>
      </c>
      <c r="C125" s="1">
        <f ca="1">IFERROR(__xludf.DUMMYFUNCTION("""COMPUTED_VALUE"""),1.67)</f>
        <v>1.67</v>
      </c>
      <c r="D125" s="1">
        <f ca="1">IFERROR(__xludf.DUMMYFUNCTION("""COMPUTED_VALUE"""),1.65)</f>
        <v>1.65</v>
      </c>
      <c r="E125" s="1">
        <f ca="1">IFERROR(__xludf.DUMMYFUNCTION("""COMPUTED_VALUE"""),1.66)</f>
        <v>1.66</v>
      </c>
      <c r="F125" s="1">
        <f ca="1">IFERROR(__xludf.DUMMYFUNCTION("""COMPUTED_VALUE"""),52400)</f>
        <v>52400</v>
      </c>
      <c r="I125" s="1"/>
    </row>
    <row r="126" spans="1:9">
      <c r="A126" s="3">
        <f ca="1">IFERROR(__xludf.DUMMYFUNCTION("""COMPUTED_VALUE"""),29399.6666666666)</f>
        <v>29399.666666666599</v>
      </c>
      <c r="B126" s="1">
        <f ca="1">IFERROR(__xludf.DUMMYFUNCTION("""COMPUTED_VALUE"""),1.66)</f>
        <v>1.66</v>
      </c>
      <c r="C126" s="1">
        <f ca="1">IFERROR(__xludf.DUMMYFUNCTION("""COMPUTED_VALUE"""),1.67)</f>
        <v>1.67</v>
      </c>
      <c r="D126" s="1">
        <f ca="1">IFERROR(__xludf.DUMMYFUNCTION("""COMPUTED_VALUE"""),1.65)</f>
        <v>1.65</v>
      </c>
      <c r="E126" s="1">
        <f ca="1">IFERROR(__xludf.DUMMYFUNCTION("""COMPUTED_VALUE"""),1.66)</f>
        <v>1.66</v>
      </c>
      <c r="F126" s="1">
        <f ca="1">IFERROR(__xludf.DUMMYFUNCTION("""COMPUTED_VALUE"""),24800)</f>
        <v>24800</v>
      </c>
      <c r="I126" s="1"/>
    </row>
    <row r="127" spans="1:9">
      <c r="A127" s="3">
        <f ca="1">IFERROR(__xludf.DUMMYFUNCTION("""COMPUTED_VALUE"""),29402.6666666666)</f>
        <v>29402.666666666599</v>
      </c>
      <c r="B127" s="1">
        <f ca="1">IFERROR(__xludf.DUMMYFUNCTION("""COMPUTED_VALUE"""),1.63)</f>
        <v>1.63</v>
      </c>
      <c r="C127" s="1">
        <f ca="1">IFERROR(__xludf.DUMMYFUNCTION("""COMPUTED_VALUE"""),1.67)</f>
        <v>1.67</v>
      </c>
      <c r="D127" s="1">
        <f ca="1">IFERROR(__xludf.DUMMYFUNCTION("""COMPUTED_VALUE"""),1.63)</f>
        <v>1.63</v>
      </c>
      <c r="E127" s="1">
        <f ca="1">IFERROR(__xludf.DUMMYFUNCTION("""COMPUTED_VALUE"""),1.63)</f>
        <v>1.63</v>
      </c>
      <c r="F127" s="1">
        <f ca="1">IFERROR(__xludf.DUMMYFUNCTION("""COMPUTED_VALUE"""),36300)</f>
        <v>36300</v>
      </c>
      <c r="I127" s="1"/>
    </row>
    <row r="128" spans="1:9">
      <c r="A128" s="3">
        <f ca="1">IFERROR(__xludf.DUMMYFUNCTION("""COMPUTED_VALUE"""),29403.6666666666)</f>
        <v>29403.666666666599</v>
      </c>
      <c r="B128" s="1">
        <f ca="1">IFERROR(__xludf.DUMMYFUNCTION("""COMPUTED_VALUE"""),1.64)</f>
        <v>1.64</v>
      </c>
      <c r="C128" s="1">
        <f ca="1">IFERROR(__xludf.DUMMYFUNCTION("""COMPUTED_VALUE"""),1.64)</f>
        <v>1.64</v>
      </c>
      <c r="D128" s="1">
        <f ca="1">IFERROR(__xludf.DUMMYFUNCTION("""COMPUTED_VALUE"""),1.63)</f>
        <v>1.63</v>
      </c>
      <c r="E128" s="1">
        <f ca="1">IFERROR(__xludf.DUMMYFUNCTION("""COMPUTED_VALUE"""),1.64)</f>
        <v>1.64</v>
      </c>
      <c r="F128" s="1">
        <f ca="1">IFERROR(__xludf.DUMMYFUNCTION("""COMPUTED_VALUE"""),35700)</f>
        <v>35700</v>
      </c>
      <c r="I128" s="1"/>
    </row>
    <row r="129" spans="1:9">
      <c r="A129" s="3">
        <f ca="1">IFERROR(__xludf.DUMMYFUNCTION("""COMPUTED_VALUE"""),29404.6666666666)</f>
        <v>29404.666666666599</v>
      </c>
      <c r="B129" s="1">
        <f ca="1">IFERROR(__xludf.DUMMYFUNCTION("""COMPUTED_VALUE"""),1.64)</f>
        <v>1.64</v>
      </c>
      <c r="C129" s="1">
        <f ca="1">IFERROR(__xludf.DUMMYFUNCTION("""COMPUTED_VALUE"""),1.65)</f>
        <v>1.65</v>
      </c>
      <c r="D129" s="1">
        <f ca="1">IFERROR(__xludf.DUMMYFUNCTION("""COMPUTED_VALUE"""),1.63)</f>
        <v>1.63</v>
      </c>
      <c r="E129" s="1">
        <f ca="1">IFERROR(__xludf.DUMMYFUNCTION("""COMPUTED_VALUE"""),1.64)</f>
        <v>1.64</v>
      </c>
      <c r="F129" s="1">
        <f ca="1">IFERROR(__xludf.DUMMYFUNCTION("""COMPUTED_VALUE"""),34500)</f>
        <v>34500</v>
      </c>
      <c r="I129" s="1"/>
    </row>
    <row r="130" spans="1:9">
      <c r="A130" s="3">
        <f ca="1">IFERROR(__xludf.DUMMYFUNCTION("""COMPUTED_VALUE"""),29405.6666666666)</f>
        <v>29405.666666666599</v>
      </c>
      <c r="B130" s="1">
        <f ca="1">IFERROR(__xludf.DUMMYFUNCTION("""COMPUTED_VALUE"""),1.65)</f>
        <v>1.65</v>
      </c>
      <c r="C130" s="1">
        <f ca="1">IFERROR(__xludf.DUMMYFUNCTION("""COMPUTED_VALUE"""),1.65)</f>
        <v>1.65</v>
      </c>
      <c r="D130" s="1">
        <f ca="1">IFERROR(__xludf.DUMMYFUNCTION("""COMPUTED_VALUE"""),1.64)</f>
        <v>1.64</v>
      </c>
      <c r="E130" s="1">
        <f ca="1">IFERROR(__xludf.DUMMYFUNCTION("""COMPUTED_VALUE"""),1.65)</f>
        <v>1.65</v>
      </c>
      <c r="F130" s="1">
        <f ca="1">IFERROR(__xludf.DUMMYFUNCTION("""COMPUTED_VALUE"""),78200)</f>
        <v>78200</v>
      </c>
      <c r="I130" s="1"/>
    </row>
    <row r="131" spans="1:9">
      <c r="A131" s="3">
        <f ca="1">IFERROR(__xludf.DUMMYFUNCTION("""COMPUTED_VALUE"""),29409.6666666666)</f>
        <v>29409.666666666599</v>
      </c>
      <c r="B131" s="1">
        <f ca="1">IFERROR(__xludf.DUMMYFUNCTION("""COMPUTED_VALUE"""),1.68)</f>
        <v>1.68</v>
      </c>
      <c r="C131" s="1">
        <f ca="1">IFERROR(__xludf.DUMMYFUNCTION("""COMPUTED_VALUE"""),1.69)</f>
        <v>1.69</v>
      </c>
      <c r="D131" s="1">
        <f ca="1">IFERROR(__xludf.DUMMYFUNCTION("""COMPUTED_VALUE"""),1.67)</f>
        <v>1.67</v>
      </c>
      <c r="E131" s="1">
        <f ca="1">IFERROR(__xludf.DUMMYFUNCTION("""COMPUTED_VALUE"""),1.68)</f>
        <v>1.68</v>
      </c>
      <c r="F131" s="1">
        <f ca="1">IFERROR(__xludf.DUMMYFUNCTION("""COMPUTED_VALUE"""),33300)</f>
        <v>33300</v>
      </c>
      <c r="I131" s="1"/>
    </row>
    <row r="132" spans="1:9">
      <c r="A132" s="3">
        <f ca="1">IFERROR(__xludf.DUMMYFUNCTION("""COMPUTED_VALUE"""),29410.6666666666)</f>
        <v>29410.666666666599</v>
      </c>
      <c r="B132" s="1">
        <f ca="1">IFERROR(__xludf.DUMMYFUNCTION("""COMPUTED_VALUE"""),1.69)</f>
        <v>1.69</v>
      </c>
      <c r="C132" s="1">
        <f ca="1">IFERROR(__xludf.DUMMYFUNCTION("""COMPUTED_VALUE"""),1.7)</f>
        <v>1.7</v>
      </c>
      <c r="D132" s="1">
        <f ca="1">IFERROR(__xludf.DUMMYFUNCTION("""COMPUTED_VALUE"""),1.69)</f>
        <v>1.69</v>
      </c>
      <c r="E132" s="1">
        <f ca="1">IFERROR(__xludf.DUMMYFUNCTION("""COMPUTED_VALUE"""),1.69)</f>
        <v>1.69</v>
      </c>
      <c r="F132" s="1">
        <f ca="1">IFERROR(__xludf.DUMMYFUNCTION("""COMPUTED_VALUE"""),52400)</f>
        <v>52400</v>
      </c>
      <c r="I132" s="1"/>
    </row>
    <row r="133" spans="1:9">
      <c r="A133" s="3">
        <f ca="1">IFERROR(__xludf.DUMMYFUNCTION("""COMPUTED_VALUE"""),29411.6666666666)</f>
        <v>29411.666666666599</v>
      </c>
      <c r="B133" s="1">
        <f ca="1">IFERROR(__xludf.DUMMYFUNCTION("""COMPUTED_VALUE"""),1.68)</f>
        <v>1.68</v>
      </c>
      <c r="C133" s="1">
        <f ca="1">IFERROR(__xludf.DUMMYFUNCTION("""COMPUTED_VALUE"""),1.69)</f>
        <v>1.69</v>
      </c>
      <c r="D133" s="1">
        <f ca="1">IFERROR(__xludf.DUMMYFUNCTION("""COMPUTED_VALUE"""),1.67)</f>
        <v>1.67</v>
      </c>
      <c r="E133" s="1">
        <f ca="1">IFERROR(__xludf.DUMMYFUNCTION("""COMPUTED_VALUE"""),1.68)</f>
        <v>1.68</v>
      </c>
      <c r="F133" s="1">
        <f ca="1">IFERROR(__xludf.DUMMYFUNCTION("""COMPUTED_VALUE"""),45500)</f>
        <v>45500</v>
      </c>
      <c r="I133" s="1"/>
    </row>
    <row r="134" spans="1:9">
      <c r="A134" s="3">
        <f ca="1">IFERROR(__xludf.DUMMYFUNCTION("""COMPUTED_VALUE"""),29412.6666666666)</f>
        <v>29412.666666666599</v>
      </c>
      <c r="B134" s="1">
        <f ca="1">IFERROR(__xludf.DUMMYFUNCTION("""COMPUTED_VALUE"""),1.66)</f>
        <v>1.66</v>
      </c>
      <c r="C134" s="1">
        <f ca="1">IFERROR(__xludf.DUMMYFUNCTION("""COMPUTED_VALUE"""),1.68)</f>
        <v>1.68</v>
      </c>
      <c r="D134" s="1">
        <f ca="1">IFERROR(__xludf.DUMMYFUNCTION("""COMPUTED_VALUE"""),1.65)</f>
        <v>1.65</v>
      </c>
      <c r="E134" s="1">
        <f ca="1">IFERROR(__xludf.DUMMYFUNCTION("""COMPUTED_VALUE"""),1.66)</f>
        <v>1.66</v>
      </c>
      <c r="F134" s="1">
        <f ca="1">IFERROR(__xludf.DUMMYFUNCTION("""COMPUTED_VALUE"""),33000)</f>
        <v>33000</v>
      </c>
      <c r="I134" s="1"/>
    </row>
    <row r="135" spans="1:9">
      <c r="A135" s="3">
        <f ca="1">IFERROR(__xludf.DUMMYFUNCTION("""COMPUTED_VALUE"""),29413.6666666666)</f>
        <v>29413.666666666599</v>
      </c>
      <c r="B135" s="1">
        <f ca="1">IFERROR(__xludf.DUMMYFUNCTION("""COMPUTED_VALUE"""),1.66)</f>
        <v>1.66</v>
      </c>
      <c r="C135" s="1">
        <f ca="1">IFERROR(__xludf.DUMMYFUNCTION("""COMPUTED_VALUE"""),1.66)</f>
        <v>1.66</v>
      </c>
      <c r="D135" s="1">
        <f ca="1">IFERROR(__xludf.DUMMYFUNCTION("""COMPUTED_VALUE"""),1.65)</f>
        <v>1.65</v>
      </c>
      <c r="E135" s="1">
        <f ca="1">IFERROR(__xludf.DUMMYFUNCTION("""COMPUTED_VALUE"""),1.66)</f>
        <v>1.66</v>
      </c>
      <c r="F135" s="1">
        <f ca="1">IFERROR(__xludf.DUMMYFUNCTION("""COMPUTED_VALUE"""),51400)</f>
        <v>51400</v>
      </c>
      <c r="I135" s="1"/>
    </row>
    <row r="136" spans="1:9">
      <c r="A136" s="3">
        <f ca="1">IFERROR(__xludf.DUMMYFUNCTION("""COMPUTED_VALUE"""),29416.6666666666)</f>
        <v>29416.666666666599</v>
      </c>
      <c r="B136" s="1">
        <f ca="1">IFERROR(__xludf.DUMMYFUNCTION("""COMPUTED_VALUE"""),1.67)</f>
        <v>1.67</v>
      </c>
      <c r="C136" s="1">
        <f ca="1">IFERROR(__xludf.DUMMYFUNCTION("""COMPUTED_VALUE"""),1.67)</f>
        <v>1.67</v>
      </c>
      <c r="D136" s="1">
        <f ca="1">IFERROR(__xludf.DUMMYFUNCTION("""COMPUTED_VALUE"""),1.66)</f>
        <v>1.66</v>
      </c>
      <c r="E136" s="1">
        <f ca="1">IFERROR(__xludf.DUMMYFUNCTION("""COMPUTED_VALUE"""),1.67)</f>
        <v>1.67</v>
      </c>
      <c r="F136" s="1">
        <f ca="1">IFERROR(__xludf.DUMMYFUNCTION("""COMPUTED_VALUE"""),40100)</f>
        <v>40100</v>
      </c>
      <c r="I136" s="1"/>
    </row>
    <row r="137" spans="1:9">
      <c r="A137" s="3">
        <f ca="1">IFERROR(__xludf.DUMMYFUNCTION("""COMPUTED_VALUE"""),29417.6666666666)</f>
        <v>29417.666666666599</v>
      </c>
      <c r="B137" s="1">
        <f ca="1">IFERROR(__xludf.DUMMYFUNCTION("""COMPUTED_VALUE"""),1.67)</f>
        <v>1.67</v>
      </c>
      <c r="C137" s="1">
        <f ca="1">IFERROR(__xludf.DUMMYFUNCTION("""COMPUTED_VALUE"""),1.68)</f>
        <v>1.68</v>
      </c>
      <c r="D137" s="1">
        <f ca="1">IFERROR(__xludf.DUMMYFUNCTION("""COMPUTED_VALUE"""),1.67)</f>
        <v>1.67</v>
      </c>
      <c r="E137" s="1">
        <f ca="1">IFERROR(__xludf.DUMMYFUNCTION("""COMPUTED_VALUE"""),1.67)</f>
        <v>1.67</v>
      </c>
      <c r="F137" s="1">
        <f ca="1">IFERROR(__xludf.DUMMYFUNCTION("""COMPUTED_VALUE"""),48500)</f>
        <v>48500</v>
      </c>
      <c r="I137" s="1"/>
    </row>
    <row r="138" spans="1:9">
      <c r="A138" s="3">
        <f ca="1">IFERROR(__xludf.DUMMYFUNCTION("""COMPUTED_VALUE"""),29418.6666666666)</f>
        <v>29418.666666666599</v>
      </c>
      <c r="B138" s="1">
        <f ca="1">IFERROR(__xludf.DUMMYFUNCTION("""COMPUTED_VALUE"""),1.66)</f>
        <v>1.66</v>
      </c>
      <c r="C138" s="1">
        <f ca="1">IFERROR(__xludf.DUMMYFUNCTION("""COMPUTED_VALUE"""),1.67)</f>
        <v>1.67</v>
      </c>
      <c r="D138" s="1">
        <f ca="1">IFERROR(__xludf.DUMMYFUNCTION("""COMPUTED_VALUE"""),1.66)</f>
        <v>1.66</v>
      </c>
      <c r="E138" s="1">
        <f ca="1">IFERROR(__xludf.DUMMYFUNCTION("""COMPUTED_VALUE"""),1.66)</f>
        <v>1.66</v>
      </c>
      <c r="F138" s="1">
        <f ca="1">IFERROR(__xludf.DUMMYFUNCTION("""COMPUTED_VALUE"""),46700)</f>
        <v>46700</v>
      </c>
      <c r="I138" s="1"/>
    </row>
    <row r="139" spans="1:9">
      <c r="A139" s="3">
        <f ca="1">IFERROR(__xludf.DUMMYFUNCTION("""COMPUTED_VALUE"""),29419.6666666666)</f>
        <v>29419.666666666599</v>
      </c>
      <c r="B139" s="1">
        <f ca="1">IFERROR(__xludf.DUMMYFUNCTION("""COMPUTED_VALUE"""),1.65)</f>
        <v>1.65</v>
      </c>
      <c r="C139" s="1">
        <f ca="1">IFERROR(__xludf.DUMMYFUNCTION("""COMPUTED_VALUE"""),1.67)</f>
        <v>1.67</v>
      </c>
      <c r="D139" s="1">
        <f ca="1">IFERROR(__xludf.DUMMYFUNCTION("""COMPUTED_VALUE"""),1.65)</f>
        <v>1.65</v>
      </c>
      <c r="E139" s="1">
        <f ca="1">IFERROR(__xludf.DUMMYFUNCTION("""COMPUTED_VALUE"""),1.65)</f>
        <v>1.65</v>
      </c>
      <c r="F139" s="1">
        <f ca="1">IFERROR(__xludf.DUMMYFUNCTION("""COMPUTED_VALUE"""),30700)</f>
        <v>30700</v>
      </c>
      <c r="I139" s="1"/>
    </row>
    <row r="140" spans="1:9">
      <c r="A140" s="3">
        <f ca="1">IFERROR(__xludf.DUMMYFUNCTION("""COMPUTED_VALUE"""),29420.6666666666)</f>
        <v>29420.666666666599</v>
      </c>
      <c r="B140" s="1">
        <f ca="1">IFERROR(__xludf.DUMMYFUNCTION("""COMPUTED_VALUE"""),1.65)</f>
        <v>1.65</v>
      </c>
      <c r="C140" s="1">
        <f ca="1">IFERROR(__xludf.DUMMYFUNCTION("""COMPUTED_VALUE"""),1.66)</f>
        <v>1.66</v>
      </c>
      <c r="D140" s="1">
        <f ca="1">IFERROR(__xludf.DUMMYFUNCTION("""COMPUTED_VALUE"""),1.64)</f>
        <v>1.64</v>
      </c>
      <c r="E140" s="1">
        <f ca="1">IFERROR(__xludf.DUMMYFUNCTION("""COMPUTED_VALUE"""),1.65)</f>
        <v>1.65</v>
      </c>
      <c r="F140" s="1">
        <f ca="1">IFERROR(__xludf.DUMMYFUNCTION("""COMPUTED_VALUE"""),119300)</f>
        <v>119300</v>
      </c>
      <c r="I140" s="1"/>
    </row>
    <row r="141" spans="1:9">
      <c r="A141" s="3">
        <f ca="1">IFERROR(__xludf.DUMMYFUNCTION("""COMPUTED_VALUE"""),29423.6666666666)</f>
        <v>29423.666666666599</v>
      </c>
      <c r="B141" s="1">
        <f ca="1">IFERROR(__xludf.DUMMYFUNCTION("""COMPUTED_VALUE"""),1.66)</f>
        <v>1.66</v>
      </c>
      <c r="C141" s="1">
        <f ca="1">IFERROR(__xludf.DUMMYFUNCTION("""COMPUTED_VALUE"""),1.66)</f>
        <v>1.66</v>
      </c>
      <c r="D141" s="1">
        <f ca="1">IFERROR(__xludf.DUMMYFUNCTION("""COMPUTED_VALUE"""),1.65)</f>
        <v>1.65</v>
      </c>
      <c r="E141" s="1">
        <f ca="1">IFERROR(__xludf.DUMMYFUNCTION("""COMPUTED_VALUE"""),1.66)</f>
        <v>1.66</v>
      </c>
      <c r="F141" s="1">
        <f ca="1">IFERROR(__xludf.DUMMYFUNCTION("""COMPUTED_VALUE"""),41700)</f>
        <v>41700</v>
      </c>
      <c r="I141" s="1"/>
    </row>
    <row r="142" spans="1:9">
      <c r="A142" s="3">
        <f ca="1">IFERROR(__xludf.DUMMYFUNCTION("""COMPUTED_VALUE"""),29424.6666666666)</f>
        <v>29424.666666666599</v>
      </c>
      <c r="B142" s="1">
        <f ca="1">IFERROR(__xludf.DUMMYFUNCTION("""COMPUTED_VALUE"""),1.67)</f>
        <v>1.67</v>
      </c>
      <c r="C142" s="1">
        <f ca="1">IFERROR(__xludf.DUMMYFUNCTION("""COMPUTED_VALUE"""),1.68)</f>
        <v>1.68</v>
      </c>
      <c r="D142" s="1">
        <f ca="1">IFERROR(__xludf.DUMMYFUNCTION("""COMPUTED_VALUE"""),1.66)</f>
        <v>1.66</v>
      </c>
      <c r="E142" s="1">
        <f ca="1">IFERROR(__xludf.DUMMYFUNCTION("""COMPUTED_VALUE"""),1.67)</f>
        <v>1.67</v>
      </c>
      <c r="F142" s="1">
        <f ca="1">IFERROR(__xludf.DUMMYFUNCTION("""COMPUTED_VALUE"""),58700)</f>
        <v>58700</v>
      </c>
      <c r="I142" s="1"/>
    </row>
    <row r="143" spans="1:9">
      <c r="A143" s="3">
        <f ca="1">IFERROR(__xludf.DUMMYFUNCTION("""COMPUTED_VALUE"""),29425.6666666666)</f>
        <v>29425.666666666599</v>
      </c>
      <c r="B143" s="1">
        <f ca="1">IFERROR(__xludf.DUMMYFUNCTION("""COMPUTED_VALUE"""),1.68)</f>
        <v>1.68</v>
      </c>
      <c r="C143" s="1">
        <f ca="1">IFERROR(__xludf.DUMMYFUNCTION("""COMPUTED_VALUE"""),1.69)</f>
        <v>1.69</v>
      </c>
      <c r="D143" s="1">
        <f ca="1">IFERROR(__xludf.DUMMYFUNCTION("""COMPUTED_VALUE"""),1.67)</f>
        <v>1.67</v>
      </c>
      <c r="E143" s="1">
        <f ca="1">IFERROR(__xludf.DUMMYFUNCTION("""COMPUTED_VALUE"""),1.68)</f>
        <v>1.68</v>
      </c>
      <c r="F143" s="1">
        <f ca="1">IFERROR(__xludf.DUMMYFUNCTION("""COMPUTED_VALUE"""),43700)</f>
        <v>43700</v>
      </c>
      <c r="I143" s="1"/>
    </row>
    <row r="144" spans="1:9">
      <c r="A144" s="3">
        <f ca="1">IFERROR(__xludf.DUMMYFUNCTION("""COMPUTED_VALUE"""),29426.6666666666)</f>
        <v>29426.666666666599</v>
      </c>
      <c r="B144" s="1">
        <f ca="1">IFERROR(__xludf.DUMMYFUNCTION("""COMPUTED_VALUE"""),1.67)</f>
        <v>1.67</v>
      </c>
      <c r="C144" s="1">
        <f ca="1">IFERROR(__xludf.DUMMYFUNCTION("""COMPUTED_VALUE"""),1.68)</f>
        <v>1.68</v>
      </c>
      <c r="D144" s="1">
        <f ca="1">IFERROR(__xludf.DUMMYFUNCTION("""COMPUTED_VALUE"""),1.66)</f>
        <v>1.66</v>
      </c>
      <c r="E144" s="1">
        <f ca="1">IFERROR(__xludf.DUMMYFUNCTION("""COMPUTED_VALUE"""),1.67)</f>
        <v>1.67</v>
      </c>
      <c r="F144" s="1">
        <f ca="1">IFERROR(__xludf.DUMMYFUNCTION("""COMPUTED_VALUE"""),108400)</f>
        <v>108400</v>
      </c>
      <c r="I144" s="1"/>
    </row>
    <row r="145" spans="1:9">
      <c r="A145" s="3">
        <f ca="1">IFERROR(__xludf.DUMMYFUNCTION("""COMPUTED_VALUE"""),29427.6666666666)</f>
        <v>29427.666666666599</v>
      </c>
      <c r="B145" s="1">
        <f ca="1">IFERROR(__xludf.DUMMYFUNCTION("""COMPUTED_VALUE"""),1.65)</f>
        <v>1.65</v>
      </c>
      <c r="C145" s="1">
        <f ca="1">IFERROR(__xludf.DUMMYFUNCTION("""COMPUTED_VALUE"""),1.66)</f>
        <v>1.66</v>
      </c>
      <c r="D145" s="1">
        <f ca="1">IFERROR(__xludf.DUMMYFUNCTION("""COMPUTED_VALUE"""),1.65)</f>
        <v>1.65</v>
      </c>
      <c r="E145" s="1">
        <f ca="1">IFERROR(__xludf.DUMMYFUNCTION("""COMPUTED_VALUE"""),1.65)</f>
        <v>1.65</v>
      </c>
      <c r="F145" s="1">
        <f ca="1">IFERROR(__xludf.DUMMYFUNCTION("""COMPUTED_VALUE"""),25500)</f>
        <v>25500</v>
      </c>
      <c r="I145" s="1"/>
    </row>
    <row r="146" spans="1:9">
      <c r="A146" s="3">
        <f ca="1">IFERROR(__xludf.DUMMYFUNCTION("""COMPUTED_VALUE"""),29430.6666666666)</f>
        <v>29430.666666666599</v>
      </c>
      <c r="B146" s="1">
        <f ca="1">IFERROR(__xludf.DUMMYFUNCTION("""COMPUTED_VALUE"""),1.67)</f>
        <v>1.67</v>
      </c>
      <c r="C146" s="1">
        <f ca="1">IFERROR(__xludf.DUMMYFUNCTION("""COMPUTED_VALUE"""),1.67)</f>
        <v>1.67</v>
      </c>
      <c r="D146" s="1">
        <f ca="1">IFERROR(__xludf.DUMMYFUNCTION("""COMPUTED_VALUE"""),1.65)</f>
        <v>1.65</v>
      </c>
      <c r="E146" s="1">
        <f ca="1">IFERROR(__xludf.DUMMYFUNCTION("""COMPUTED_VALUE"""),1.67)</f>
        <v>1.67</v>
      </c>
      <c r="F146" s="1">
        <f ca="1">IFERROR(__xludf.DUMMYFUNCTION("""COMPUTED_VALUE"""),32600)</f>
        <v>32600</v>
      </c>
      <c r="I146" s="1"/>
    </row>
    <row r="147" spans="1:9">
      <c r="A147" s="3">
        <f ca="1">IFERROR(__xludf.DUMMYFUNCTION("""COMPUTED_VALUE"""),29431.6666666666)</f>
        <v>29431.666666666599</v>
      </c>
      <c r="B147" s="1">
        <f ca="1">IFERROR(__xludf.DUMMYFUNCTION("""COMPUTED_VALUE"""),1.68)</f>
        <v>1.68</v>
      </c>
      <c r="C147" s="1">
        <f ca="1">IFERROR(__xludf.DUMMYFUNCTION("""COMPUTED_VALUE"""),1.68)</f>
        <v>1.68</v>
      </c>
      <c r="D147" s="1">
        <f ca="1">IFERROR(__xludf.DUMMYFUNCTION("""COMPUTED_VALUE"""),1.67)</f>
        <v>1.67</v>
      </c>
      <c r="E147" s="1">
        <f ca="1">IFERROR(__xludf.DUMMYFUNCTION("""COMPUTED_VALUE"""),1.68)</f>
        <v>1.68</v>
      </c>
      <c r="F147" s="1">
        <f ca="1">IFERROR(__xludf.DUMMYFUNCTION("""COMPUTED_VALUE"""),51400)</f>
        <v>51400</v>
      </c>
      <c r="I147" s="1"/>
    </row>
    <row r="148" spans="1:9">
      <c r="A148" s="3">
        <f ca="1">IFERROR(__xludf.DUMMYFUNCTION("""COMPUTED_VALUE"""),29432.6666666666)</f>
        <v>29432.666666666599</v>
      </c>
      <c r="B148" s="1">
        <f ca="1">IFERROR(__xludf.DUMMYFUNCTION("""COMPUTED_VALUE"""),1.69)</f>
        <v>1.69</v>
      </c>
      <c r="C148" s="1">
        <f ca="1">IFERROR(__xludf.DUMMYFUNCTION("""COMPUTED_VALUE"""),1.7)</f>
        <v>1.7</v>
      </c>
      <c r="D148" s="1">
        <f ca="1">IFERROR(__xludf.DUMMYFUNCTION("""COMPUTED_VALUE"""),1.68)</f>
        <v>1.68</v>
      </c>
      <c r="E148" s="1">
        <f ca="1">IFERROR(__xludf.DUMMYFUNCTION("""COMPUTED_VALUE"""),1.69)</f>
        <v>1.69</v>
      </c>
      <c r="F148" s="1">
        <f ca="1">IFERROR(__xludf.DUMMYFUNCTION("""COMPUTED_VALUE"""),86600)</f>
        <v>86600</v>
      </c>
      <c r="I148" s="1"/>
    </row>
    <row r="149" spans="1:9">
      <c r="A149" s="3">
        <f ca="1">IFERROR(__xludf.DUMMYFUNCTION("""COMPUTED_VALUE"""),29433.6666666666)</f>
        <v>29433.666666666599</v>
      </c>
      <c r="B149" s="1">
        <f ca="1">IFERROR(__xludf.DUMMYFUNCTION("""COMPUTED_VALUE"""),1.69)</f>
        <v>1.69</v>
      </c>
      <c r="C149" s="1">
        <f ca="1">IFERROR(__xludf.DUMMYFUNCTION("""COMPUTED_VALUE"""),1.69)</f>
        <v>1.69</v>
      </c>
      <c r="D149" s="1">
        <f ca="1">IFERROR(__xludf.DUMMYFUNCTION("""COMPUTED_VALUE"""),1.65)</f>
        <v>1.65</v>
      </c>
      <c r="E149" s="1">
        <f ca="1">IFERROR(__xludf.DUMMYFUNCTION("""COMPUTED_VALUE"""),1.69)</f>
        <v>1.69</v>
      </c>
      <c r="F149" s="1">
        <f ca="1">IFERROR(__xludf.DUMMYFUNCTION("""COMPUTED_VALUE"""),82900)</f>
        <v>82900</v>
      </c>
      <c r="I149" s="1"/>
    </row>
    <row r="150" spans="1:9">
      <c r="A150" s="3">
        <f ca="1">IFERROR(__xludf.DUMMYFUNCTION("""COMPUTED_VALUE"""),29434.6666666666)</f>
        <v>29434.666666666599</v>
      </c>
      <c r="B150" s="1">
        <f ca="1">IFERROR(__xludf.DUMMYFUNCTION("""COMPUTED_VALUE"""),1.69)</f>
        <v>1.69</v>
      </c>
      <c r="C150" s="1">
        <f ca="1">IFERROR(__xludf.DUMMYFUNCTION("""COMPUTED_VALUE"""),1.69)</f>
        <v>1.69</v>
      </c>
      <c r="D150" s="1">
        <f ca="1">IFERROR(__xludf.DUMMYFUNCTION("""COMPUTED_VALUE"""),1.67)</f>
        <v>1.67</v>
      </c>
      <c r="E150" s="1">
        <f ca="1">IFERROR(__xludf.DUMMYFUNCTION("""COMPUTED_VALUE"""),1.69)</f>
        <v>1.69</v>
      </c>
      <c r="F150" s="1">
        <f ca="1">IFERROR(__xludf.DUMMYFUNCTION("""COMPUTED_VALUE"""),37000)</f>
        <v>37000</v>
      </c>
      <c r="I150" s="1"/>
    </row>
    <row r="151" spans="1:9">
      <c r="A151" s="3">
        <f ca="1">IFERROR(__xludf.DUMMYFUNCTION("""COMPUTED_VALUE"""),29437.6666666666)</f>
        <v>29437.666666666599</v>
      </c>
      <c r="B151" s="1">
        <f ca="1">IFERROR(__xludf.DUMMYFUNCTION("""COMPUTED_VALUE"""),1.69)</f>
        <v>1.69</v>
      </c>
      <c r="C151" s="1">
        <f ca="1">IFERROR(__xludf.DUMMYFUNCTION("""COMPUTED_VALUE"""),1.69)</f>
        <v>1.69</v>
      </c>
      <c r="D151" s="1">
        <f ca="1">IFERROR(__xludf.DUMMYFUNCTION("""COMPUTED_VALUE"""),1.68)</f>
        <v>1.68</v>
      </c>
      <c r="E151" s="1">
        <f ca="1">IFERROR(__xludf.DUMMYFUNCTION("""COMPUTED_VALUE"""),1.69)</f>
        <v>1.69</v>
      </c>
      <c r="F151" s="1">
        <f ca="1">IFERROR(__xludf.DUMMYFUNCTION("""COMPUTED_VALUE"""),27200)</f>
        <v>27200</v>
      </c>
      <c r="I151" s="1"/>
    </row>
    <row r="152" spans="1:9">
      <c r="A152" s="3">
        <f ca="1">IFERROR(__xludf.DUMMYFUNCTION("""COMPUTED_VALUE"""),29438.6666666666)</f>
        <v>29438.666666666599</v>
      </c>
      <c r="B152" s="1">
        <f ca="1">IFERROR(__xludf.DUMMYFUNCTION("""COMPUTED_VALUE"""),1.7)</f>
        <v>1.7</v>
      </c>
      <c r="C152" s="1">
        <f ca="1">IFERROR(__xludf.DUMMYFUNCTION("""COMPUTED_VALUE"""),1.7)</f>
        <v>1.7</v>
      </c>
      <c r="D152" s="1">
        <f ca="1">IFERROR(__xludf.DUMMYFUNCTION("""COMPUTED_VALUE"""),1.68)</f>
        <v>1.68</v>
      </c>
      <c r="E152" s="1">
        <f ca="1">IFERROR(__xludf.DUMMYFUNCTION("""COMPUTED_VALUE"""),1.7)</f>
        <v>1.7</v>
      </c>
      <c r="F152" s="1">
        <f ca="1">IFERROR(__xludf.DUMMYFUNCTION("""COMPUTED_VALUE"""),33000)</f>
        <v>33000</v>
      </c>
      <c r="I152" s="1"/>
    </row>
    <row r="153" spans="1:9">
      <c r="A153" s="3">
        <f ca="1">IFERROR(__xludf.DUMMYFUNCTION("""COMPUTED_VALUE"""),29439.6666666666)</f>
        <v>29439.666666666599</v>
      </c>
      <c r="B153" s="1">
        <f ca="1">IFERROR(__xludf.DUMMYFUNCTION("""COMPUTED_VALUE"""),1.74)</f>
        <v>1.74</v>
      </c>
      <c r="C153" s="1">
        <f ca="1">IFERROR(__xludf.DUMMYFUNCTION("""COMPUTED_VALUE"""),1.74)</f>
        <v>1.74</v>
      </c>
      <c r="D153" s="1">
        <f ca="1">IFERROR(__xludf.DUMMYFUNCTION("""COMPUTED_VALUE"""),1.7)</f>
        <v>1.7</v>
      </c>
      <c r="E153" s="1">
        <f ca="1">IFERROR(__xludf.DUMMYFUNCTION("""COMPUTED_VALUE"""),1.74)</f>
        <v>1.74</v>
      </c>
      <c r="F153" s="1">
        <f ca="1">IFERROR(__xludf.DUMMYFUNCTION("""COMPUTED_VALUE"""),55000)</f>
        <v>55000</v>
      </c>
      <c r="I153" s="1"/>
    </row>
    <row r="154" spans="1:9">
      <c r="A154" s="3">
        <f ca="1">IFERROR(__xludf.DUMMYFUNCTION("""COMPUTED_VALUE"""),29440.6666666666)</f>
        <v>29440.666666666599</v>
      </c>
      <c r="B154" s="1">
        <f ca="1">IFERROR(__xludf.DUMMYFUNCTION("""COMPUTED_VALUE"""),1.76)</f>
        <v>1.76</v>
      </c>
      <c r="C154" s="1">
        <f ca="1">IFERROR(__xludf.DUMMYFUNCTION("""COMPUTED_VALUE"""),1.76)</f>
        <v>1.76</v>
      </c>
      <c r="D154" s="1">
        <f ca="1">IFERROR(__xludf.DUMMYFUNCTION("""COMPUTED_VALUE"""),1.74)</f>
        <v>1.74</v>
      </c>
      <c r="E154" s="1">
        <f ca="1">IFERROR(__xludf.DUMMYFUNCTION("""COMPUTED_VALUE"""),1.76)</f>
        <v>1.76</v>
      </c>
      <c r="F154" s="1">
        <f ca="1">IFERROR(__xludf.DUMMYFUNCTION("""COMPUTED_VALUE"""),103300)</f>
        <v>103300</v>
      </c>
      <c r="I154" s="1"/>
    </row>
    <row r="155" spans="1:9">
      <c r="A155" s="3">
        <f ca="1">IFERROR(__xludf.DUMMYFUNCTION("""COMPUTED_VALUE"""),29441.6666666666)</f>
        <v>29441.666666666599</v>
      </c>
      <c r="B155" s="1">
        <f ca="1">IFERROR(__xludf.DUMMYFUNCTION("""COMPUTED_VALUE"""),1.78)</f>
        <v>1.78</v>
      </c>
      <c r="C155" s="1">
        <f ca="1">IFERROR(__xludf.DUMMYFUNCTION("""COMPUTED_VALUE"""),1.79)</f>
        <v>1.79</v>
      </c>
      <c r="D155" s="1">
        <f ca="1">IFERROR(__xludf.DUMMYFUNCTION("""COMPUTED_VALUE"""),1.77)</f>
        <v>1.77</v>
      </c>
      <c r="E155" s="1">
        <f ca="1">IFERROR(__xludf.DUMMYFUNCTION("""COMPUTED_VALUE"""),1.78)</f>
        <v>1.78</v>
      </c>
      <c r="F155" s="1">
        <f ca="1">IFERROR(__xludf.DUMMYFUNCTION("""COMPUTED_VALUE"""),111100)</f>
        <v>111100</v>
      </c>
      <c r="I155" s="1"/>
    </row>
    <row r="156" spans="1:9">
      <c r="A156" s="3">
        <f ca="1">IFERROR(__xludf.DUMMYFUNCTION("""COMPUTED_VALUE"""),29444.6666666666)</f>
        <v>29444.666666666599</v>
      </c>
      <c r="B156" s="1">
        <f ca="1">IFERROR(__xludf.DUMMYFUNCTION("""COMPUTED_VALUE"""),1.77)</f>
        <v>1.77</v>
      </c>
      <c r="C156" s="1">
        <f ca="1">IFERROR(__xludf.DUMMYFUNCTION("""COMPUTED_VALUE"""),1.78)</f>
        <v>1.78</v>
      </c>
      <c r="D156" s="1">
        <f ca="1">IFERROR(__xludf.DUMMYFUNCTION("""COMPUTED_VALUE"""),1.76)</f>
        <v>1.76</v>
      </c>
      <c r="E156" s="1">
        <f ca="1">IFERROR(__xludf.DUMMYFUNCTION("""COMPUTED_VALUE"""),1.77)</f>
        <v>1.77</v>
      </c>
      <c r="F156" s="1">
        <f ca="1">IFERROR(__xludf.DUMMYFUNCTION("""COMPUTED_VALUE"""),48500)</f>
        <v>48500</v>
      </c>
      <c r="I156" s="1"/>
    </row>
    <row r="157" spans="1:9">
      <c r="A157" s="3">
        <f ca="1">IFERROR(__xludf.DUMMYFUNCTION("""COMPUTED_VALUE"""),29445.6666666666)</f>
        <v>29445.666666666599</v>
      </c>
      <c r="B157" s="1">
        <f ca="1">IFERROR(__xludf.DUMMYFUNCTION("""COMPUTED_VALUE"""),1.75)</f>
        <v>1.75</v>
      </c>
      <c r="C157" s="1">
        <f ca="1">IFERROR(__xludf.DUMMYFUNCTION("""COMPUTED_VALUE"""),1.78)</f>
        <v>1.78</v>
      </c>
      <c r="D157" s="1">
        <f ca="1">IFERROR(__xludf.DUMMYFUNCTION("""COMPUTED_VALUE"""),1.75)</f>
        <v>1.75</v>
      </c>
      <c r="E157" s="1">
        <f ca="1">IFERROR(__xludf.DUMMYFUNCTION("""COMPUTED_VALUE"""),1.75)</f>
        <v>1.75</v>
      </c>
      <c r="F157" s="1">
        <f ca="1">IFERROR(__xludf.DUMMYFUNCTION("""COMPUTED_VALUE"""),61800)</f>
        <v>61800</v>
      </c>
      <c r="I157" s="1"/>
    </row>
    <row r="158" spans="1:9">
      <c r="A158" s="3">
        <f ca="1">IFERROR(__xludf.DUMMYFUNCTION("""COMPUTED_VALUE"""),29446.6666666666)</f>
        <v>29446.666666666599</v>
      </c>
      <c r="B158" s="1">
        <f ca="1">IFERROR(__xludf.DUMMYFUNCTION("""COMPUTED_VALUE"""),1.74)</f>
        <v>1.74</v>
      </c>
      <c r="C158" s="1">
        <f ca="1">IFERROR(__xludf.DUMMYFUNCTION("""COMPUTED_VALUE"""),1.76)</f>
        <v>1.76</v>
      </c>
      <c r="D158" s="1">
        <f ca="1">IFERROR(__xludf.DUMMYFUNCTION("""COMPUTED_VALUE"""),1.74)</f>
        <v>1.74</v>
      </c>
      <c r="E158" s="1">
        <f ca="1">IFERROR(__xludf.DUMMYFUNCTION("""COMPUTED_VALUE"""),1.74)</f>
        <v>1.74</v>
      </c>
      <c r="F158" s="1">
        <f ca="1">IFERROR(__xludf.DUMMYFUNCTION("""COMPUTED_VALUE"""),45800)</f>
        <v>45800</v>
      </c>
      <c r="I158" s="1"/>
    </row>
    <row r="159" spans="1:9">
      <c r="A159" s="3">
        <f ca="1">IFERROR(__xludf.DUMMYFUNCTION("""COMPUTED_VALUE"""),29447.6666666666)</f>
        <v>29447.666666666599</v>
      </c>
      <c r="B159" s="1">
        <f ca="1">IFERROR(__xludf.DUMMYFUNCTION("""COMPUTED_VALUE"""),1.73)</f>
        <v>1.73</v>
      </c>
      <c r="C159" s="1">
        <f ca="1">IFERROR(__xludf.DUMMYFUNCTION("""COMPUTED_VALUE"""),1.74)</f>
        <v>1.74</v>
      </c>
      <c r="D159" s="1">
        <f ca="1">IFERROR(__xludf.DUMMYFUNCTION("""COMPUTED_VALUE"""),1.72)</f>
        <v>1.72</v>
      </c>
      <c r="E159" s="1">
        <f ca="1">IFERROR(__xludf.DUMMYFUNCTION("""COMPUTED_VALUE"""),1.73)</f>
        <v>1.73</v>
      </c>
      <c r="F159" s="1">
        <f ca="1">IFERROR(__xludf.DUMMYFUNCTION("""COMPUTED_VALUE"""),44900)</f>
        <v>44900</v>
      </c>
      <c r="I159" s="1"/>
    </row>
    <row r="160" spans="1:9">
      <c r="A160" s="3">
        <f ca="1">IFERROR(__xludf.DUMMYFUNCTION("""COMPUTED_VALUE"""),29448.6666666666)</f>
        <v>29448.666666666599</v>
      </c>
      <c r="B160" s="1">
        <f ca="1">IFERROR(__xludf.DUMMYFUNCTION("""COMPUTED_VALUE"""),1.72)</f>
        <v>1.72</v>
      </c>
      <c r="C160" s="1">
        <f ca="1">IFERROR(__xludf.DUMMYFUNCTION("""COMPUTED_VALUE"""),1.74)</f>
        <v>1.74</v>
      </c>
      <c r="D160" s="1">
        <f ca="1">IFERROR(__xludf.DUMMYFUNCTION("""COMPUTED_VALUE"""),1.72)</f>
        <v>1.72</v>
      </c>
      <c r="E160" s="1">
        <f ca="1">IFERROR(__xludf.DUMMYFUNCTION("""COMPUTED_VALUE"""),1.72)</f>
        <v>1.72</v>
      </c>
      <c r="F160" s="1">
        <f ca="1">IFERROR(__xludf.DUMMYFUNCTION("""COMPUTED_VALUE"""),58200)</f>
        <v>58200</v>
      </c>
      <c r="I160" s="1"/>
    </row>
    <row r="161" spans="1:9">
      <c r="A161" s="3">
        <f ca="1">IFERROR(__xludf.DUMMYFUNCTION("""COMPUTED_VALUE"""),29451.6666666666)</f>
        <v>29451.666666666599</v>
      </c>
      <c r="B161" s="1">
        <f ca="1">IFERROR(__xludf.DUMMYFUNCTION("""COMPUTED_VALUE"""),1.67)</f>
        <v>1.67</v>
      </c>
      <c r="C161" s="1">
        <f ca="1">IFERROR(__xludf.DUMMYFUNCTION("""COMPUTED_VALUE"""),1.7)</f>
        <v>1.7</v>
      </c>
      <c r="D161" s="1">
        <f ca="1">IFERROR(__xludf.DUMMYFUNCTION("""COMPUTED_VALUE"""),1.67)</f>
        <v>1.67</v>
      </c>
      <c r="E161" s="1">
        <f ca="1">IFERROR(__xludf.DUMMYFUNCTION("""COMPUTED_VALUE"""),1.67)</f>
        <v>1.67</v>
      </c>
      <c r="F161" s="1">
        <f ca="1">IFERROR(__xludf.DUMMYFUNCTION("""COMPUTED_VALUE"""),49800)</f>
        <v>49800</v>
      </c>
      <c r="I161" s="1"/>
    </row>
    <row r="162" spans="1:9">
      <c r="A162" s="3">
        <f ca="1">IFERROR(__xludf.DUMMYFUNCTION("""COMPUTED_VALUE"""),29452.6666666666)</f>
        <v>29452.666666666599</v>
      </c>
      <c r="B162" s="1">
        <f ca="1">IFERROR(__xludf.DUMMYFUNCTION("""COMPUTED_VALUE"""),1.65)</f>
        <v>1.65</v>
      </c>
      <c r="C162" s="1">
        <f ca="1">IFERROR(__xludf.DUMMYFUNCTION("""COMPUTED_VALUE"""),1.68)</f>
        <v>1.68</v>
      </c>
      <c r="D162" s="1">
        <f ca="1">IFERROR(__xludf.DUMMYFUNCTION("""COMPUTED_VALUE"""),1.65)</f>
        <v>1.65</v>
      </c>
      <c r="E162" s="1">
        <f ca="1">IFERROR(__xludf.DUMMYFUNCTION("""COMPUTED_VALUE"""),1.65)</f>
        <v>1.65</v>
      </c>
      <c r="F162" s="1">
        <f ca="1">IFERROR(__xludf.DUMMYFUNCTION("""COMPUTED_VALUE"""),44100)</f>
        <v>44100</v>
      </c>
      <c r="I162" s="1"/>
    </row>
    <row r="163" spans="1:9">
      <c r="A163" s="3">
        <f ca="1">IFERROR(__xludf.DUMMYFUNCTION("""COMPUTED_VALUE"""),29453.6666666666)</f>
        <v>29453.666666666599</v>
      </c>
      <c r="B163" s="1">
        <f ca="1">IFERROR(__xludf.DUMMYFUNCTION("""COMPUTED_VALUE"""),1.67)</f>
        <v>1.67</v>
      </c>
      <c r="C163" s="1">
        <f ca="1">IFERROR(__xludf.DUMMYFUNCTION("""COMPUTED_VALUE"""),1.68)</f>
        <v>1.68</v>
      </c>
      <c r="D163" s="1">
        <f ca="1">IFERROR(__xludf.DUMMYFUNCTION("""COMPUTED_VALUE"""),1.65)</f>
        <v>1.65</v>
      </c>
      <c r="E163" s="1">
        <f ca="1">IFERROR(__xludf.DUMMYFUNCTION("""COMPUTED_VALUE"""),1.67)</f>
        <v>1.67</v>
      </c>
      <c r="F163" s="1">
        <f ca="1">IFERROR(__xludf.DUMMYFUNCTION("""COMPUTED_VALUE"""),64800)</f>
        <v>64800</v>
      </c>
      <c r="I163" s="1"/>
    </row>
    <row r="164" spans="1:9">
      <c r="A164" s="3">
        <f ca="1">IFERROR(__xludf.DUMMYFUNCTION("""COMPUTED_VALUE"""),29454.6666666666)</f>
        <v>29454.666666666599</v>
      </c>
      <c r="B164" s="1">
        <f ca="1">IFERROR(__xludf.DUMMYFUNCTION("""COMPUTED_VALUE"""),1.69)</f>
        <v>1.69</v>
      </c>
      <c r="C164" s="1">
        <f ca="1">IFERROR(__xludf.DUMMYFUNCTION("""COMPUTED_VALUE"""),1.7)</f>
        <v>1.7</v>
      </c>
      <c r="D164" s="1">
        <f ca="1">IFERROR(__xludf.DUMMYFUNCTION("""COMPUTED_VALUE"""),1.68)</f>
        <v>1.68</v>
      </c>
      <c r="E164" s="1">
        <f ca="1">IFERROR(__xludf.DUMMYFUNCTION("""COMPUTED_VALUE"""),1.69)</f>
        <v>1.69</v>
      </c>
      <c r="F164" s="1">
        <f ca="1">IFERROR(__xludf.DUMMYFUNCTION("""COMPUTED_VALUE"""),29600)</f>
        <v>29600</v>
      </c>
      <c r="I164" s="1"/>
    </row>
    <row r="165" spans="1:9">
      <c r="A165" s="3">
        <f ca="1">IFERROR(__xludf.DUMMYFUNCTION("""COMPUTED_VALUE"""),29455.6666666666)</f>
        <v>29455.666666666599</v>
      </c>
      <c r="B165" s="1">
        <f ca="1">IFERROR(__xludf.DUMMYFUNCTION("""COMPUTED_VALUE"""),1.7)</f>
        <v>1.7</v>
      </c>
      <c r="C165" s="1">
        <f ca="1">IFERROR(__xludf.DUMMYFUNCTION("""COMPUTED_VALUE"""),1.72)</f>
        <v>1.72</v>
      </c>
      <c r="D165" s="1">
        <f ca="1">IFERROR(__xludf.DUMMYFUNCTION("""COMPUTED_VALUE"""),1.69)</f>
        <v>1.69</v>
      </c>
      <c r="E165" s="1">
        <f ca="1">IFERROR(__xludf.DUMMYFUNCTION("""COMPUTED_VALUE"""),1.7)</f>
        <v>1.7</v>
      </c>
      <c r="F165" s="1">
        <f ca="1">IFERROR(__xludf.DUMMYFUNCTION("""COMPUTED_VALUE"""),73600)</f>
        <v>73600</v>
      </c>
      <c r="I165" s="1"/>
    </row>
    <row r="166" spans="1:9">
      <c r="A166" s="3">
        <f ca="1">IFERROR(__xludf.DUMMYFUNCTION("""COMPUTED_VALUE"""),29458.6666666666)</f>
        <v>29458.666666666599</v>
      </c>
      <c r="B166" s="1">
        <f ca="1">IFERROR(__xludf.DUMMYFUNCTION("""COMPUTED_VALUE"""),1.71)</f>
        <v>1.71</v>
      </c>
      <c r="C166" s="1">
        <f ca="1">IFERROR(__xludf.DUMMYFUNCTION("""COMPUTED_VALUE"""),1.73)</f>
        <v>1.73</v>
      </c>
      <c r="D166" s="1">
        <f ca="1">IFERROR(__xludf.DUMMYFUNCTION("""COMPUTED_VALUE"""),1.7)</f>
        <v>1.7</v>
      </c>
      <c r="E166" s="1">
        <f ca="1">IFERROR(__xludf.DUMMYFUNCTION("""COMPUTED_VALUE"""),1.71)</f>
        <v>1.71</v>
      </c>
      <c r="F166" s="1">
        <f ca="1">IFERROR(__xludf.DUMMYFUNCTION("""COMPUTED_VALUE"""),53000)</f>
        <v>53000</v>
      </c>
      <c r="I166" s="1"/>
    </row>
    <row r="167" spans="1:9">
      <c r="A167" s="3">
        <f ca="1">IFERROR(__xludf.DUMMYFUNCTION("""COMPUTED_VALUE"""),29459.6666666666)</f>
        <v>29459.666666666599</v>
      </c>
      <c r="B167" s="1">
        <f ca="1">IFERROR(__xludf.DUMMYFUNCTION("""COMPUTED_VALUE"""),1.68)</f>
        <v>1.68</v>
      </c>
      <c r="C167" s="1">
        <f ca="1">IFERROR(__xludf.DUMMYFUNCTION("""COMPUTED_VALUE"""),1.71)</f>
        <v>1.71</v>
      </c>
      <c r="D167" s="1">
        <f ca="1">IFERROR(__xludf.DUMMYFUNCTION("""COMPUTED_VALUE"""),1.67)</f>
        <v>1.67</v>
      </c>
      <c r="E167" s="1">
        <f ca="1">IFERROR(__xludf.DUMMYFUNCTION("""COMPUTED_VALUE"""),1.68)</f>
        <v>1.68</v>
      </c>
      <c r="F167" s="1">
        <f ca="1">IFERROR(__xludf.DUMMYFUNCTION("""COMPUTED_VALUE"""),26300)</f>
        <v>26300</v>
      </c>
      <c r="I167" s="1"/>
    </row>
    <row r="168" spans="1:9">
      <c r="A168" s="3">
        <f ca="1">IFERROR(__xludf.DUMMYFUNCTION("""COMPUTED_VALUE"""),29460.6666666666)</f>
        <v>29460.666666666599</v>
      </c>
      <c r="B168" s="1">
        <f ca="1">IFERROR(__xludf.DUMMYFUNCTION("""COMPUTED_VALUE"""),1.65)</f>
        <v>1.65</v>
      </c>
      <c r="C168" s="1">
        <f ca="1">IFERROR(__xludf.DUMMYFUNCTION("""COMPUTED_VALUE"""),1.67)</f>
        <v>1.67</v>
      </c>
      <c r="D168" s="1">
        <f ca="1">IFERROR(__xludf.DUMMYFUNCTION("""COMPUTED_VALUE"""),1.65)</f>
        <v>1.65</v>
      </c>
      <c r="E168" s="1">
        <f ca="1">IFERROR(__xludf.DUMMYFUNCTION("""COMPUTED_VALUE"""),1.65)</f>
        <v>1.65</v>
      </c>
      <c r="F168" s="1">
        <f ca="1">IFERROR(__xludf.DUMMYFUNCTION("""COMPUTED_VALUE"""),55400)</f>
        <v>55400</v>
      </c>
      <c r="I168" s="1"/>
    </row>
    <row r="169" spans="1:9">
      <c r="A169" s="3">
        <f ca="1">IFERROR(__xludf.DUMMYFUNCTION("""COMPUTED_VALUE"""),29461.6666666666)</f>
        <v>29461.666666666599</v>
      </c>
      <c r="B169" s="1">
        <f ca="1">IFERROR(__xludf.DUMMYFUNCTION("""COMPUTED_VALUE"""),1.65)</f>
        <v>1.65</v>
      </c>
      <c r="C169" s="1">
        <f ca="1">IFERROR(__xludf.DUMMYFUNCTION("""COMPUTED_VALUE"""),1.67)</f>
        <v>1.67</v>
      </c>
      <c r="D169" s="1">
        <f ca="1">IFERROR(__xludf.DUMMYFUNCTION("""COMPUTED_VALUE"""),1.65)</f>
        <v>1.65</v>
      </c>
      <c r="E169" s="1">
        <f ca="1">IFERROR(__xludf.DUMMYFUNCTION("""COMPUTED_VALUE"""),1.65)</f>
        <v>1.65</v>
      </c>
      <c r="F169" s="1">
        <f ca="1">IFERROR(__xludf.DUMMYFUNCTION("""COMPUTED_VALUE"""),33900)</f>
        <v>33900</v>
      </c>
      <c r="I169" s="1"/>
    </row>
    <row r="170" spans="1:9">
      <c r="A170" s="3">
        <f ca="1">IFERROR(__xludf.DUMMYFUNCTION("""COMPUTED_VALUE"""),29462.6666666666)</f>
        <v>29462.666666666599</v>
      </c>
      <c r="B170" s="1">
        <f ca="1">IFERROR(__xludf.DUMMYFUNCTION("""COMPUTED_VALUE"""),1.65)</f>
        <v>1.65</v>
      </c>
      <c r="C170" s="1">
        <f ca="1">IFERROR(__xludf.DUMMYFUNCTION("""COMPUTED_VALUE"""),1.67)</f>
        <v>1.67</v>
      </c>
      <c r="D170" s="1">
        <f ca="1">IFERROR(__xludf.DUMMYFUNCTION("""COMPUTED_VALUE"""),1.65)</f>
        <v>1.65</v>
      </c>
      <c r="E170" s="1">
        <f ca="1">IFERROR(__xludf.DUMMYFUNCTION("""COMPUTED_VALUE"""),1.65)</f>
        <v>1.65</v>
      </c>
      <c r="F170" s="1">
        <f ca="1">IFERROR(__xludf.DUMMYFUNCTION("""COMPUTED_VALUE"""),27800)</f>
        <v>27800</v>
      </c>
      <c r="I170" s="1"/>
    </row>
    <row r="171" spans="1:9">
      <c r="A171" s="3">
        <f ca="1">IFERROR(__xludf.DUMMYFUNCTION("""COMPUTED_VALUE"""),29466.6666666666)</f>
        <v>29466.666666666599</v>
      </c>
      <c r="B171" s="1">
        <f ca="1">IFERROR(__xludf.DUMMYFUNCTION("""COMPUTED_VALUE"""),1.67)</f>
        <v>1.67</v>
      </c>
      <c r="C171" s="1">
        <f ca="1">IFERROR(__xludf.DUMMYFUNCTION("""COMPUTED_VALUE"""),1.67)</f>
        <v>1.67</v>
      </c>
      <c r="D171" s="1">
        <f ca="1">IFERROR(__xludf.DUMMYFUNCTION("""COMPUTED_VALUE"""),1.65)</f>
        <v>1.65</v>
      </c>
      <c r="E171" s="1">
        <f ca="1">IFERROR(__xludf.DUMMYFUNCTION("""COMPUTED_VALUE"""),1.67)</f>
        <v>1.67</v>
      </c>
      <c r="F171" s="1">
        <f ca="1">IFERROR(__xludf.DUMMYFUNCTION("""COMPUTED_VALUE"""),33600)</f>
        <v>33600</v>
      </c>
      <c r="I171" s="1"/>
    </row>
    <row r="172" spans="1:9">
      <c r="A172" s="3">
        <f ca="1">IFERROR(__xludf.DUMMYFUNCTION("""COMPUTED_VALUE"""),29467.6666666666)</f>
        <v>29467.666666666599</v>
      </c>
      <c r="B172" s="1">
        <f ca="1">IFERROR(__xludf.DUMMYFUNCTION("""COMPUTED_VALUE"""),1.67)</f>
        <v>1.67</v>
      </c>
      <c r="C172" s="1">
        <f ca="1">IFERROR(__xludf.DUMMYFUNCTION("""COMPUTED_VALUE"""),1.68)</f>
        <v>1.68</v>
      </c>
      <c r="D172" s="1">
        <f ca="1">IFERROR(__xludf.DUMMYFUNCTION("""COMPUTED_VALUE"""),1.66)</f>
        <v>1.66</v>
      </c>
      <c r="E172" s="1">
        <f ca="1">IFERROR(__xludf.DUMMYFUNCTION("""COMPUTED_VALUE"""),1.67)</f>
        <v>1.67</v>
      </c>
      <c r="F172" s="1">
        <f ca="1">IFERROR(__xludf.DUMMYFUNCTION("""COMPUTED_VALUE"""),42200)</f>
        <v>42200</v>
      </c>
      <c r="I172" s="1"/>
    </row>
    <row r="173" spans="1:9">
      <c r="A173" s="3">
        <f ca="1">IFERROR(__xludf.DUMMYFUNCTION("""COMPUTED_VALUE"""),29468.6666666666)</f>
        <v>29468.666666666599</v>
      </c>
      <c r="B173" s="1">
        <f ca="1">IFERROR(__xludf.DUMMYFUNCTION("""COMPUTED_VALUE"""),1.64)</f>
        <v>1.64</v>
      </c>
      <c r="C173" s="1">
        <f ca="1">IFERROR(__xludf.DUMMYFUNCTION("""COMPUTED_VALUE"""),1.67)</f>
        <v>1.67</v>
      </c>
      <c r="D173" s="1">
        <f ca="1">IFERROR(__xludf.DUMMYFUNCTION("""COMPUTED_VALUE"""),1.63)</f>
        <v>1.63</v>
      </c>
      <c r="E173" s="1">
        <f ca="1">IFERROR(__xludf.DUMMYFUNCTION("""COMPUTED_VALUE"""),1.64)</f>
        <v>1.64</v>
      </c>
      <c r="F173" s="1">
        <f ca="1">IFERROR(__xludf.DUMMYFUNCTION("""COMPUTED_VALUE"""),109600)</f>
        <v>109600</v>
      </c>
      <c r="I173" s="1"/>
    </row>
    <row r="174" spans="1:9">
      <c r="A174" s="3">
        <f ca="1">IFERROR(__xludf.DUMMYFUNCTION("""COMPUTED_VALUE"""),29469.6666666666)</f>
        <v>29469.666666666599</v>
      </c>
      <c r="B174" s="1">
        <f ca="1">IFERROR(__xludf.DUMMYFUNCTION("""COMPUTED_VALUE"""),1.63)</f>
        <v>1.63</v>
      </c>
      <c r="C174" s="1">
        <f ca="1">IFERROR(__xludf.DUMMYFUNCTION("""COMPUTED_VALUE"""),1.65)</f>
        <v>1.65</v>
      </c>
      <c r="D174" s="1">
        <f ca="1">IFERROR(__xludf.DUMMYFUNCTION("""COMPUTED_VALUE"""),1.63)</f>
        <v>1.63</v>
      </c>
      <c r="E174" s="1">
        <f ca="1">IFERROR(__xludf.DUMMYFUNCTION("""COMPUTED_VALUE"""),1.63)</f>
        <v>1.63</v>
      </c>
      <c r="F174" s="1">
        <f ca="1">IFERROR(__xludf.DUMMYFUNCTION("""COMPUTED_VALUE"""),69200)</f>
        <v>69200</v>
      </c>
      <c r="I174" s="1"/>
    </row>
    <row r="175" spans="1:9">
      <c r="A175" s="3">
        <f ca="1">IFERROR(__xludf.DUMMYFUNCTION("""COMPUTED_VALUE"""),29472.6666666666)</f>
        <v>29472.666666666599</v>
      </c>
      <c r="B175" s="1">
        <f ca="1">IFERROR(__xludf.DUMMYFUNCTION("""COMPUTED_VALUE"""),1.61)</f>
        <v>1.61</v>
      </c>
      <c r="C175" s="1">
        <f ca="1">IFERROR(__xludf.DUMMYFUNCTION("""COMPUTED_VALUE"""),1.63)</f>
        <v>1.63</v>
      </c>
      <c r="D175" s="1">
        <f ca="1">IFERROR(__xludf.DUMMYFUNCTION("""COMPUTED_VALUE"""),1.61)</f>
        <v>1.61</v>
      </c>
      <c r="E175" s="1">
        <f ca="1">IFERROR(__xludf.DUMMYFUNCTION("""COMPUTED_VALUE"""),1.61)</f>
        <v>1.61</v>
      </c>
      <c r="F175" s="1">
        <f ca="1">IFERROR(__xludf.DUMMYFUNCTION("""COMPUTED_VALUE"""),61300)</f>
        <v>61300</v>
      </c>
      <c r="I175" s="1"/>
    </row>
    <row r="176" spans="1:9">
      <c r="A176" s="3">
        <f ca="1">IFERROR(__xludf.DUMMYFUNCTION("""COMPUTED_VALUE"""),29473.6666666666)</f>
        <v>29473.666666666599</v>
      </c>
      <c r="B176" s="1">
        <f ca="1">IFERROR(__xludf.DUMMYFUNCTION("""COMPUTED_VALUE"""),1.62)</f>
        <v>1.62</v>
      </c>
      <c r="C176" s="1">
        <f ca="1">IFERROR(__xludf.DUMMYFUNCTION("""COMPUTED_VALUE"""),1.62)</f>
        <v>1.62</v>
      </c>
      <c r="D176" s="1">
        <f ca="1">IFERROR(__xludf.DUMMYFUNCTION("""COMPUTED_VALUE"""),1.6)</f>
        <v>1.6</v>
      </c>
      <c r="E176" s="1">
        <f ca="1">IFERROR(__xludf.DUMMYFUNCTION("""COMPUTED_VALUE"""),1.62)</f>
        <v>1.62</v>
      </c>
      <c r="F176" s="1">
        <f ca="1">IFERROR(__xludf.DUMMYFUNCTION("""COMPUTED_VALUE"""),96600)</f>
        <v>96600</v>
      </c>
      <c r="I176" s="1"/>
    </row>
    <row r="177" spans="1:9">
      <c r="A177" s="3">
        <f ca="1">IFERROR(__xludf.DUMMYFUNCTION("""COMPUTED_VALUE"""),29474.6666666666)</f>
        <v>29474.666666666599</v>
      </c>
      <c r="B177" s="1">
        <f ca="1">IFERROR(__xludf.DUMMYFUNCTION("""COMPUTED_VALUE"""),1.63)</f>
        <v>1.63</v>
      </c>
      <c r="C177" s="1">
        <f ca="1">IFERROR(__xludf.DUMMYFUNCTION("""COMPUTED_VALUE"""),1.64)</f>
        <v>1.64</v>
      </c>
      <c r="D177" s="1">
        <f ca="1">IFERROR(__xludf.DUMMYFUNCTION("""COMPUTED_VALUE"""),1.62)</f>
        <v>1.62</v>
      </c>
      <c r="E177" s="1">
        <f ca="1">IFERROR(__xludf.DUMMYFUNCTION("""COMPUTED_VALUE"""),1.63)</f>
        <v>1.63</v>
      </c>
      <c r="F177" s="1">
        <f ca="1">IFERROR(__xludf.DUMMYFUNCTION("""COMPUTED_VALUE"""),45000)</f>
        <v>45000</v>
      </c>
      <c r="I177" s="1"/>
    </row>
    <row r="178" spans="1:9">
      <c r="A178" s="3">
        <f ca="1">IFERROR(__xludf.DUMMYFUNCTION("""COMPUTED_VALUE"""),29475.6666666666)</f>
        <v>29475.666666666599</v>
      </c>
      <c r="B178" s="1">
        <f ca="1">IFERROR(__xludf.DUMMYFUNCTION("""COMPUTED_VALUE"""),1.64)</f>
        <v>1.64</v>
      </c>
      <c r="C178" s="1">
        <f ca="1">IFERROR(__xludf.DUMMYFUNCTION("""COMPUTED_VALUE"""),1.65)</f>
        <v>1.65</v>
      </c>
      <c r="D178" s="1">
        <f ca="1">IFERROR(__xludf.DUMMYFUNCTION("""COMPUTED_VALUE"""),1.63)</f>
        <v>1.63</v>
      </c>
      <c r="E178" s="1">
        <f ca="1">IFERROR(__xludf.DUMMYFUNCTION("""COMPUTED_VALUE"""),1.64)</f>
        <v>1.64</v>
      </c>
      <c r="F178" s="1">
        <f ca="1">IFERROR(__xludf.DUMMYFUNCTION("""COMPUTED_VALUE"""),48000)</f>
        <v>48000</v>
      </c>
      <c r="I178" s="1"/>
    </row>
    <row r="179" spans="1:9">
      <c r="A179" s="3">
        <f ca="1">IFERROR(__xludf.DUMMYFUNCTION("""COMPUTED_VALUE"""),29476.6666666666)</f>
        <v>29476.666666666599</v>
      </c>
      <c r="B179" s="1">
        <f ca="1">IFERROR(__xludf.DUMMYFUNCTION("""COMPUTED_VALUE"""),1.65)</f>
        <v>1.65</v>
      </c>
      <c r="C179" s="1">
        <f ca="1">IFERROR(__xludf.DUMMYFUNCTION("""COMPUTED_VALUE"""),1.65)</f>
        <v>1.65</v>
      </c>
      <c r="D179" s="1">
        <f ca="1">IFERROR(__xludf.DUMMYFUNCTION("""COMPUTED_VALUE"""),1.64)</f>
        <v>1.64</v>
      </c>
      <c r="E179" s="1">
        <f ca="1">IFERROR(__xludf.DUMMYFUNCTION("""COMPUTED_VALUE"""),1.65)</f>
        <v>1.65</v>
      </c>
      <c r="F179" s="1">
        <f ca="1">IFERROR(__xludf.DUMMYFUNCTION("""COMPUTED_VALUE"""),57600)</f>
        <v>57600</v>
      </c>
      <c r="I179" s="1"/>
    </row>
    <row r="180" spans="1:9">
      <c r="A180" s="3">
        <f ca="1">IFERROR(__xludf.DUMMYFUNCTION("""COMPUTED_VALUE"""),29479.6666666666)</f>
        <v>29479.666666666599</v>
      </c>
      <c r="B180" s="1">
        <f ca="1">IFERROR(__xludf.DUMMYFUNCTION("""COMPUTED_VALUE"""),1.65)</f>
        <v>1.65</v>
      </c>
      <c r="C180" s="1">
        <f ca="1">IFERROR(__xludf.DUMMYFUNCTION("""COMPUTED_VALUE"""),1.65)</f>
        <v>1.65</v>
      </c>
      <c r="D180" s="1">
        <f ca="1">IFERROR(__xludf.DUMMYFUNCTION("""COMPUTED_VALUE"""),1.64)</f>
        <v>1.64</v>
      </c>
      <c r="E180" s="1">
        <f ca="1">IFERROR(__xludf.DUMMYFUNCTION("""COMPUTED_VALUE"""),1.65)</f>
        <v>1.65</v>
      </c>
      <c r="F180" s="1">
        <f ca="1">IFERROR(__xludf.DUMMYFUNCTION("""COMPUTED_VALUE"""),27100)</f>
        <v>27100</v>
      </c>
      <c r="I180" s="1"/>
    </row>
    <row r="181" spans="1:9">
      <c r="A181" s="3">
        <f ca="1">IFERROR(__xludf.DUMMYFUNCTION("""COMPUTED_VALUE"""),29480.6666666666)</f>
        <v>29480.666666666599</v>
      </c>
      <c r="B181" s="1">
        <f ca="1">IFERROR(__xludf.DUMMYFUNCTION("""COMPUTED_VALUE"""),1.65)</f>
        <v>1.65</v>
      </c>
      <c r="C181" s="1">
        <f ca="1">IFERROR(__xludf.DUMMYFUNCTION("""COMPUTED_VALUE"""),1.66)</f>
        <v>1.66</v>
      </c>
      <c r="D181" s="1">
        <f ca="1">IFERROR(__xludf.DUMMYFUNCTION("""COMPUTED_VALUE"""),1.65)</f>
        <v>1.65</v>
      </c>
      <c r="E181" s="1">
        <f ca="1">IFERROR(__xludf.DUMMYFUNCTION("""COMPUTED_VALUE"""),1.65)</f>
        <v>1.65</v>
      </c>
      <c r="F181" s="1">
        <f ca="1">IFERROR(__xludf.DUMMYFUNCTION("""COMPUTED_VALUE"""),132100)</f>
        <v>132100</v>
      </c>
      <c r="I181" s="1"/>
    </row>
    <row r="182" spans="1:9">
      <c r="A182" s="3">
        <f ca="1">IFERROR(__xludf.DUMMYFUNCTION("""COMPUTED_VALUE"""),29481.6666666666)</f>
        <v>29481.666666666599</v>
      </c>
      <c r="B182" s="1">
        <f ca="1">IFERROR(__xludf.DUMMYFUNCTION("""COMPUTED_VALUE"""),1.68)</f>
        <v>1.68</v>
      </c>
      <c r="C182" s="1">
        <f ca="1">IFERROR(__xludf.DUMMYFUNCTION("""COMPUTED_VALUE"""),1.69)</f>
        <v>1.69</v>
      </c>
      <c r="D182" s="1">
        <f ca="1">IFERROR(__xludf.DUMMYFUNCTION("""COMPUTED_VALUE"""),1.65)</f>
        <v>1.65</v>
      </c>
      <c r="E182" s="1">
        <f ca="1">IFERROR(__xludf.DUMMYFUNCTION("""COMPUTED_VALUE"""),1.68)</f>
        <v>1.68</v>
      </c>
      <c r="F182" s="1">
        <f ca="1">IFERROR(__xludf.DUMMYFUNCTION("""COMPUTED_VALUE"""),78800)</f>
        <v>78800</v>
      </c>
      <c r="I182" s="1"/>
    </row>
    <row r="183" spans="1:9">
      <c r="A183" s="3">
        <f ca="1">IFERROR(__xludf.DUMMYFUNCTION("""COMPUTED_VALUE"""),29482.6666666666)</f>
        <v>29482.666666666599</v>
      </c>
      <c r="B183" s="1">
        <f ca="1">IFERROR(__xludf.DUMMYFUNCTION("""COMPUTED_VALUE"""),1.67)</f>
        <v>1.67</v>
      </c>
      <c r="C183" s="1">
        <f ca="1">IFERROR(__xludf.DUMMYFUNCTION("""COMPUTED_VALUE"""),1.7)</f>
        <v>1.7</v>
      </c>
      <c r="D183" s="1">
        <f ca="1">IFERROR(__xludf.DUMMYFUNCTION("""COMPUTED_VALUE"""),1.66)</f>
        <v>1.66</v>
      </c>
      <c r="E183" s="1">
        <f ca="1">IFERROR(__xludf.DUMMYFUNCTION("""COMPUTED_VALUE"""),1.67)</f>
        <v>1.67</v>
      </c>
      <c r="F183" s="1">
        <f ca="1">IFERROR(__xludf.DUMMYFUNCTION("""COMPUTED_VALUE"""),140600)</f>
        <v>140600</v>
      </c>
      <c r="I183" s="1"/>
    </row>
    <row r="184" spans="1:9">
      <c r="A184" s="3">
        <f ca="1">IFERROR(__xludf.DUMMYFUNCTION("""COMPUTED_VALUE"""),29483.6666666666)</f>
        <v>29483.666666666599</v>
      </c>
      <c r="B184" s="1">
        <f ca="1">IFERROR(__xludf.DUMMYFUNCTION("""COMPUTED_VALUE"""),1.67)</f>
        <v>1.67</v>
      </c>
      <c r="C184" s="1">
        <f ca="1">IFERROR(__xludf.DUMMYFUNCTION("""COMPUTED_VALUE"""),1.68)</f>
        <v>1.68</v>
      </c>
      <c r="D184" s="1">
        <f ca="1">IFERROR(__xludf.DUMMYFUNCTION("""COMPUTED_VALUE"""),1.65)</f>
        <v>1.65</v>
      </c>
      <c r="E184" s="1">
        <f ca="1">IFERROR(__xludf.DUMMYFUNCTION("""COMPUTED_VALUE"""),1.67)</f>
        <v>1.67</v>
      </c>
      <c r="F184" s="1">
        <f ca="1">IFERROR(__xludf.DUMMYFUNCTION("""COMPUTED_VALUE"""),140900)</f>
        <v>140900</v>
      </c>
      <c r="I184" s="1"/>
    </row>
    <row r="185" spans="1:9">
      <c r="A185" s="3">
        <f ca="1">IFERROR(__xludf.DUMMYFUNCTION("""COMPUTED_VALUE"""),29486.6666666666)</f>
        <v>29486.666666666599</v>
      </c>
      <c r="B185" s="1">
        <f ca="1">IFERROR(__xludf.DUMMYFUNCTION("""COMPUTED_VALUE"""),1.72)</f>
        <v>1.72</v>
      </c>
      <c r="C185" s="1">
        <f ca="1">IFERROR(__xludf.DUMMYFUNCTION("""COMPUTED_VALUE"""),1.73)</f>
        <v>1.73</v>
      </c>
      <c r="D185" s="1">
        <f ca="1">IFERROR(__xludf.DUMMYFUNCTION("""COMPUTED_VALUE"""),1.67)</f>
        <v>1.67</v>
      </c>
      <c r="E185" s="1">
        <f ca="1">IFERROR(__xludf.DUMMYFUNCTION("""COMPUTED_VALUE"""),1.72)</f>
        <v>1.72</v>
      </c>
      <c r="F185" s="1">
        <f ca="1">IFERROR(__xludf.DUMMYFUNCTION("""COMPUTED_VALUE"""),106200)</f>
        <v>106200</v>
      </c>
      <c r="I185" s="1"/>
    </row>
    <row r="186" spans="1:9">
      <c r="A186" s="3">
        <f ca="1">IFERROR(__xludf.DUMMYFUNCTION("""COMPUTED_VALUE"""),29487.6666666666)</f>
        <v>29487.666666666599</v>
      </c>
      <c r="B186" s="1">
        <f ca="1">IFERROR(__xludf.DUMMYFUNCTION("""COMPUTED_VALUE"""),1.75)</f>
        <v>1.75</v>
      </c>
      <c r="C186" s="1">
        <f ca="1">IFERROR(__xludf.DUMMYFUNCTION("""COMPUTED_VALUE"""),1.76)</f>
        <v>1.76</v>
      </c>
      <c r="D186" s="1">
        <f ca="1">IFERROR(__xludf.DUMMYFUNCTION("""COMPUTED_VALUE"""),1.71)</f>
        <v>1.71</v>
      </c>
      <c r="E186" s="1">
        <f ca="1">IFERROR(__xludf.DUMMYFUNCTION("""COMPUTED_VALUE"""),1.75)</f>
        <v>1.75</v>
      </c>
      <c r="F186" s="1">
        <f ca="1">IFERROR(__xludf.DUMMYFUNCTION("""COMPUTED_VALUE"""),110100)</f>
        <v>110100</v>
      </c>
      <c r="I186" s="1"/>
    </row>
    <row r="187" spans="1:9">
      <c r="A187" s="3">
        <f ca="1">IFERROR(__xludf.DUMMYFUNCTION("""COMPUTED_VALUE"""),29488.6666666666)</f>
        <v>29488.666666666599</v>
      </c>
      <c r="B187" s="1">
        <f ca="1">IFERROR(__xludf.DUMMYFUNCTION("""COMPUTED_VALUE"""),1.74)</f>
        <v>1.74</v>
      </c>
      <c r="C187" s="1">
        <f ca="1">IFERROR(__xludf.DUMMYFUNCTION("""COMPUTED_VALUE"""),1.74)</f>
        <v>1.74</v>
      </c>
      <c r="D187" s="1">
        <f ca="1">IFERROR(__xludf.DUMMYFUNCTION("""COMPUTED_VALUE"""),1.72)</f>
        <v>1.72</v>
      </c>
      <c r="E187" s="1">
        <f ca="1">IFERROR(__xludf.DUMMYFUNCTION("""COMPUTED_VALUE"""),1.74)</f>
        <v>1.74</v>
      </c>
      <c r="F187" s="1">
        <f ca="1">IFERROR(__xludf.DUMMYFUNCTION("""COMPUTED_VALUE"""),34000)</f>
        <v>34000</v>
      </c>
      <c r="I187" s="1"/>
    </row>
    <row r="188" spans="1:9">
      <c r="A188" s="3">
        <f ca="1">IFERROR(__xludf.DUMMYFUNCTION("""COMPUTED_VALUE"""),29489.6666666666)</f>
        <v>29489.666666666599</v>
      </c>
      <c r="B188" s="1">
        <f ca="1">IFERROR(__xludf.DUMMYFUNCTION("""COMPUTED_VALUE"""),1.72)</f>
        <v>1.72</v>
      </c>
      <c r="C188" s="1">
        <f ca="1">IFERROR(__xludf.DUMMYFUNCTION("""COMPUTED_VALUE"""),1.74)</f>
        <v>1.74</v>
      </c>
      <c r="D188" s="1">
        <f ca="1">IFERROR(__xludf.DUMMYFUNCTION("""COMPUTED_VALUE"""),1.72)</f>
        <v>1.72</v>
      </c>
      <c r="E188" s="1">
        <f ca="1">IFERROR(__xludf.DUMMYFUNCTION("""COMPUTED_VALUE"""),1.72)</f>
        <v>1.72</v>
      </c>
      <c r="F188" s="1">
        <f ca="1">IFERROR(__xludf.DUMMYFUNCTION("""COMPUTED_VALUE"""),45300)</f>
        <v>45300</v>
      </c>
      <c r="I188" s="1"/>
    </row>
    <row r="189" spans="1:9">
      <c r="A189" s="3">
        <f ca="1">IFERROR(__xludf.DUMMYFUNCTION("""COMPUTED_VALUE"""),29490.6666666666)</f>
        <v>29490.666666666599</v>
      </c>
      <c r="B189" s="1">
        <f ca="1">IFERROR(__xludf.DUMMYFUNCTION("""COMPUTED_VALUE"""),1.7)</f>
        <v>1.7</v>
      </c>
      <c r="C189" s="1">
        <f ca="1">IFERROR(__xludf.DUMMYFUNCTION("""COMPUTED_VALUE"""),1.72)</f>
        <v>1.72</v>
      </c>
      <c r="D189" s="1">
        <f ca="1">IFERROR(__xludf.DUMMYFUNCTION("""COMPUTED_VALUE"""),1.7)</f>
        <v>1.7</v>
      </c>
      <c r="E189" s="1">
        <f ca="1">IFERROR(__xludf.DUMMYFUNCTION("""COMPUTED_VALUE"""),1.7)</f>
        <v>1.7</v>
      </c>
      <c r="F189" s="1">
        <f ca="1">IFERROR(__xludf.DUMMYFUNCTION("""COMPUTED_VALUE"""),38500)</f>
        <v>38500</v>
      </c>
      <c r="I189" s="1"/>
    </row>
    <row r="190" spans="1:9">
      <c r="A190" s="3">
        <f ca="1">IFERROR(__xludf.DUMMYFUNCTION("""COMPUTED_VALUE"""),29493.6666666666)</f>
        <v>29493.666666666599</v>
      </c>
      <c r="B190" s="1">
        <f ca="1">IFERROR(__xludf.DUMMYFUNCTION("""COMPUTED_VALUE"""),1.67)</f>
        <v>1.67</v>
      </c>
      <c r="C190" s="1">
        <f ca="1">IFERROR(__xludf.DUMMYFUNCTION("""COMPUTED_VALUE"""),1.68)</f>
        <v>1.68</v>
      </c>
      <c r="D190" s="1">
        <f ca="1">IFERROR(__xludf.DUMMYFUNCTION("""COMPUTED_VALUE"""),1.67)</f>
        <v>1.67</v>
      </c>
      <c r="E190" s="1">
        <f ca="1">IFERROR(__xludf.DUMMYFUNCTION("""COMPUTED_VALUE"""),1.67)</f>
        <v>1.67</v>
      </c>
      <c r="F190" s="1">
        <f ca="1">IFERROR(__xludf.DUMMYFUNCTION("""COMPUTED_VALUE"""),51100)</f>
        <v>51100</v>
      </c>
      <c r="I190" s="1"/>
    </row>
    <row r="191" spans="1:9">
      <c r="A191" s="3">
        <f ca="1">IFERROR(__xludf.DUMMYFUNCTION("""COMPUTED_VALUE"""),29494.6666666666)</f>
        <v>29494.666666666599</v>
      </c>
      <c r="B191" s="1">
        <f ca="1">IFERROR(__xludf.DUMMYFUNCTION("""COMPUTED_VALUE"""),1.69)</f>
        <v>1.69</v>
      </c>
      <c r="C191" s="1">
        <f ca="1">IFERROR(__xludf.DUMMYFUNCTION("""COMPUTED_VALUE"""),1.69)</f>
        <v>1.69</v>
      </c>
      <c r="D191" s="1">
        <f ca="1">IFERROR(__xludf.DUMMYFUNCTION("""COMPUTED_VALUE"""),1.67)</f>
        <v>1.67</v>
      </c>
      <c r="E191" s="1">
        <f ca="1">IFERROR(__xludf.DUMMYFUNCTION("""COMPUTED_VALUE"""),1.69)</f>
        <v>1.69</v>
      </c>
      <c r="F191" s="1">
        <f ca="1">IFERROR(__xludf.DUMMYFUNCTION("""COMPUTED_VALUE"""),69200)</f>
        <v>69200</v>
      </c>
      <c r="I191" s="1"/>
    </row>
    <row r="192" spans="1:9">
      <c r="A192" s="3">
        <f ca="1">IFERROR(__xludf.DUMMYFUNCTION("""COMPUTED_VALUE"""),29495.6666666666)</f>
        <v>29495.666666666599</v>
      </c>
      <c r="B192" s="1">
        <f ca="1">IFERROR(__xludf.DUMMYFUNCTION("""COMPUTED_VALUE"""),1.7)</f>
        <v>1.7</v>
      </c>
      <c r="C192" s="1">
        <f ca="1">IFERROR(__xludf.DUMMYFUNCTION("""COMPUTED_VALUE"""),1.71)</f>
        <v>1.71</v>
      </c>
      <c r="D192" s="1">
        <f ca="1">IFERROR(__xludf.DUMMYFUNCTION("""COMPUTED_VALUE"""),1.68)</f>
        <v>1.68</v>
      </c>
      <c r="E192" s="1">
        <f ca="1">IFERROR(__xludf.DUMMYFUNCTION("""COMPUTED_VALUE"""),1.7)</f>
        <v>1.7</v>
      </c>
      <c r="F192" s="1">
        <f ca="1">IFERROR(__xludf.DUMMYFUNCTION("""COMPUTED_VALUE"""),50300)</f>
        <v>50300</v>
      </c>
      <c r="I192" s="1"/>
    </row>
    <row r="193" spans="1:9">
      <c r="A193" s="3">
        <f ca="1">IFERROR(__xludf.DUMMYFUNCTION("""COMPUTED_VALUE"""),29496.6666666666)</f>
        <v>29496.666666666599</v>
      </c>
      <c r="B193" s="1">
        <f ca="1">IFERROR(__xludf.DUMMYFUNCTION("""COMPUTED_VALUE"""),1.69)</f>
        <v>1.69</v>
      </c>
      <c r="C193" s="1">
        <f ca="1">IFERROR(__xludf.DUMMYFUNCTION("""COMPUTED_VALUE"""),1.7)</f>
        <v>1.7</v>
      </c>
      <c r="D193" s="1">
        <f ca="1">IFERROR(__xludf.DUMMYFUNCTION("""COMPUTED_VALUE"""),1.69)</f>
        <v>1.69</v>
      </c>
      <c r="E193" s="1">
        <f ca="1">IFERROR(__xludf.DUMMYFUNCTION("""COMPUTED_VALUE"""),1.69)</f>
        <v>1.69</v>
      </c>
      <c r="F193" s="1">
        <f ca="1">IFERROR(__xludf.DUMMYFUNCTION("""COMPUTED_VALUE"""),51600)</f>
        <v>51600</v>
      </c>
      <c r="I193" s="1"/>
    </row>
    <row r="194" spans="1:9">
      <c r="A194" s="3">
        <f ca="1">IFERROR(__xludf.DUMMYFUNCTION("""COMPUTED_VALUE"""),29497.6666666666)</f>
        <v>29497.666666666599</v>
      </c>
      <c r="B194" s="1">
        <f ca="1">IFERROR(__xludf.DUMMYFUNCTION("""COMPUTED_VALUE"""),1.71)</f>
        <v>1.71</v>
      </c>
      <c r="C194" s="1">
        <f ca="1">IFERROR(__xludf.DUMMYFUNCTION("""COMPUTED_VALUE"""),1.72)</f>
        <v>1.72</v>
      </c>
      <c r="D194" s="1">
        <f ca="1">IFERROR(__xludf.DUMMYFUNCTION("""COMPUTED_VALUE"""),1.69)</f>
        <v>1.69</v>
      </c>
      <c r="E194" s="1">
        <f ca="1">IFERROR(__xludf.DUMMYFUNCTION("""COMPUTED_VALUE"""),1.71)</f>
        <v>1.71</v>
      </c>
      <c r="F194" s="1">
        <f ca="1">IFERROR(__xludf.DUMMYFUNCTION("""COMPUTED_VALUE"""),50200)</f>
        <v>50200</v>
      </c>
      <c r="I194" s="1"/>
    </row>
    <row r="195" spans="1:9">
      <c r="A195" s="3">
        <f ca="1">IFERROR(__xludf.DUMMYFUNCTION("""COMPUTED_VALUE"""),29500.6666666666)</f>
        <v>29500.666666666599</v>
      </c>
      <c r="B195" s="1">
        <f ca="1">IFERROR(__xludf.DUMMYFUNCTION("""COMPUTED_VALUE"""),1.74)</f>
        <v>1.74</v>
      </c>
      <c r="C195" s="1">
        <f ca="1">IFERROR(__xludf.DUMMYFUNCTION("""COMPUTED_VALUE"""),1.74)</f>
        <v>1.74</v>
      </c>
      <c r="D195" s="1">
        <f ca="1">IFERROR(__xludf.DUMMYFUNCTION("""COMPUTED_VALUE"""),1.73)</f>
        <v>1.73</v>
      </c>
      <c r="E195" s="1">
        <f ca="1">IFERROR(__xludf.DUMMYFUNCTION("""COMPUTED_VALUE"""),1.74)</f>
        <v>1.74</v>
      </c>
      <c r="F195" s="1">
        <f ca="1">IFERROR(__xludf.DUMMYFUNCTION("""COMPUTED_VALUE"""),46900)</f>
        <v>46900</v>
      </c>
      <c r="I195" s="1"/>
    </row>
    <row r="196" spans="1:9">
      <c r="A196" s="3">
        <f ca="1">IFERROR(__xludf.DUMMYFUNCTION("""COMPUTED_VALUE"""),29501.6666666666)</f>
        <v>29501.666666666599</v>
      </c>
      <c r="B196" s="1">
        <f ca="1">IFERROR(__xludf.DUMMYFUNCTION("""COMPUTED_VALUE"""),1.74)</f>
        <v>1.74</v>
      </c>
      <c r="C196" s="1">
        <f ca="1">IFERROR(__xludf.DUMMYFUNCTION("""COMPUTED_VALUE"""),1.75)</f>
        <v>1.75</v>
      </c>
      <c r="D196" s="1">
        <f ca="1">IFERROR(__xludf.DUMMYFUNCTION("""COMPUTED_VALUE"""),1.74)</f>
        <v>1.74</v>
      </c>
      <c r="E196" s="1">
        <f ca="1">IFERROR(__xludf.DUMMYFUNCTION("""COMPUTED_VALUE"""),1.74)</f>
        <v>1.74</v>
      </c>
      <c r="F196" s="1">
        <f ca="1">IFERROR(__xludf.DUMMYFUNCTION("""COMPUTED_VALUE"""),79800)</f>
        <v>79800</v>
      </c>
      <c r="I196" s="1"/>
    </row>
    <row r="197" spans="1:9">
      <c r="A197" s="3">
        <f ca="1">IFERROR(__xludf.DUMMYFUNCTION("""COMPUTED_VALUE"""),29502.6666666666)</f>
        <v>29502.666666666599</v>
      </c>
      <c r="B197" s="1">
        <f ca="1">IFERROR(__xludf.DUMMYFUNCTION("""COMPUTED_VALUE"""),1.76)</f>
        <v>1.76</v>
      </c>
      <c r="C197" s="1">
        <f ca="1">IFERROR(__xludf.DUMMYFUNCTION("""COMPUTED_VALUE"""),1.77)</f>
        <v>1.77</v>
      </c>
      <c r="D197" s="1">
        <f ca="1">IFERROR(__xludf.DUMMYFUNCTION("""COMPUTED_VALUE"""),1.74)</f>
        <v>1.74</v>
      </c>
      <c r="E197" s="1">
        <f ca="1">IFERROR(__xludf.DUMMYFUNCTION("""COMPUTED_VALUE"""),1.76)</f>
        <v>1.76</v>
      </c>
      <c r="F197" s="1">
        <f ca="1">IFERROR(__xludf.DUMMYFUNCTION("""COMPUTED_VALUE"""),84200)</f>
        <v>84200</v>
      </c>
      <c r="I197" s="1"/>
    </row>
    <row r="198" spans="1:9">
      <c r="A198" s="3">
        <f ca="1">IFERROR(__xludf.DUMMYFUNCTION("""COMPUTED_VALUE"""),29503.6666666666)</f>
        <v>29503.666666666599</v>
      </c>
      <c r="B198" s="1">
        <f ca="1">IFERROR(__xludf.DUMMYFUNCTION("""COMPUTED_VALUE"""),1.73)</f>
        <v>1.73</v>
      </c>
      <c r="C198" s="1">
        <f ca="1">IFERROR(__xludf.DUMMYFUNCTION("""COMPUTED_VALUE"""),1.74)</f>
        <v>1.74</v>
      </c>
      <c r="D198" s="1">
        <f ca="1">IFERROR(__xludf.DUMMYFUNCTION("""COMPUTED_VALUE"""),1.73)</f>
        <v>1.73</v>
      </c>
      <c r="E198" s="1">
        <f ca="1">IFERROR(__xludf.DUMMYFUNCTION("""COMPUTED_VALUE"""),1.73)</f>
        <v>1.73</v>
      </c>
      <c r="F198" s="1">
        <f ca="1">IFERROR(__xludf.DUMMYFUNCTION("""COMPUTED_VALUE"""),31800)</f>
        <v>31800</v>
      </c>
      <c r="I198" s="1"/>
    </row>
    <row r="199" spans="1:9">
      <c r="A199" s="3">
        <f ca="1">IFERROR(__xludf.DUMMYFUNCTION("""COMPUTED_VALUE"""),29504.6666666666)</f>
        <v>29504.666666666599</v>
      </c>
      <c r="B199" s="1">
        <f ca="1">IFERROR(__xludf.DUMMYFUNCTION("""COMPUTED_VALUE"""),1.72)</f>
        <v>1.72</v>
      </c>
      <c r="C199" s="1">
        <f ca="1">IFERROR(__xludf.DUMMYFUNCTION("""COMPUTED_VALUE"""),1.74)</f>
        <v>1.74</v>
      </c>
      <c r="D199" s="1">
        <f ca="1">IFERROR(__xludf.DUMMYFUNCTION("""COMPUTED_VALUE"""),1.72)</f>
        <v>1.72</v>
      </c>
      <c r="E199" s="1">
        <f ca="1">IFERROR(__xludf.DUMMYFUNCTION("""COMPUTED_VALUE"""),1.72)</f>
        <v>1.72</v>
      </c>
      <c r="F199" s="1">
        <f ca="1">IFERROR(__xludf.DUMMYFUNCTION("""COMPUTED_VALUE"""),24800)</f>
        <v>24800</v>
      </c>
      <c r="I199" s="1"/>
    </row>
    <row r="200" spans="1:9">
      <c r="A200" s="3">
        <f ca="1">IFERROR(__xludf.DUMMYFUNCTION("""COMPUTED_VALUE"""),29507.6666666666)</f>
        <v>29507.666666666599</v>
      </c>
      <c r="B200" s="1">
        <f ca="1">IFERROR(__xludf.DUMMYFUNCTION("""COMPUTED_VALUE"""),1.7)</f>
        <v>1.7</v>
      </c>
      <c r="C200" s="1">
        <f ca="1">IFERROR(__xludf.DUMMYFUNCTION("""COMPUTED_VALUE"""),1.71)</f>
        <v>1.71</v>
      </c>
      <c r="D200" s="1">
        <f ca="1">IFERROR(__xludf.DUMMYFUNCTION("""COMPUTED_VALUE"""),1.7)</f>
        <v>1.7</v>
      </c>
      <c r="E200" s="1">
        <f ca="1">IFERROR(__xludf.DUMMYFUNCTION("""COMPUTED_VALUE"""),1.7)</f>
        <v>1.7</v>
      </c>
      <c r="F200" s="1">
        <f ca="1">IFERROR(__xludf.DUMMYFUNCTION("""COMPUTED_VALUE"""),64200)</f>
        <v>64200</v>
      </c>
      <c r="I200" s="1"/>
    </row>
    <row r="201" spans="1:9">
      <c r="A201" s="3">
        <f ca="1">IFERROR(__xludf.DUMMYFUNCTION("""COMPUTED_VALUE"""),29508.6666666666)</f>
        <v>29508.666666666599</v>
      </c>
      <c r="B201" s="1">
        <f ca="1">IFERROR(__xludf.DUMMYFUNCTION("""COMPUTED_VALUE"""),1.68)</f>
        <v>1.68</v>
      </c>
      <c r="C201" s="1">
        <f ca="1">IFERROR(__xludf.DUMMYFUNCTION("""COMPUTED_VALUE"""),1.7)</f>
        <v>1.7</v>
      </c>
      <c r="D201" s="1">
        <f ca="1">IFERROR(__xludf.DUMMYFUNCTION("""COMPUTED_VALUE"""),1.67)</f>
        <v>1.67</v>
      </c>
      <c r="E201" s="1">
        <f ca="1">IFERROR(__xludf.DUMMYFUNCTION("""COMPUTED_VALUE"""),1.68)</f>
        <v>1.68</v>
      </c>
      <c r="F201" s="1">
        <f ca="1">IFERROR(__xludf.DUMMYFUNCTION("""COMPUTED_VALUE"""),81500)</f>
        <v>81500</v>
      </c>
      <c r="I201" s="1"/>
    </row>
    <row r="202" spans="1:9">
      <c r="A202" s="3">
        <f ca="1">IFERROR(__xludf.DUMMYFUNCTION("""COMPUTED_VALUE"""),29509.6666666666)</f>
        <v>29509.666666666599</v>
      </c>
      <c r="B202" s="1">
        <f ca="1">IFERROR(__xludf.DUMMYFUNCTION("""COMPUTED_VALUE"""),1.67)</f>
        <v>1.67</v>
      </c>
      <c r="C202" s="1">
        <f ca="1">IFERROR(__xludf.DUMMYFUNCTION("""COMPUTED_VALUE"""),1.68)</f>
        <v>1.68</v>
      </c>
      <c r="D202" s="1">
        <f ca="1">IFERROR(__xludf.DUMMYFUNCTION("""COMPUTED_VALUE"""),1.65)</f>
        <v>1.65</v>
      </c>
      <c r="E202" s="1">
        <f ca="1">IFERROR(__xludf.DUMMYFUNCTION("""COMPUTED_VALUE"""),1.67)</f>
        <v>1.67</v>
      </c>
      <c r="F202" s="1">
        <f ca="1">IFERROR(__xludf.DUMMYFUNCTION("""COMPUTED_VALUE"""),104500)</f>
        <v>104500</v>
      </c>
      <c r="I202" s="1"/>
    </row>
    <row r="203" spans="1:9">
      <c r="A203" s="3">
        <f ca="1">IFERROR(__xludf.DUMMYFUNCTION("""COMPUTED_VALUE"""),29510.6666666666)</f>
        <v>29510.666666666599</v>
      </c>
      <c r="B203" s="1">
        <f ca="1">IFERROR(__xludf.DUMMYFUNCTION("""COMPUTED_VALUE"""),1.66)</f>
        <v>1.66</v>
      </c>
      <c r="C203" s="1">
        <f ca="1">IFERROR(__xludf.DUMMYFUNCTION("""COMPUTED_VALUE"""),1.69)</f>
        <v>1.69</v>
      </c>
      <c r="D203" s="1">
        <f ca="1">IFERROR(__xludf.DUMMYFUNCTION("""COMPUTED_VALUE"""),1.66)</f>
        <v>1.66</v>
      </c>
      <c r="E203" s="1">
        <f ca="1">IFERROR(__xludf.DUMMYFUNCTION("""COMPUTED_VALUE"""),1.66)</f>
        <v>1.66</v>
      </c>
      <c r="F203" s="1">
        <f ca="1">IFERROR(__xludf.DUMMYFUNCTION("""COMPUTED_VALUE"""),41100)</f>
        <v>41100</v>
      </c>
      <c r="I203" s="1"/>
    </row>
    <row r="204" spans="1:9">
      <c r="A204" s="3">
        <f ca="1">IFERROR(__xludf.DUMMYFUNCTION("""COMPUTED_VALUE"""),29511.6666666666)</f>
        <v>29511.666666666599</v>
      </c>
      <c r="B204" s="1">
        <f ca="1">IFERROR(__xludf.DUMMYFUNCTION("""COMPUTED_VALUE"""),1.66)</f>
        <v>1.66</v>
      </c>
      <c r="C204" s="1">
        <f ca="1">IFERROR(__xludf.DUMMYFUNCTION("""COMPUTED_VALUE"""),1.67)</f>
        <v>1.67</v>
      </c>
      <c r="D204" s="1">
        <f ca="1">IFERROR(__xludf.DUMMYFUNCTION("""COMPUTED_VALUE"""),1.65)</f>
        <v>1.65</v>
      </c>
      <c r="E204" s="1">
        <f ca="1">IFERROR(__xludf.DUMMYFUNCTION("""COMPUTED_VALUE"""),1.66)</f>
        <v>1.66</v>
      </c>
      <c r="F204" s="1">
        <f ca="1">IFERROR(__xludf.DUMMYFUNCTION("""COMPUTED_VALUE"""),60900)</f>
        <v>60900</v>
      </c>
      <c r="I204" s="1"/>
    </row>
    <row r="205" spans="1:9">
      <c r="A205" s="3">
        <f ca="1">IFERROR(__xludf.DUMMYFUNCTION("""COMPUTED_VALUE"""),29514.6666666666)</f>
        <v>29514.666666666599</v>
      </c>
      <c r="B205" s="1">
        <f ca="1">IFERROR(__xludf.DUMMYFUNCTION("""COMPUTED_VALUE"""),1.63)</f>
        <v>1.63</v>
      </c>
      <c r="C205" s="1">
        <f ca="1">IFERROR(__xludf.DUMMYFUNCTION("""COMPUTED_VALUE"""),1.66)</f>
        <v>1.66</v>
      </c>
      <c r="D205" s="1">
        <f ca="1">IFERROR(__xludf.DUMMYFUNCTION("""COMPUTED_VALUE"""),1.63)</f>
        <v>1.63</v>
      </c>
      <c r="E205" s="1">
        <f ca="1">IFERROR(__xludf.DUMMYFUNCTION("""COMPUTED_VALUE"""),1.63)</f>
        <v>1.63</v>
      </c>
      <c r="F205" s="1">
        <f ca="1">IFERROR(__xludf.DUMMYFUNCTION("""COMPUTED_VALUE"""),96200)</f>
        <v>96200</v>
      </c>
      <c r="I205" s="1"/>
    </row>
    <row r="206" spans="1:9">
      <c r="A206" s="3">
        <f ca="1">IFERROR(__xludf.DUMMYFUNCTION("""COMPUTED_VALUE"""),29515.6666666666)</f>
        <v>29515.666666666599</v>
      </c>
      <c r="B206" s="1">
        <f ca="1">IFERROR(__xludf.DUMMYFUNCTION("""COMPUTED_VALUE"""),1.63)</f>
        <v>1.63</v>
      </c>
      <c r="C206" s="1">
        <f ca="1">IFERROR(__xludf.DUMMYFUNCTION("""COMPUTED_VALUE"""),1.65)</f>
        <v>1.65</v>
      </c>
      <c r="D206" s="1">
        <f ca="1">IFERROR(__xludf.DUMMYFUNCTION("""COMPUTED_VALUE"""),1.62)</f>
        <v>1.62</v>
      </c>
      <c r="E206" s="1">
        <f ca="1">IFERROR(__xludf.DUMMYFUNCTION("""COMPUTED_VALUE"""),1.63)</f>
        <v>1.63</v>
      </c>
      <c r="F206" s="1">
        <f ca="1">IFERROR(__xludf.DUMMYFUNCTION("""COMPUTED_VALUE"""),98100)</f>
        <v>98100</v>
      </c>
      <c r="I206" s="1"/>
    </row>
    <row r="207" spans="1:9">
      <c r="A207" s="3">
        <f ca="1">IFERROR(__xludf.DUMMYFUNCTION("""COMPUTED_VALUE"""),29516.6666666666)</f>
        <v>29516.666666666599</v>
      </c>
      <c r="B207" s="1">
        <f ca="1">IFERROR(__xludf.DUMMYFUNCTION("""COMPUTED_VALUE"""),1.64)</f>
        <v>1.64</v>
      </c>
      <c r="C207" s="1">
        <f ca="1">IFERROR(__xludf.DUMMYFUNCTION("""COMPUTED_VALUE"""),1.64)</f>
        <v>1.64</v>
      </c>
      <c r="D207" s="1">
        <f ca="1">IFERROR(__xludf.DUMMYFUNCTION("""COMPUTED_VALUE"""),1.62)</f>
        <v>1.62</v>
      </c>
      <c r="E207" s="1">
        <f ca="1">IFERROR(__xludf.DUMMYFUNCTION("""COMPUTED_VALUE"""),1.64)</f>
        <v>1.64</v>
      </c>
      <c r="F207" s="1">
        <f ca="1">IFERROR(__xludf.DUMMYFUNCTION("""COMPUTED_VALUE"""),43000)</f>
        <v>43000</v>
      </c>
      <c r="I207" s="1"/>
    </row>
    <row r="208" spans="1:9">
      <c r="A208" s="3">
        <f ca="1">IFERROR(__xludf.DUMMYFUNCTION("""COMPUTED_VALUE"""),29517.6666666666)</f>
        <v>29517.666666666599</v>
      </c>
      <c r="B208" s="1">
        <f ca="1">IFERROR(__xludf.DUMMYFUNCTION("""COMPUTED_VALUE"""),1.6)</f>
        <v>1.6</v>
      </c>
      <c r="C208" s="1">
        <f ca="1">IFERROR(__xludf.DUMMYFUNCTION("""COMPUTED_VALUE"""),1.64)</f>
        <v>1.64</v>
      </c>
      <c r="D208" s="1">
        <f ca="1">IFERROR(__xludf.DUMMYFUNCTION("""COMPUTED_VALUE"""),1.6)</f>
        <v>1.6</v>
      </c>
      <c r="E208" s="1">
        <f ca="1">IFERROR(__xludf.DUMMYFUNCTION("""COMPUTED_VALUE"""),1.6)</f>
        <v>1.6</v>
      </c>
      <c r="F208" s="1">
        <f ca="1">IFERROR(__xludf.DUMMYFUNCTION("""COMPUTED_VALUE"""),92100)</f>
        <v>92100</v>
      </c>
      <c r="I208" s="1"/>
    </row>
    <row r="209" spans="1:9">
      <c r="A209" s="3">
        <f ca="1">IFERROR(__xludf.DUMMYFUNCTION("""COMPUTED_VALUE"""),29518.6666666666)</f>
        <v>29518.666666666599</v>
      </c>
      <c r="B209" s="1">
        <f ca="1">IFERROR(__xludf.DUMMYFUNCTION("""COMPUTED_VALUE"""),1.6)</f>
        <v>1.6</v>
      </c>
      <c r="C209" s="1">
        <f ca="1">IFERROR(__xludf.DUMMYFUNCTION("""COMPUTED_VALUE"""),1.61)</f>
        <v>1.61</v>
      </c>
      <c r="D209" s="1">
        <f ca="1">IFERROR(__xludf.DUMMYFUNCTION("""COMPUTED_VALUE"""),1.59)</f>
        <v>1.59</v>
      </c>
      <c r="E209" s="1">
        <f ca="1">IFERROR(__xludf.DUMMYFUNCTION("""COMPUTED_VALUE"""),1.6)</f>
        <v>1.6</v>
      </c>
      <c r="F209" s="1">
        <f ca="1">IFERROR(__xludf.DUMMYFUNCTION("""COMPUTED_VALUE"""),59000)</f>
        <v>59000</v>
      </c>
      <c r="I209" s="1"/>
    </row>
    <row r="210" spans="1:9">
      <c r="A210" s="3">
        <f ca="1">IFERROR(__xludf.DUMMYFUNCTION("""COMPUTED_VALUE"""),29521.6666666666)</f>
        <v>29521.666666666599</v>
      </c>
      <c r="B210" s="1">
        <f ca="1">IFERROR(__xludf.DUMMYFUNCTION("""COMPUTED_VALUE"""),1.58)</f>
        <v>1.58</v>
      </c>
      <c r="C210" s="1">
        <f ca="1">IFERROR(__xludf.DUMMYFUNCTION("""COMPUTED_VALUE"""),1.6)</f>
        <v>1.6</v>
      </c>
      <c r="D210" s="1">
        <f ca="1">IFERROR(__xludf.DUMMYFUNCTION("""COMPUTED_VALUE"""),1.57)</f>
        <v>1.57</v>
      </c>
      <c r="E210" s="1">
        <f ca="1">IFERROR(__xludf.DUMMYFUNCTION("""COMPUTED_VALUE"""),1.58)</f>
        <v>1.58</v>
      </c>
      <c r="F210" s="1">
        <f ca="1">IFERROR(__xludf.DUMMYFUNCTION("""COMPUTED_VALUE"""),78000)</f>
        <v>78000</v>
      </c>
      <c r="I210" s="1"/>
    </row>
    <row r="211" spans="1:9">
      <c r="A211" s="3">
        <f ca="1">IFERROR(__xludf.DUMMYFUNCTION("""COMPUTED_VALUE"""),29522.6666666666)</f>
        <v>29522.666666666599</v>
      </c>
      <c r="B211" s="1">
        <f ca="1">IFERROR(__xludf.DUMMYFUNCTION("""COMPUTED_VALUE"""),1.61)</f>
        <v>1.61</v>
      </c>
      <c r="C211" s="1">
        <f ca="1">IFERROR(__xludf.DUMMYFUNCTION("""COMPUTED_VALUE"""),1.61)</f>
        <v>1.61</v>
      </c>
      <c r="D211" s="1">
        <f ca="1">IFERROR(__xludf.DUMMYFUNCTION("""COMPUTED_VALUE"""),1.57)</f>
        <v>1.57</v>
      </c>
      <c r="E211" s="1">
        <f ca="1">IFERROR(__xludf.DUMMYFUNCTION("""COMPUTED_VALUE"""),1.61)</f>
        <v>1.61</v>
      </c>
      <c r="F211" s="1">
        <f ca="1">IFERROR(__xludf.DUMMYFUNCTION("""COMPUTED_VALUE"""),74500)</f>
        <v>74500</v>
      </c>
      <c r="I211" s="1"/>
    </row>
    <row r="212" spans="1:9">
      <c r="A212" s="3">
        <f ca="1">IFERROR(__xludf.DUMMYFUNCTION("""COMPUTED_VALUE"""),29523.6666666666)</f>
        <v>29523.666666666599</v>
      </c>
      <c r="B212" s="1">
        <f ca="1">IFERROR(__xludf.DUMMYFUNCTION("""COMPUTED_VALUE"""),1.61)</f>
        <v>1.61</v>
      </c>
      <c r="C212" s="1">
        <f ca="1">IFERROR(__xludf.DUMMYFUNCTION("""COMPUTED_VALUE"""),1.63)</f>
        <v>1.63</v>
      </c>
      <c r="D212" s="1">
        <f ca="1">IFERROR(__xludf.DUMMYFUNCTION("""COMPUTED_VALUE"""),1.61)</f>
        <v>1.61</v>
      </c>
      <c r="E212" s="1">
        <f ca="1">IFERROR(__xludf.DUMMYFUNCTION("""COMPUTED_VALUE"""),1.61)</f>
        <v>1.61</v>
      </c>
      <c r="F212" s="1">
        <f ca="1">IFERROR(__xludf.DUMMYFUNCTION("""COMPUTED_VALUE"""),108000)</f>
        <v>108000</v>
      </c>
      <c r="I212" s="1"/>
    </row>
    <row r="213" spans="1:9">
      <c r="A213" s="3">
        <f ca="1">IFERROR(__xludf.DUMMYFUNCTION("""COMPUTED_VALUE"""),29524.6666666666)</f>
        <v>29524.666666666599</v>
      </c>
      <c r="B213" s="1">
        <f ca="1">IFERROR(__xludf.DUMMYFUNCTION("""COMPUTED_VALUE"""),1.7)</f>
        <v>1.7</v>
      </c>
      <c r="C213" s="1">
        <f ca="1">IFERROR(__xludf.DUMMYFUNCTION("""COMPUTED_VALUE"""),1.71)</f>
        <v>1.71</v>
      </c>
      <c r="D213" s="1">
        <f ca="1">IFERROR(__xludf.DUMMYFUNCTION("""COMPUTED_VALUE"""),1.64)</f>
        <v>1.64</v>
      </c>
      <c r="E213" s="1">
        <f ca="1">IFERROR(__xludf.DUMMYFUNCTION("""COMPUTED_VALUE"""),1.7)</f>
        <v>1.7</v>
      </c>
      <c r="F213" s="1">
        <f ca="1">IFERROR(__xludf.DUMMYFUNCTION("""COMPUTED_VALUE"""),222500)</f>
        <v>222500</v>
      </c>
      <c r="I213" s="1"/>
    </row>
    <row r="214" spans="1:9">
      <c r="A214" s="3">
        <f ca="1">IFERROR(__xludf.DUMMYFUNCTION("""COMPUTED_VALUE"""),29525.6666666666)</f>
        <v>29525.666666666599</v>
      </c>
      <c r="B214" s="1">
        <f ca="1">IFERROR(__xludf.DUMMYFUNCTION("""COMPUTED_VALUE"""),1.77)</f>
        <v>1.77</v>
      </c>
      <c r="C214" s="1">
        <f ca="1">IFERROR(__xludf.DUMMYFUNCTION("""COMPUTED_VALUE"""),1.78)</f>
        <v>1.78</v>
      </c>
      <c r="D214" s="1">
        <f ca="1">IFERROR(__xludf.DUMMYFUNCTION("""COMPUTED_VALUE"""),1.71)</f>
        <v>1.71</v>
      </c>
      <c r="E214" s="1">
        <f ca="1">IFERROR(__xludf.DUMMYFUNCTION("""COMPUTED_VALUE"""),1.77)</f>
        <v>1.77</v>
      </c>
      <c r="F214" s="1">
        <f ca="1">IFERROR(__xludf.DUMMYFUNCTION("""COMPUTED_VALUE"""),239600)</f>
        <v>239600</v>
      </c>
      <c r="I214" s="1"/>
    </row>
    <row r="215" spans="1:9">
      <c r="A215" s="3">
        <f ca="1">IFERROR(__xludf.DUMMYFUNCTION("""COMPUTED_VALUE"""),29528.6666666666)</f>
        <v>29528.666666666599</v>
      </c>
      <c r="B215" s="1">
        <f ca="1">IFERROR(__xludf.DUMMYFUNCTION("""COMPUTED_VALUE"""),1.79)</f>
        <v>1.79</v>
      </c>
      <c r="C215" s="1">
        <f ca="1">IFERROR(__xludf.DUMMYFUNCTION("""COMPUTED_VALUE"""),1.8)</f>
        <v>1.8</v>
      </c>
      <c r="D215" s="1">
        <f ca="1">IFERROR(__xludf.DUMMYFUNCTION("""COMPUTED_VALUE"""),1.78)</f>
        <v>1.78</v>
      </c>
      <c r="E215" s="1">
        <f ca="1">IFERROR(__xludf.DUMMYFUNCTION("""COMPUTED_VALUE"""),1.79)</f>
        <v>1.79</v>
      </c>
      <c r="F215" s="1">
        <f ca="1">IFERROR(__xludf.DUMMYFUNCTION("""COMPUTED_VALUE"""),113600)</f>
        <v>113600</v>
      </c>
      <c r="I215" s="1"/>
    </row>
    <row r="216" spans="1:9">
      <c r="A216" s="3">
        <f ca="1">IFERROR(__xludf.DUMMYFUNCTION("""COMPUTED_VALUE"""),29530.6666666666)</f>
        <v>29530.666666666599</v>
      </c>
      <c r="B216" s="1">
        <f ca="1">IFERROR(__xludf.DUMMYFUNCTION("""COMPUTED_VALUE"""),1.77)</f>
        <v>1.77</v>
      </c>
      <c r="C216" s="1">
        <f ca="1">IFERROR(__xludf.DUMMYFUNCTION("""COMPUTED_VALUE"""),1.83)</f>
        <v>1.83</v>
      </c>
      <c r="D216" s="1">
        <f ca="1">IFERROR(__xludf.DUMMYFUNCTION("""COMPUTED_VALUE"""),1.76)</f>
        <v>1.76</v>
      </c>
      <c r="E216" s="1">
        <f ca="1">IFERROR(__xludf.DUMMYFUNCTION("""COMPUTED_VALUE"""),1.77)</f>
        <v>1.77</v>
      </c>
      <c r="F216" s="1">
        <f ca="1">IFERROR(__xludf.DUMMYFUNCTION("""COMPUTED_VALUE"""),137400)</f>
        <v>137400</v>
      </c>
      <c r="I216" s="1"/>
    </row>
    <row r="217" spans="1:9">
      <c r="A217" s="3">
        <f ca="1">IFERROR(__xludf.DUMMYFUNCTION("""COMPUTED_VALUE"""),29531.6666666666)</f>
        <v>29531.666666666599</v>
      </c>
      <c r="B217" s="1">
        <f ca="1">IFERROR(__xludf.DUMMYFUNCTION("""COMPUTED_VALUE"""),1.72)</f>
        <v>1.72</v>
      </c>
      <c r="C217" s="1">
        <f ca="1">IFERROR(__xludf.DUMMYFUNCTION("""COMPUTED_VALUE"""),1.76)</f>
        <v>1.76</v>
      </c>
      <c r="D217" s="1">
        <f ca="1">IFERROR(__xludf.DUMMYFUNCTION("""COMPUTED_VALUE"""),1.71)</f>
        <v>1.71</v>
      </c>
      <c r="E217" s="1">
        <f ca="1">IFERROR(__xludf.DUMMYFUNCTION("""COMPUTED_VALUE"""),1.72)</f>
        <v>1.72</v>
      </c>
      <c r="F217" s="1">
        <f ca="1">IFERROR(__xludf.DUMMYFUNCTION("""COMPUTED_VALUE"""),97500)</f>
        <v>97500</v>
      </c>
      <c r="I217" s="1"/>
    </row>
    <row r="218" spans="1:9">
      <c r="A218" s="3">
        <f ca="1">IFERROR(__xludf.DUMMYFUNCTION("""COMPUTED_VALUE"""),29532.6666666666)</f>
        <v>29532.666666666599</v>
      </c>
      <c r="B218" s="1">
        <f ca="1">IFERROR(__xludf.DUMMYFUNCTION("""COMPUTED_VALUE"""),1.7)</f>
        <v>1.7</v>
      </c>
      <c r="C218" s="1">
        <f ca="1">IFERROR(__xludf.DUMMYFUNCTION("""COMPUTED_VALUE"""),1.72)</f>
        <v>1.72</v>
      </c>
      <c r="D218" s="1">
        <f ca="1">IFERROR(__xludf.DUMMYFUNCTION("""COMPUTED_VALUE"""),1.7)</f>
        <v>1.7</v>
      </c>
      <c r="E218" s="1">
        <f ca="1">IFERROR(__xludf.DUMMYFUNCTION("""COMPUTED_VALUE"""),1.7)</f>
        <v>1.7</v>
      </c>
      <c r="F218" s="1">
        <f ca="1">IFERROR(__xludf.DUMMYFUNCTION("""COMPUTED_VALUE"""),79200)</f>
        <v>79200</v>
      </c>
      <c r="I218" s="1"/>
    </row>
    <row r="219" spans="1:9">
      <c r="A219" s="3">
        <f ca="1">IFERROR(__xludf.DUMMYFUNCTION("""COMPUTED_VALUE"""),29535.6666666666)</f>
        <v>29535.666666666599</v>
      </c>
      <c r="B219" s="1">
        <f ca="1">IFERROR(__xludf.DUMMYFUNCTION("""COMPUTED_VALUE"""),1.7)</f>
        <v>1.7</v>
      </c>
      <c r="C219" s="1">
        <f ca="1">IFERROR(__xludf.DUMMYFUNCTION("""COMPUTED_VALUE"""),1.7)</f>
        <v>1.7</v>
      </c>
      <c r="D219" s="1">
        <f ca="1">IFERROR(__xludf.DUMMYFUNCTION("""COMPUTED_VALUE"""),1.69)</f>
        <v>1.69</v>
      </c>
      <c r="E219" s="1">
        <f ca="1">IFERROR(__xludf.DUMMYFUNCTION("""COMPUTED_VALUE"""),1.7)</f>
        <v>1.7</v>
      </c>
      <c r="F219" s="1">
        <f ca="1">IFERROR(__xludf.DUMMYFUNCTION("""COMPUTED_VALUE"""),48600)</f>
        <v>48600</v>
      </c>
      <c r="I219" s="1"/>
    </row>
    <row r="220" spans="1:9">
      <c r="A220" s="3">
        <f ca="1">IFERROR(__xludf.DUMMYFUNCTION("""COMPUTED_VALUE"""),29536.6666666666)</f>
        <v>29536.666666666599</v>
      </c>
      <c r="B220" s="1">
        <f ca="1">IFERROR(__xludf.DUMMYFUNCTION("""COMPUTED_VALUE"""),1.72)</f>
        <v>1.72</v>
      </c>
      <c r="C220" s="1">
        <f ca="1">IFERROR(__xludf.DUMMYFUNCTION("""COMPUTED_VALUE"""),1.72)</f>
        <v>1.72</v>
      </c>
      <c r="D220" s="1">
        <f ca="1">IFERROR(__xludf.DUMMYFUNCTION("""COMPUTED_VALUE"""),1.7)</f>
        <v>1.7</v>
      </c>
      <c r="E220" s="1">
        <f ca="1">IFERROR(__xludf.DUMMYFUNCTION("""COMPUTED_VALUE"""),1.72)</f>
        <v>1.72</v>
      </c>
      <c r="F220" s="1">
        <f ca="1">IFERROR(__xludf.DUMMYFUNCTION("""COMPUTED_VALUE"""),173700)</f>
        <v>173700</v>
      </c>
      <c r="I220" s="1"/>
    </row>
    <row r="221" spans="1:9">
      <c r="A221" s="3">
        <f ca="1">IFERROR(__xludf.DUMMYFUNCTION("""COMPUTED_VALUE"""),29537.6666666666)</f>
        <v>29537.666666666599</v>
      </c>
      <c r="B221" s="1">
        <f ca="1">IFERROR(__xludf.DUMMYFUNCTION("""COMPUTED_VALUE"""),1.72)</f>
        <v>1.72</v>
      </c>
      <c r="C221" s="1">
        <f ca="1">IFERROR(__xludf.DUMMYFUNCTION("""COMPUTED_VALUE"""),1.72)</f>
        <v>1.72</v>
      </c>
      <c r="D221" s="1">
        <f ca="1">IFERROR(__xludf.DUMMYFUNCTION("""COMPUTED_VALUE"""),1.7)</f>
        <v>1.7</v>
      </c>
      <c r="E221" s="1">
        <f ca="1">IFERROR(__xludf.DUMMYFUNCTION("""COMPUTED_VALUE"""),1.72)</f>
        <v>1.72</v>
      </c>
      <c r="F221" s="1">
        <f ca="1">IFERROR(__xludf.DUMMYFUNCTION("""COMPUTED_VALUE"""),101200)</f>
        <v>101200</v>
      </c>
      <c r="I221" s="1"/>
    </row>
    <row r="222" spans="1:9">
      <c r="A222" s="3">
        <f ca="1">IFERROR(__xludf.DUMMYFUNCTION("""COMPUTED_VALUE"""),29538.6666666666)</f>
        <v>29538.666666666599</v>
      </c>
      <c r="B222" s="1">
        <f ca="1">IFERROR(__xludf.DUMMYFUNCTION("""COMPUTED_VALUE"""),1.78)</f>
        <v>1.78</v>
      </c>
      <c r="C222" s="1">
        <f ca="1">IFERROR(__xludf.DUMMYFUNCTION("""COMPUTED_VALUE"""),1.79)</f>
        <v>1.79</v>
      </c>
      <c r="D222" s="1">
        <f ca="1">IFERROR(__xludf.DUMMYFUNCTION("""COMPUTED_VALUE"""),1.73)</f>
        <v>1.73</v>
      </c>
      <c r="E222" s="1">
        <f ca="1">IFERROR(__xludf.DUMMYFUNCTION("""COMPUTED_VALUE"""),1.78)</f>
        <v>1.78</v>
      </c>
      <c r="F222" s="1">
        <f ca="1">IFERROR(__xludf.DUMMYFUNCTION("""COMPUTED_VALUE"""),224700)</f>
        <v>224700</v>
      </c>
      <c r="I222" s="1"/>
    </row>
    <row r="223" spans="1:9">
      <c r="A223" s="3">
        <f ca="1">IFERROR(__xludf.DUMMYFUNCTION("""COMPUTED_VALUE"""),29539.6666666666)</f>
        <v>29539.666666666599</v>
      </c>
      <c r="B223" s="1">
        <f ca="1">IFERROR(__xludf.DUMMYFUNCTION("""COMPUTED_VALUE"""),1.78)</f>
        <v>1.78</v>
      </c>
      <c r="C223" s="1">
        <f ca="1">IFERROR(__xludf.DUMMYFUNCTION("""COMPUTED_VALUE"""),1.81)</f>
        <v>1.81</v>
      </c>
      <c r="D223" s="1">
        <f ca="1">IFERROR(__xludf.DUMMYFUNCTION("""COMPUTED_VALUE"""),1.77)</f>
        <v>1.77</v>
      </c>
      <c r="E223" s="1">
        <f ca="1">IFERROR(__xludf.DUMMYFUNCTION("""COMPUTED_VALUE"""),1.78)</f>
        <v>1.78</v>
      </c>
      <c r="F223" s="1">
        <f ca="1">IFERROR(__xludf.DUMMYFUNCTION("""COMPUTED_VALUE"""),81200)</f>
        <v>81200</v>
      </c>
      <c r="I223" s="1"/>
    </row>
    <row r="224" spans="1:9">
      <c r="A224" s="3">
        <f ca="1">IFERROR(__xludf.DUMMYFUNCTION("""COMPUTED_VALUE"""),29542.6666666666)</f>
        <v>29542.666666666599</v>
      </c>
      <c r="B224" s="1">
        <f ca="1">IFERROR(__xludf.DUMMYFUNCTION("""COMPUTED_VALUE"""),1.85)</f>
        <v>1.85</v>
      </c>
      <c r="C224" s="1">
        <f ca="1">IFERROR(__xludf.DUMMYFUNCTION("""COMPUTED_VALUE"""),1.86)</f>
        <v>1.86</v>
      </c>
      <c r="D224" s="1">
        <f ca="1">IFERROR(__xludf.DUMMYFUNCTION("""COMPUTED_VALUE"""),1.76)</f>
        <v>1.76</v>
      </c>
      <c r="E224" s="1">
        <f ca="1">IFERROR(__xludf.DUMMYFUNCTION("""COMPUTED_VALUE"""),1.85)</f>
        <v>1.85</v>
      </c>
      <c r="F224" s="1">
        <f ca="1">IFERROR(__xludf.DUMMYFUNCTION("""COMPUTED_VALUE"""),157100)</f>
        <v>157100</v>
      </c>
      <c r="I224" s="1"/>
    </row>
    <row r="225" spans="1:9">
      <c r="A225" s="3">
        <f ca="1">IFERROR(__xludf.DUMMYFUNCTION("""COMPUTED_VALUE"""),29543.6666666666)</f>
        <v>29543.666666666599</v>
      </c>
      <c r="B225" s="1">
        <f ca="1">IFERROR(__xludf.DUMMYFUNCTION("""COMPUTED_VALUE"""),1.92)</f>
        <v>1.92</v>
      </c>
      <c r="C225" s="1">
        <f ca="1">IFERROR(__xludf.DUMMYFUNCTION("""COMPUTED_VALUE"""),1.93)</f>
        <v>1.93</v>
      </c>
      <c r="D225" s="1">
        <f ca="1">IFERROR(__xludf.DUMMYFUNCTION("""COMPUTED_VALUE"""),1.87)</f>
        <v>1.87</v>
      </c>
      <c r="E225" s="1">
        <f ca="1">IFERROR(__xludf.DUMMYFUNCTION("""COMPUTED_VALUE"""),1.92)</f>
        <v>1.92</v>
      </c>
      <c r="F225" s="1">
        <f ca="1">IFERROR(__xludf.DUMMYFUNCTION("""COMPUTED_VALUE"""),202000)</f>
        <v>202000</v>
      </c>
      <c r="I225" s="1"/>
    </row>
    <row r="226" spans="1:9">
      <c r="A226" s="3">
        <f ca="1">IFERROR(__xludf.DUMMYFUNCTION("""COMPUTED_VALUE"""),29544.6666666666)</f>
        <v>29544.666666666599</v>
      </c>
      <c r="B226" s="1">
        <f ca="1">IFERROR(__xludf.DUMMYFUNCTION("""COMPUTED_VALUE"""),1.95)</f>
        <v>1.95</v>
      </c>
      <c r="C226" s="1">
        <f ca="1">IFERROR(__xludf.DUMMYFUNCTION("""COMPUTED_VALUE"""),1.97)</f>
        <v>1.97</v>
      </c>
      <c r="D226" s="1">
        <f ca="1">IFERROR(__xludf.DUMMYFUNCTION("""COMPUTED_VALUE"""),1.9)</f>
        <v>1.9</v>
      </c>
      <c r="E226" s="1">
        <f ca="1">IFERROR(__xludf.DUMMYFUNCTION("""COMPUTED_VALUE"""),1.95)</f>
        <v>1.95</v>
      </c>
      <c r="F226" s="1">
        <f ca="1">IFERROR(__xludf.DUMMYFUNCTION("""COMPUTED_VALUE"""),145200)</f>
        <v>145200</v>
      </c>
      <c r="I226" s="1"/>
    </row>
    <row r="227" spans="1:9">
      <c r="A227" s="3">
        <f ca="1">IFERROR(__xludf.DUMMYFUNCTION("""COMPUTED_VALUE"""),29545.6666666666)</f>
        <v>29545.666666666599</v>
      </c>
      <c r="B227" s="1">
        <f ca="1">IFERROR(__xludf.DUMMYFUNCTION("""COMPUTED_VALUE"""),1.95)</f>
        <v>1.95</v>
      </c>
      <c r="C227" s="1">
        <f ca="1">IFERROR(__xludf.DUMMYFUNCTION("""COMPUTED_VALUE"""),1.97)</f>
        <v>1.97</v>
      </c>
      <c r="D227" s="1">
        <f ca="1">IFERROR(__xludf.DUMMYFUNCTION("""COMPUTED_VALUE"""),1.94)</f>
        <v>1.94</v>
      </c>
      <c r="E227" s="1">
        <f ca="1">IFERROR(__xludf.DUMMYFUNCTION("""COMPUTED_VALUE"""),1.95)</f>
        <v>1.95</v>
      </c>
      <c r="F227" s="1">
        <f ca="1">IFERROR(__xludf.DUMMYFUNCTION("""COMPUTED_VALUE"""),82600)</f>
        <v>82600</v>
      </c>
      <c r="I227" s="1"/>
    </row>
    <row r="228" spans="1:9">
      <c r="A228" s="3">
        <f ca="1">IFERROR(__xludf.DUMMYFUNCTION("""COMPUTED_VALUE"""),29546.6666666666)</f>
        <v>29546.666666666599</v>
      </c>
      <c r="B228" s="1">
        <f ca="1">IFERROR(__xludf.DUMMYFUNCTION("""COMPUTED_VALUE"""),1.9)</f>
        <v>1.9</v>
      </c>
      <c r="C228" s="1">
        <f ca="1">IFERROR(__xludf.DUMMYFUNCTION("""COMPUTED_VALUE"""),1.95)</f>
        <v>1.95</v>
      </c>
      <c r="D228" s="1">
        <f ca="1">IFERROR(__xludf.DUMMYFUNCTION("""COMPUTED_VALUE"""),1.9)</f>
        <v>1.9</v>
      </c>
      <c r="E228" s="1">
        <f ca="1">IFERROR(__xludf.DUMMYFUNCTION("""COMPUTED_VALUE"""),1.9)</f>
        <v>1.9</v>
      </c>
      <c r="F228" s="1">
        <f ca="1">IFERROR(__xludf.DUMMYFUNCTION("""COMPUTED_VALUE"""),54100)</f>
        <v>54100</v>
      </c>
      <c r="I228" s="1"/>
    </row>
    <row r="229" spans="1:9">
      <c r="A229" s="3">
        <f ca="1">IFERROR(__xludf.DUMMYFUNCTION("""COMPUTED_VALUE"""),29549.6666666666)</f>
        <v>29549.666666666599</v>
      </c>
      <c r="B229" s="1">
        <f ca="1">IFERROR(__xludf.DUMMYFUNCTION("""COMPUTED_VALUE"""),1.86)</f>
        <v>1.86</v>
      </c>
      <c r="C229" s="1">
        <f ca="1">IFERROR(__xludf.DUMMYFUNCTION("""COMPUTED_VALUE"""),1.88)</f>
        <v>1.88</v>
      </c>
      <c r="D229" s="1">
        <f ca="1">IFERROR(__xludf.DUMMYFUNCTION("""COMPUTED_VALUE"""),1.85)</f>
        <v>1.85</v>
      </c>
      <c r="E229" s="1">
        <f ca="1">IFERROR(__xludf.DUMMYFUNCTION("""COMPUTED_VALUE"""),1.86)</f>
        <v>1.86</v>
      </c>
      <c r="F229" s="1">
        <f ca="1">IFERROR(__xludf.DUMMYFUNCTION("""COMPUTED_VALUE"""),149500)</f>
        <v>149500</v>
      </c>
      <c r="I229" s="1"/>
    </row>
    <row r="230" spans="1:9">
      <c r="A230" s="3">
        <f ca="1">IFERROR(__xludf.DUMMYFUNCTION("""COMPUTED_VALUE"""),29550.6666666666)</f>
        <v>29550.666666666599</v>
      </c>
      <c r="B230" s="1">
        <f ca="1">IFERROR(__xludf.DUMMYFUNCTION("""COMPUTED_VALUE"""),1.9)</f>
        <v>1.9</v>
      </c>
      <c r="C230" s="1">
        <f ca="1">IFERROR(__xludf.DUMMYFUNCTION("""COMPUTED_VALUE"""),1.91)</f>
        <v>1.91</v>
      </c>
      <c r="D230" s="1">
        <f ca="1">IFERROR(__xludf.DUMMYFUNCTION("""COMPUTED_VALUE"""),1.86)</f>
        <v>1.86</v>
      </c>
      <c r="E230" s="1">
        <f ca="1">IFERROR(__xludf.DUMMYFUNCTION("""COMPUTED_VALUE"""),1.9)</f>
        <v>1.9</v>
      </c>
      <c r="F230" s="1">
        <f ca="1">IFERROR(__xludf.DUMMYFUNCTION("""COMPUTED_VALUE"""),164700)</f>
        <v>164700</v>
      </c>
      <c r="I230" s="1"/>
    </row>
    <row r="231" spans="1:9">
      <c r="A231" s="3">
        <f ca="1">IFERROR(__xludf.DUMMYFUNCTION("""COMPUTED_VALUE"""),29551.6666666666)</f>
        <v>29551.666666666599</v>
      </c>
      <c r="B231" s="1">
        <f ca="1">IFERROR(__xludf.DUMMYFUNCTION("""COMPUTED_VALUE"""),1.88)</f>
        <v>1.88</v>
      </c>
      <c r="C231" s="1">
        <f ca="1">IFERROR(__xludf.DUMMYFUNCTION("""COMPUTED_VALUE"""),1.9)</f>
        <v>1.9</v>
      </c>
      <c r="D231" s="1">
        <f ca="1">IFERROR(__xludf.DUMMYFUNCTION("""COMPUTED_VALUE"""),1.88)</f>
        <v>1.88</v>
      </c>
      <c r="E231" s="1">
        <f ca="1">IFERROR(__xludf.DUMMYFUNCTION("""COMPUTED_VALUE"""),1.88)</f>
        <v>1.88</v>
      </c>
      <c r="F231" s="1">
        <f ca="1">IFERROR(__xludf.DUMMYFUNCTION("""COMPUTED_VALUE"""),69800)</f>
        <v>69800</v>
      </c>
      <c r="I231" s="1"/>
    </row>
    <row r="232" spans="1:9">
      <c r="A232" s="3">
        <f ca="1">IFERROR(__xludf.DUMMYFUNCTION("""COMPUTED_VALUE"""),29553.6666666666)</f>
        <v>29553.666666666599</v>
      </c>
      <c r="B232" s="1">
        <f ca="1">IFERROR(__xludf.DUMMYFUNCTION("""COMPUTED_VALUE"""),1.89)</f>
        <v>1.89</v>
      </c>
      <c r="C232" s="1">
        <f ca="1">IFERROR(__xludf.DUMMYFUNCTION("""COMPUTED_VALUE"""),1.9)</f>
        <v>1.9</v>
      </c>
      <c r="D232" s="1">
        <f ca="1">IFERROR(__xludf.DUMMYFUNCTION("""COMPUTED_VALUE"""),1.88)</f>
        <v>1.88</v>
      </c>
      <c r="E232" s="1">
        <f ca="1">IFERROR(__xludf.DUMMYFUNCTION("""COMPUTED_VALUE"""),1.89)</f>
        <v>1.89</v>
      </c>
      <c r="F232" s="1">
        <f ca="1">IFERROR(__xludf.DUMMYFUNCTION("""COMPUTED_VALUE"""),63000)</f>
        <v>63000</v>
      </c>
      <c r="I232" s="1"/>
    </row>
    <row r="233" spans="1:9">
      <c r="A233" s="3">
        <f ca="1">IFERROR(__xludf.DUMMYFUNCTION("""COMPUTED_VALUE"""),29556.6666666666)</f>
        <v>29556.666666666599</v>
      </c>
      <c r="B233" s="1">
        <f ca="1">IFERROR(__xludf.DUMMYFUNCTION("""COMPUTED_VALUE"""),1.87)</f>
        <v>1.87</v>
      </c>
      <c r="C233" s="1">
        <f ca="1">IFERROR(__xludf.DUMMYFUNCTION("""COMPUTED_VALUE"""),1.9)</f>
        <v>1.9</v>
      </c>
      <c r="D233" s="1">
        <f ca="1">IFERROR(__xludf.DUMMYFUNCTION("""COMPUTED_VALUE"""),1.86)</f>
        <v>1.86</v>
      </c>
      <c r="E233" s="1">
        <f ca="1">IFERROR(__xludf.DUMMYFUNCTION("""COMPUTED_VALUE"""),1.87)</f>
        <v>1.87</v>
      </c>
      <c r="F233" s="1">
        <f ca="1">IFERROR(__xludf.DUMMYFUNCTION("""COMPUTED_VALUE"""),36600)</f>
        <v>36600</v>
      </c>
      <c r="I233" s="1"/>
    </row>
    <row r="234" spans="1:9">
      <c r="A234" s="3">
        <f ca="1">IFERROR(__xludf.DUMMYFUNCTION("""COMPUTED_VALUE"""),29557.6666666666)</f>
        <v>29557.666666666599</v>
      </c>
      <c r="B234" s="1">
        <f ca="1">IFERROR(__xludf.DUMMYFUNCTION("""COMPUTED_VALUE"""),1.86)</f>
        <v>1.86</v>
      </c>
      <c r="C234" s="1">
        <f ca="1">IFERROR(__xludf.DUMMYFUNCTION("""COMPUTED_VALUE"""),1.87)</f>
        <v>1.87</v>
      </c>
      <c r="D234" s="1">
        <f ca="1">IFERROR(__xludf.DUMMYFUNCTION("""COMPUTED_VALUE"""),1.85)</f>
        <v>1.85</v>
      </c>
      <c r="E234" s="1">
        <f ca="1">IFERROR(__xludf.DUMMYFUNCTION("""COMPUTED_VALUE"""),1.86)</f>
        <v>1.86</v>
      </c>
      <c r="F234" s="1">
        <f ca="1">IFERROR(__xludf.DUMMYFUNCTION("""COMPUTED_VALUE"""),111800)</f>
        <v>111800</v>
      </c>
      <c r="I234" s="1"/>
    </row>
    <row r="235" spans="1:9">
      <c r="A235" s="3">
        <f ca="1">IFERROR(__xludf.DUMMYFUNCTION("""COMPUTED_VALUE"""),29558.6666666666)</f>
        <v>29558.666666666599</v>
      </c>
      <c r="B235" s="1">
        <f ca="1">IFERROR(__xludf.DUMMYFUNCTION("""COMPUTED_VALUE"""),1.88)</f>
        <v>1.88</v>
      </c>
      <c r="C235" s="1">
        <f ca="1">IFERROR(__xludf.DUMMYFUNCTION("""COMPUTED_VALUE"""),1.88)</f>
        <v>1.88</v>
      </c>
      <c r="D235" s="1">
        <f ca="1">IFERROR(__xludf.DUMMYFUNCTION("""COMPUTED_VALUE"""),1.85)</f>
        <v>1.85</v>
      </c>
      <c r="E235" s="1">
        <f ca="1">IFERROR(__xludf.DUMMYFUNCTION("""COMPUTED_VALUE"""),1.88)</f>
        <v>1.88</v>
      </c>
      <c r="F235" s="1">
        <f ca="1">IFERROR(__xludf.DUMMYFUNCTION("""COMPUTED_VALUE"""),138300)</f>
        <v>138300</v>
      </c>
      <c r="I235" s="1"/>
    </row>
    <row r="236" spans="1:9">
      <c r="A236" s="3">
        <f ca="1">IFERROR(__xludf.DUMMYFUNCTION("""COMPUTED_VALUE"""),29559.6666666666)</f>
        <v>29559.666666666599</v>
      </c>
      <c r="B236" s="1">
        <f ca="1">IFERROR(__xludf.DUMMYFUNCTION("""COMPUTED_VALUE"""),1.9)</f>
        <v>1.9</v>
      </c>
      <c r="C236" s="1">
        <f ca="1">IFERROR(__xludf.DUMMYFUNCTION("""COMPUTED_VALUE"""),1.91)</f>
        <v>1.91</v>
      </c>
      <c r="D236" s="1">
        <f ca="1">IFERROR(__xludf.DUMMYFUNCTION("""COMPUTED_VALUE"""),1.87)</f>
        <v>1.87</v>
      </c>
      <c r="E236" s="1">
        <f ca="1">IFERROR(__xludf.DUMMYFUNCTION("""COMPUTED_VALUE"""),1.9)</f>
        <v>1.9</v>
      </c>
      <c r="F236" s="1">
        <f ca="1">IFERROR(__xludf.DUMMYFUNCTION("""COMPUTED_VALUE"""),88800)</f>
        <v>88800</v>
      </c>
      <c r="I236" s="1"/>
    </row>
    <row r="237" spans="1:9">
      <c r="A237" s="3">
        <f ca="1">IFERROR(__xludf.DUMMYFUNCTION("""COMPUTED_VALUE"""),29560.6666666666)</f>
        <v>29560.666666666599</v>
      </c>
      <c r="B237" s="1">
        <f ca="1">IFERROR(__xludf.DUMMYFUNCTION("""COMPUTED_VALUE"""),1.91)</f>
        <v>1.91</v>
      </c>
      <c r="C237" s="1">
        <f ca="1">IFERROR(__xludf.DUMMYFUNCTION("""COMPUTED_VALUE"""),1.93)</f>
        <v>1.93</v>
      </c>
      <c r="D237" s="1">
        <f ca="1">IFERROR(__xludf.DUMMYFUNCTION("""COMPUTED_VALUE"""),1.89)</f>
        <v>1.89</v>
      </c>
      <c r="E237" s="1">
        <f ca="1">IFERROR(__xludf.DUMMYFUNCTION("""COMPUTED_VALUE"""),1.91)</f>
        <v>1.91</v>
      </c>
      <c r="F237" s="1">
        <f ca="1">IFERROR(__xludf.DUMMYFUNCTION("""COMPUTED_VALUE"""),63100)</f>
        <v>63100</v>
      </c>
      <c r="I237" s="1"/>
    </row>
    <row r="238" spans="1:9">
      <c r="A238" s="3">
        <f ca="1">IFERROR(__xludf.DUMMYFUNCTION("""COMPUTED_VALUE"""),29563.6666666666)</f>
        <v>29563.666666666599</v>
      </c>
      <c r="B238" s="1">
        <f ca="1">IFERROR(__xludf.DUMMYFUNCTION("""COMPUTED_VALUE"""),1.85)</f>
        <v>1.85</v>
      </c>
      <c r="C238" s="1">
        <f ca="1">IFERROR(__xludf.DUMMYFUNCTION("""COMPUTED_VALUE"""),1.9)</f>
        <v>1.9</v>
      </c>
      <c r="D238" s="1">
        <f ca="1">IFERROR(__xludf.DUMMYFUNCTION("""COMPUTED_VALUE"""),1.85)</f>
        <v>1.85</v>
      </c>
      <c r="E238" s="1">
        <f ca="1">IFERROR(__xludf.DUMMYFUNCTION("""COMPUTED_VALUE"""),1.85)</f>
        <v>1.85</v>
      </c>
      <c r="F238" s="1">
        <f ca="1">IFERROR(__xludf.DUMMYFUNCTION("""COMPUTED_VALUE"""),75400)</f>
        <v>75400</v>
      </c>
      <c r="I238" s="1"/>
    </row>
    <row r="239" spans="1:9">
      <c r="A239" s="3">
        <f ca="1">IFERROR(__xludf.DUMMYFUNCTION("""COMPUTED_VALUE"""),29564.6666666666)</f>
        <v>29564.666666666599</v>
      </c>
      <c r="B239" s="1">
        <f ca="1">IFERROR(__xludf.DUMMYFUNCTION("""COMPUTED_VALUE"""),1.85)</f>
        <v>1.85</v>
      </c>
      <c r="C239" s="1">
        <f ca="1">IFERROR(__xludf.DUMMYFUNCTION("""COMPUTED_VALUE"""),1.87)</f>
        <v>1.87</v>
      </c>
      <c r="D239" s="1">
        <f ca="1">IFERROR(__xludf.DUMMYFUNCTION("""COMPUTED_VALUE"""),1.84)</f>
        <v>1.84</v>
      </c>
      <c r="E239" s="1">
        <f ca="1">IFERROR(__xludf.DUMMYFUNCTION("""COMPUTED_VALUE"""),1.85)</f>
        <v>1.85</v>
      </c>
      <c r="F239" s="1">
        <f ca="1">IFERROR(__xludf.DUMMYFUNCTION("""COMPUTED_VALUE"""),60600)</f>
        <v>60600</v>
      </c>
      <c r="I239" s="1"/>
    </row>
    <row r="240" spans="1:9">
      <c r="A240" s="3">
        <f ca="1">IFERROR(__xludf.DUMMYFUNCTION("""COMPUTED_VALUE"""),29565.6666666666)</f>
        <v>29565.666666666599</v>
      </c>
      <c r="B240" s="1">
        <f ca="1">IFERROR(__xludf.DUMMYFUNCTION("""COMPUTED_VALUE"""),1.83)</f>
        <v>1.83</v>
      </c>
      <c r="C240" s="1">
        <f ca="1">IFERROR(__xludf.DUMMYFUNCTION("""COMPUTED_VALUE"""),1.87)</f>
        <v>1.87</v>
      </c>
      <c r="D240" s="1">
        <f ca="1">IFERROR(__xludf.DUMMYFUNCTION("""COMPUTED_VALUE"""),1.83)</f>
        <v>1.83</v>
      </c>
      <c r="E240" s="1">
        <f ca="1">IFERROR(__xludf.DUMMYFUNCTION("""COMPUTED_VALUE"""),1.83)</f>
        <v>1.83</v>
      </c>
      <c r="F240" s="1">
        <f ca="1">IFERROR(__xludf.DUMMYFUNCTION("""COMPUTED_VALUE"""),68600)</f>
        <v>68600</v>
      </c>
      <c r="I240" s="1"/>
    </row>
    <row r="241" spans="1:9">
      <c r="A241" s="3">
        <f ca="1">IFERROR(__xludf.DUMMYFUNCTION("""COMPUTED_VALUE"""),29566.6666666666)</f>
        <v>29566.666666666599</v>
      </c>
      <c r="B241" s="1">
        <f ca="1">IFERROR(__xludf.DUMMYFUNCTION("""COMPUTED_VALUE"""),1.79)</f>
        <v>1.79</v>
      </c>
      <c r="C241" s="1">
        <f ca="1">IFERROR(__xludf.DUMMYFUNCTION("""COMPUTED_VALUE"""),1.81)</f>
        <v>1.81</v>
      </c>
      <c r="D241" s="1">
        <f ca="1">IFERROR(__xludf.DUMMYFUNCTION("""COMPUTED_VALUE"""),1.78)</f>
        <v>1.78</v>
      </c>
      <c r="E241" s="1">
        <f ca="1">IFERROR(__xludf.DUMMYFUNCTION("""COMPUTED_VALUE"""),1.79)</f>
        <v>1.79</v>
      </c>
      <c r="F241" s="1">
        <f ca="1">IFERROR(__xludf.DUMMYFUNCTION("""COMPUTED_VALUE"""),89900)</f>
        <v>89900</v>
      </c>
      <c r="I241" s="1"/>
    </row>
    <row r="242" spans="1:9">
      <c r="A242" s="3">
        <f ca="1">IFERROR(__xludf.DUMMYFUNCTION("""COMPUTED_VALUE"""),29567.6666666666)</f>
        <v>29567.666666666599</v>
      </c>
      <c r="B242" s="1">
        <f ca="1">IFERROR(__xludf.DUMMYFUNCTION("""COMPUTED_VALUE"""),1.88)</f>
        <v>1.88</v>
      </c>
      <c r="C242" s="1">
        <f ca="1">IFERROR(__xludf.DUMMYFUNCTION("""COMPUTED_VALUE"""),1.88)</f>
        <v>1.88</v>
      </c>
      <c r="D242" s="1">
        <f ca="1">IFERROR(__xludf.DUMMYFUNCTION("""COMPUTED_VALUE"""),1.81)</f>
        <v>1.81</v>
      </c>
      <c r="E242" s="1">
        <f ca="1">IFERROR(__xludf.DUMMYFUNCTION("""COMPUTED_VALUE"""),1.88)</f>
        <v>1.88</v>
      </c>
      <c r="F242" s="1">
        <f ca="1">IFERROR(__xludf.DUMMYFUNCTION("""COMPUTED_VALUE"""),104400)</f>
        <v>104400</v>
      </c>
      <c r="I242" s="1"/>
    </row>
    <row r="243" spans="1:9">
      <c r="A243" s="3">
        <f ca="1">IFERROR(__xludf.DUMMYFUNCTION("""COMPUTED_VALUE"""),29570.6666666666)</f>
        <v>29570.666666666599</v>
      </c>
      <c r="B243" s="1">
        <f ca="1">IFERROR(__xludf.DUMMYFUNCTION("""COMPUTED_VALUE"""),1.9)</f>
        <v>1.9</v>
      </c>
      <c r="C243" s="1">
        <f ca="1">IFERROR(__xludf.DUMMYFUNCTION("""COMPUTED_VALUE"""),1.93)</f>
        <v>1.93</v>
      </c>
      <c r="D243" s="1">
        <f ca="1">IFERROR(__xludf.DUMMYFUNCTION("""COMPUTED_VALUE"""),1.88)</f>
        <v>1.88</v>
      </c>
      <c r="E243" s="1">
        <f ca="1">IFERROR(__xludf.DUMMYFUNCTION("""COMPUTED_VALUE"""),1.9)</f>
        <v>1.9</v>
      </c>
      <c r="F243" s="1">
        <f ca="1">IFERROR(__xludf.DUMMYFUNCTION("""COMPUTED_VALUE"""),123600)</f>
        <v>123600</v>
      </c>
      <c r="I243" s="1"/>
    </row>
    <row r="244" spans="1:9">
      <c r="A244" s="3">
        <f ca="1">IFERROR(__xludf.DUMMYFUNCTION("""COMPUTED_VALUE"""),29571.6666666666)</f>
        <v>29571.666666666599</v>
      </c>
      <c r="B244" s="1">
        <f ca="1">IFERROR(__xludf.DUMMYFUNCTION("""COMPUTED_VALUE"""),1.97)</f>
        <v>1.97</v>
      </c>
      <c r="C244" s="1">
        <f ca="1">IFERROR(__xludf.DUMMYFUNCTION("""COMPUTED_VALUE"""),1.98)</f>
        <v>1.98</v>
      </c>
      <c r="D244" s="1">
        <f ca="1">IFERROR(__xludf.DUMMYFUNCTION("""COMPUTED_VALUE"""),1.9)</f>
        <v>1.9</v>
      </c>
      <c r="E244" s="1">
        <f ca="1">IFERROR(__xludf.DUMMYFUNCTION("""COMPUTED_VALUE"""),1.97)</f>
        <v>1.97</v>
      </c>
      <c r="F244" s="1">
        <f ca="1">IFERROR(__xludf.DUMMYFUNCTION("""COMPUTED_VALUE"""),197400)</f>
        <v>197400</v>
      </c>
      <c r="I244" s="1"/>
    </row>
    <row r="245" spans="1:9">
      <c r="A245" s="3">
        <f ca="1">IFERROR(__xludf.DUMMYFUNCTION("""COMPUTED_VALUE"""),29572.6666666666)</f>
        <v>29572.666666666599</v>
      </c>
      <c r="B245" s="1">
        <f ca="1">IFERROR(__xludf.DUMMYFUNCTION("""COMPUTED_VALUE"""),1.99)</f>
        <v>1.99</v>
      </c>
      <c r="C245" s="1">
        <f ca="1">IFERROR(__xludf.DUMMYFUNCTION("""COMPUTED_VALUE"""),2)</f>
        <v>2</v>
      </c>
      <c r="D245" s="1">
        <f ca="1">IFERROR(__xludf.DUMMYFUNCTION("""COMPUTED_VALUE"""),1.98)</f>
        <v>1.98</v>
      </c>
      <c r="E245" s="1">
        <f ca="1">IFERROR(__xludf.DUMMYFUNCTION("""COMPUTED_VALUE"""),1.99)</f>
        <v>1.99</v>
      </c>
      <c r="F245" s="1">
        <f ca="1">IFERROR(__xludf.DUMMYFUNCTION("""COMPUTED_VALUE"""),141700)</f>
        <v>141700</v>
      </c>
      <c r="I245" s="1"/>
    </row>
    <row r="246" spans="1:9">
      <c r="A246" s="3">
        <f ca="1">IFERROR(__xludf.DUMMYFUNCTION("""COMPUTED_VALUE"""),29573.6666666666)</f>
        <v>29573.666666666599</v>
      </c>
      <c r="B246" s="1">
        <f ca="1">IFERROR(__xludf.DUMMYFUNCTION("""COMPUTED_VALUE"""),1.98)</f>
        <v>1.98</v>
      </c>
      <c r="C246" s="1">
        <f ca="1">IFERROR(__xludf.DUMMYFUNCTION("""COMPUTED_VALUE"""),2.01)</f>
        <v>2.0099999999999998</v>
      </c>
      <c r="D246" s="1">
        <f ca="1">IFERROR(__xludf.DUMMYFUNCTION("""COMPUTED_VALUE"""),1.97)</f>
        <v>1.97</v>
      </c>
      <c r="E246" s="1">
        <f ca="1">IFERROR(__xludf.DUMMYFUNCTION("""COMPUTED_VALUE"""),1.98)</f>
        <v>1.98</v>
      </c>
      <c r="F246" s="1">
        <f ca="1">IFERROR(__xludf.DUMMYFUNCTION("""COMPUTED_VALUE"""),95900)</f>
        <v>95900</v>
      </c>
      <c r="I246" s="1"/>
    </row>
    <row r="247" spans="1:9">
      <c r="A247" s="3">
        <f ca="1">IFERROR(__xludf.DUMMYFUNCTION("""COMPUTED_VALUE"""),29574.6666666666)</f>
        <v>29574.666666666599</v>
      </c>
      <c r="B247" s="1">
        <f ca="1">IFERROR(__xludf.DUMMYFUNCTION("""COMPUTED_VALUE"""),1.99)</f>
        <v>1.99</v>
      </c>
      <c r="C247" s="1">
        <f ca="1">IFERROR(__xludf.DUMMYFUNCTION("""COMPUTED_VALUE"""),2.01)</f>
        <v>2.0099999999999998</v>
      </c>
      <c r="D247" s="1">
        <f ca="1">IFERROR(__xludf.DUMMYFUNCTION("""COMPUTED_VALUE"""),1.96)</f>
        <v>1.96</v>
      </c>
      <c r="E247" s="1">
        <f ca="1">IFERROR(__xludf.DUMMYFUNCTION("""COMPUTED_VALUE"""),1.99)</f>
        <v>1.99</v>
      </c>
      <c r="F247" s="1">
        <f ca="1">IFERROR(__xludf.DUMMYFUNCTION("""COMPUTED_VALUE"""),69200)</f>
        <v>69200</v>
      </c>
      <c r="I247" s="1"/>
    </row>
    <row r="248" spans="1:9">
      <c r="A248" s="3">
        <f ca="1">IFERROR(__xludf.DUMMYFUNCTION("""COMPUTED_VALUE"""),29577.6666666666)</f>
        <v>29577.666666666599</v>
      </c>
      <c r="B248" s="1">
        <f ca="1">IFERROR(__xludf.DUMMYFUNCTION("""COMPUTED_VALUE"""),2.03)</f>
        <v>2.0299999999999998</v>
      </c>
      <c r="C248" s="1">
        <f ca="1">IFERROR(__xludf.DUMMYFUNCTION("""COMPUTED_VALUE"""),2.04)</f>
        <v>2.04</v>
      </c>
      <c r="D248" s="1">
        <f ca="1">IFERROR(__xludf.DUMMYFUNCTION("""COMPUTED_VALUE"""),2)</f>
        <v>2</v>
      </c>
      <c r="E248" s="1">
        <f ca="1">IFERROR(__xludf.DUMMYFUNCTION("""COMPUTED_VALUE"""),2.03)</f>
        <v>2.0299999999999998</v>
      </c>
      <c r="F248" s="1">
        <f ca="1">IFERROR(__xludf.DUMMYFUNCTION("""COMPUTED_VALUE"""),93500)</f>
        <v>93500</v>
      </c>
      <c r="I248" s="1"/>
    </row>
    <row r="249" spans="1:9">
      <c r="A249" s="3">
        <f ca="1">IFERROR(__xludf.DUMMYFUNCTION("""COMPUTED_VALUE"""),29578.6666666666)</f>
        <v>29578.666666666599</v>
      </c>
      <c r="B249" s="1">
        <f ca="1">IFERROR(__xludf.DUMMYFUNCTION("""COMPUTED_VALUE"""),2.01)</f>
        <v>2.0099999999999998</v>
      </c>
      <c r="C249" s="1">
        <f ca="1">IFERROR(__xludf.DUMMYFUNCTION("""COMPUTED_VALUE"""),2.04)</f>
        <v>2.04</v>
      </c>
      <c r="D249" s="1">
        <f ca="1">IFERROR(__xludf.DUMMYFUNCTION("""COMPUTED_VALUE"""),2)</f>
        <v>2</v>
      </c>
      <c r="E249" s="1">
        <f ca="1">IFERROR(__xludf.DUMMYFUNCTION("""COMPUTED_VALUE"""),2.01)</f>
        <v>2.0099999999999998</v>
      </c>
      <c r="F249" s="1">
        <f ca="1">IFERROR(__xludf.DUMMYFUNCTION("""COMPUTED_VALUE"""),62700)</f>
        <v>62700</v>
      </c>
      <c r="I249" s="1"/>
    </row>
    <row r="250" spans="1:9">
      <c r="A250" s="3">
        <f ca="1">IFERROR(__xludf.DUMMYFUNCTION("""COMPUTED_VALUE"""),29579.6666666666)</f>
        <v>29579.666666666599</v>
      </c>
      <c r="B250" s="1">
        <f ca="1">IFERROR(__xludf.DUMMYFUNCTION("""COMPUTED_VALUE"""),2.04)</f>
        <v>2.04</v>
      </c>
      <c r="C250" s="1">
        <f ca="1">IFERROR(__xludf.DUMMYFUNCTION("""COMPUTED_VALUE"""),2.04)</f>
        <v>2.04</v>
      </c>
      <c r="D250" s="1">
        <f ca="1">IFERROR(__xludf.DUMMYFUNCTION("""COMPUTED_VALUE"""),2.01)</f>
        <v>2.0099999999999998</v>
      </c>
      <c r="E250" s="1">
        <f ca="1">IFERROR(__xludf.DUMMYFUNCTION("""COMPUTED_VALUE"""),2.04)</f>
        <v>2.04</v>
      </c>
      <c r="F250" s="1">
        <f ca="1">IFERROR(__xludf.DUMMYFUNCTION("""COMPUTED_VALUE"""),53400)</f>
        <v>53400</v>
      </c>
      <c r="I250" s="1"/>
    </row>
    <row r="251" spans="1:9">
      <c r="A251" s="3">
        <f ca="1">IFERROR(__xludf.DUMMYFUNCTION("""COMPUTED_VALUE"""),29581.6666666666)</f>
        <v>29581.666666666599</v>
      </c>
      <c r="B251" s="1">
        <f ca="1">IFERROR(__xludf.DUMMYFUNCTION("""COMPUTED_VALUE"""),2.08)</f>
        <v>2.08</v>
      </c>
      <c r="C251" s="1">
        <f ca="1">IFERROR(__xludf.DUMMYFUNCTION("""COMPUTED_VALUE"""),2.08)</f>
        <v>2.08</v>
      </c>
      <c r="D251" s="1">
        <f ca="1">IFERROR(__xludf.DUMMYFUNCTION("""COMPUTED_VALUE"""),2.03)</f>
        <v>2.0299999999999998</v>
      </c>
      <c r="E251" s="1">
        <f ca="1">IFERROR(__xludf.DUMMYFUNCTION("""COMPUTED_VALUE"""),2.08)</f>
        <v>2.08</v>
      </c>
      <c r="F251" s="1">
        <f ca="1">IFERROR(__xludf.DUMMYFUNCTION("""COMPUTED_VALUE"""),27000)</f>
        <v>27000</v>
      </c>
      <c r="I251" s="1"/>
    </row>
    <row r="252" spans="1:9">
      <c r="A252" s="3">
        <f ca="1">IFERROR(__xludf.DUMMYFUNCTION("""COMPUTED_VALUE"""),29584.6666666666)</f>
        <v>29584.666666666599</v>
      </c>
      <c r="B252" s="1">
        <f ca="1">IFERROR(__xludf.DUMMYFUNCTION("""COMPUTED_VALUE"""),2.07)</f>
        <v>2.0699999999999998</v>
      </c>
      <c r="C252" s="1">
        <f ca="1">IFERROR(__xludf.DUMMYFUNCTION("""COMPUTED_VALUE"""),2.11)</f>
        <v>2.11</v>
      </c>
      <c r="D252" s="1">
        <f ca="1">IFERROR(__xludf.DUMMYFUNCTION("""COMPUTED_VALUE"""),2.07)</f>
        <v>2.0699999999999998</v>
      </c>
      <c r="E252" s="1">
        <f ca="1">IFERROR(__xludf.DUMMYFUNCTION("""COMPUTED_VALUE"""),2.07)</f>
        <v>2.0699999999999998</v>
      </c>
      <c r="F252" s="1">
        <f ca="1">IFERROR(__xludf.DUMMYFUNCTION("""COMPUTED_VALUE"""),89800)</f>
        <v>89800</v>
      </c>
      <c r="I252" s="1"/>
    </row>
    <row r="253" spans="1:9">
      <c r="A253" s="3">
        <f ca="1">IFERROR(__xludf.DUMMYFUNCTION("""COMPUTED_VALUE"""),29585.6666666666)</f>
        <v>29585.666666666599</v>
      </c>
      <c r="B253" s="1">
        <f ca="1">IFERROR(__xludf.DUMMYFUNCTION("""COMPUTED_VALUE"""),2.08)</f>
        <v>2.08</v>
      </c>
      <c r="C253" s="1">
        <f ca="1">IFERROR(__xludf.DUMMYFUNCTION("""COMPUTED_VALUE"""),2.11)</f>
        <v>2.11</v>
      </c>
      <c r="D253" s="1">
        <f ca="1">IFERROR(__xludf.DUMMYFUNCTION("""COMPUTED_VALUE"""),2.07)</f>
        <v>2.0699999999999998</v>
      </c>
      <c r="E253" s="1">
        <f ca="1">IFERROR(__xludf.DUMMYFUNCTION("""COMPUTED_VALUE"""),2.08)</f>
        <v>2.08</v>
      </c>
      <c r="F253" s="1">
        <f ca="1">IFERROR(__xludf.DUMMYFUNCTION("""COMPUTED_VALUE"""),56700)</f>
        <v>56700</v>
      </c>
      <c r="I253" s="1"/>
    </row>
    <row r="254" spans="1:9">
      <c r="A254" s="3">
        <f ca="1">IFERROR(__xludf.DUMMYFUNCTION("""COMPUTED_VALUE"""),29586.6666666666)</f>
        <v>29586.666666666599</v>
      </c>
      <c r="B254" s="1">
        <f ca="1">IFERROR(__xludf.DUMMYFUNCTION("""COMPUTED_VALUE"""),2.08)</f>
        <v>2.08</v>
      </c>
      <c r="C254" s="1">
        <f ca="1">IFERROR(__xludf.DUMMYFUNCTION("""COMPUTED_VALUE"""),2.08)</f>
        <v>2.08</v>
      </c>
      <c r="D254" s="1">
        <f ca="1">IFERROR(__xludf.DUMMYFUNCTION("""COMPUTED_VALUE"""),2.06)</f>
        <v>2.06</v>
      </c>
      <c r="E254" s="1">
        <f ca="1">IFERROR(__xludf.DUMMYFUNCTION("""COMPUTED_VALUE"""),2.08)</f>
        <v>2.08</v>
      </c>
      <c r="F254" s="1">
        <f ca="1">IFERROR(__xludf.DUMMYFUNCTION("""COMPUTED_VALUE"""),35600)</f>
        <v>35600</v>
      </c>
      <c r="I254" s="1"/>
    </row>
    <row r="255" spans="1:9">
      <c r="A255" s="3">
        <f ca="1">IFERROR(__xludf.DUMMYFUNCTION("""COMPUTED_VALUE"""),29588.6666666666)</f>
        <v>29588.666666666599</v>
      </c>
      <c r="B255" s="1">
        <f ca="1">IFERROR(__xludf.DUMMYFUNCTION("""COMPUTED_VALUE"""),2.08)</f>
        <v>2.08</v>
      </c>
      <c r="C255" s="1">
        <f ca="1">IFERROR(__xludf.DUMMYFUNCTION("""COMPUTED_VALUE"""),2.09)</f>
        <v>2.09</v>
      </c>
      <c r="D255" s="1">
        <f ca="1">IFERROR(__xludf.DUMMYFUNCTION("""COMPUTED_VALUE"""),2.06)</f>
        <v>2.06</v>
      </c>
      <c r="E255" s="1">
        <f ca="1">IFERROR(__xludf.DUMMYFUNCTION("""COMPUTED_VALUE"""),2.08)</f>
        <v>2.08</v>
      </c>
      <c r="F255" s="1">
        <f ca="1">IFERROR(__xludf.DUMMYFUNCTION("""COMPUTED_VALUE"""),42100)</f>
        <v>42100</v>
      </c>
      <c r="I255" s="1"/>
    </row>
    <row r="256" spans="1:9">
      <c r="A256" s="3">
        <f ca="1">IFERROR(__xludf.DUMMYFUNCTION("""COMPUTED_VALUE"""),29591.6666666666)</f>
        <v>29591.666666666599</v>
      </c>
      <c r="B256" s="1">
        <f ca="1">IFERROR(__xludf.DUMMYFUNCTION("""COMPUTED_VALUE"""),2.1)</f>
        <v>2.1</v>
      </c>
      <c r="C256" s="1">
        <f ca="1">IFERROR(__xludf.DUMMYFUNCTION("""COMPUTED_VALUE"""),2.13)</f>
        <v>2.13</v>
      </c>
      <c r="D256" s="1">
        <f ca="1">IFERROR(__xludf.DUMMYFUNCTION("""COMPUTED_VALUE"""),2.08)</f>
        <v>2.08</v>
      </c>
      <c r="E256" s="1">
        <f ca="1">IFERROR(__xludf.DUMMYFUNCTION("""COMPUTED_VALUE"""),2.1)</f>
        <v>2.1</v>
      </c>
      <c r="F256" s="1">
        <f ca="1">IFERROR(__xludf.DUMMYFUNCTION("""COMPUTED_VALUE"""),99500)</f>
        <v>99500</v>
      </c>
      <c r="I256" s="1"/>
    </row>
    <row r="257" spans="1:9">
      <c r="A257" s="3">
        <f ca="1">IFERROR(__xludf.DUMMYFUNCTION("""COMPUTED_VALUE"""),29592.6666666666)</f>
        <v>29592.666666666599</v>
      </c>
      <c r="B257" s="1">
        <f ca="1">IFERROR(__xludf.DUMMYFUNCTION("""COMPUTED_VALUE"""),2.12)</f>
        <v>2.12</v>
      </c>
      <c r="C257" s="1">
        <f ca="1">IFERROR(__xludf.DUMMYFUNCTION("""COMPUTED_VALUE"""),2.12)</f>
        <v>2.12</v>
      </c>
      <c r="D257" s="1">
        <f ca="1">IFERROR(__xludf.DUMMYFUNCTION("""COMPUTED_VALUE"""),2.1)</f>
        <v>2.1</v>
      </c>
      <c r="E257" s="1">
        <f ca="1">IFERROR(__xludf.DUMMYFUNCTION("""COMPUTED_VALUE"""),2.12)</f>
        <v>2.12</v>
      </c>
      <c r="F257" s="1">
        <f ca="1">IFERROR(__xludf.DUMMYFUNCTION("""COMPUTED_VALUE"""),100700)</f>
        <v>100700</v>
      </c>
      <c r="I257" s="1"/>
    </row>
    <row r="258" spans="1:9">
      <c r="A258" s="3">
        <f ca="1">IFERROR(__xludf.DUMMYFUNCTION("""COMPUTED_VALUE"""),29593.6666666666)</f>
        <v>29593.666666666599</v>
      </c>
      <c r="B258" s="1">
        <f ca="1">IFERROR(__xludf.DUMMYFUNCTION("""COMPUTED_VALUE"""),2.07)</f>
        <v>2.0699999999999998</v>
      </c>
      <c r="C258" s="1">
        <f ca="1">IFERROR(__xludf.DUMMYFUNCTION("""COMPUTED_VALUE"""),2.09)</f>
        <v>2.09</v>
      </c>
      <c r="D258" s="1">
        <f ca="1">IFERROR(__xludf.DUMMYFUNCTION("""COMPUTED_VALUE"""),2.04)</f>
        <v>2.04</v>
      </c>
      <c r="E258" s="1">
        <f ca="1">IFERROR(__xludf.DUMMYFUNCTION("""COMPUTED_VALUE"""),2.07)</f>
        <v>2.0699999999999998</v>
      </c>
      <c r="F258" s="1">
        <f ca="1">IFERROR(__xludf.DUMMYFUNCTION("""COMPUTED_VALUE"""),188400)</f>
        <v>188400</v>
      </c>
      <c r="I258" s="1"/>
    </row>
    <row r="259" spans="1:9">
      <c r="A259" s="3">
        <f ca="1">IFERROR(__xludf.DUMMYFUNCTION("""COMPUTED_VALUE"""),29594.6666666666)</f>
        <v>29594.666666666599</v>
      </c>
      <c r="B259" s="1">
        <f ca="1">IFERROR(__xludf.DUMMYFUNCTION("""COMPUTED_VALUE"""),2.03)</f>
        <v>2.0299999999999998</v>
      </c>
      <c r="C259" s="1">
        <f ca="1">IFERROR(__xludf.DUMMYFUNCTION("""COMPUTED_VALUE"""),2.08)</f>
        <v>2.08</v>
      </c>
      <c r="D259" s="1">
        <f ca="1">IFERROR(__xludf.DUMMYFUNCTION("""COMPUTED_VALUE"""),2.01)</f>
        <v>2.0099999999999998</v>
      </c>
      <c r="E259" s="1">
        <f ca="1">IFERROR(__xludf.DUMMYFUNCTION("""COMPUTED_VALUE"""),2.03)</f>
        <v>2.0299999999999998</v>
      </c>
      <c r="F259" s="1">
        <f ca="1">IFERROR(__xludf.DUMMYFUNCTION("""COMPUTED_VALUE"""),87500)</f>
        <v>87500</v>
      </c>
      <c r="I259" s="1"/>
    </row>
    <row r="260" spans="1:9">
      <c r="A260" s="3">
        <f ca="1">IFERROR(__xludf.DUMMYFUNCTION("""COMPUTED_VALUE"""),29595.6666666666)</f>
        <v>29595.666666666599</v>
      </c>
      <c r="B260" s="1">
        <f ca="1">IFERROR(__xludf.DUMMYFUNCTION("""COMPUTED_VALUE"""),2.02)</f>
        <v>2.02</v>
      </c>
      <c r="C260" s="1">
        <f ca="1">IFERROR(__xludf.DUMMYFUNCTION("""COMPUTED_VALUE"""),2.06)</f>
        <v>2.06</v>
      </c>
      <c r="D260" s="1">
        <f ca="1">IFERROR(__xludf.DUMMYFUNCTION("""COMPUTED_VALUE"""),2.01)</f>
        <v>2.0099999999999998</v>
      </c>
      <c r="E260" s="1">
        <f ca="1">IFERROR(__xludf.DUMMYFUNCTION("""COMPUTED_VALUE"""),2.02)</f>
        <v>2.02</v>
      </c>
      <c r="F260" s="1">
        <f ca="1">IFERROR(__xludf.DUMMYFUNCTION("""COMPUTED_VALUE"""),59600)</f>
        <v>59600</v>
      </c>
      <c r="I260" s="1"/>
    </row>
    <row r="261" spans="1:9">
      <c r="A261" s="3">
        <f ca="1">IFERROR(__xludf.DUMMYFUNCTION("""COMPUTED_VALUE"""),29598.6666666666)</f>
        <v>29598.666666666599</v>
      </c>
      <c r="B261" s="1">
        <f ca="1">IFERROR(__xludf.DUMMYFUNCTION("""COMPUTED_VALUE"""),2.04)</f>
        <v>2.04</v>
      </c>
      <c r="C261" s="1">
        <f ca="1">IFERROR(__xludf.DUMMYFUNCTION("""COMPUTED_VALUE"""),2.05)</f>
        <v>2.0499999999999998</v>
      </c>
      <c r="D261" s="1">
        <f ca="1">IFERROR(__xludf.DUMMYFUNCTION("""COMPUTED_VALUE"""),2.04)</f>
        <v>2.04</v>
      </c>
      <c r="E261" s="1">
        <f ca="1">IFERROR(__xludf.DUMMYFUNCTION("""COMPUTED_VALUE"""),2.04)</f>
        <v>2.04</v>
      </c>
      <c r="F261" s="1">
        <f ca="1">IFERROR(__xludf.DUMMYFUNCTION("""COMPUTED_VALUE"""),64000)</f>
        <v>64000</v>
      </c>
      <c r="I261" s="1"/>
    </row>
    <row r="262" spans="1:9">
      <c r="A262" s="3">
        <f ca="1">IFERROR(__xludf.DUMMYFUNCTION("""COMPUTED_VALUE"""),29599.6666666666)</f>
        <v>29599.666666666599</v>
      </c>
      <c r="B262" s="1">
        <f ca="1">IFERROR(__xludf.DUMMYFUNCTION("""COMPUTED_VALUE"""),2.01)</f>
        <v>2.0099999999999998</v>
      </c>
      <c r="C262" s="1">
        <f ca="1">IFERROR(__xludf.DUMMYFUNCTION("""COMPUTED_VALUE"""),2.04)</f>
        <v>2.04</v>
      </c>
      <c r="D262" s="1">
        <f ca="1">IFERROR(__xludf.DUMMYFUNCTION("""COMPUTED_VALUE"""),2.01)</f>
        <v>2.0099999999999998</v>
      </c>
      <c r="E262" s="1">
        <f ca="1">IFERROR(__xludf.DUMMYFUNCTION("""COMPUTED_VALUE"""),2.01)</f>
        <v>2.0099999999999998</v>
      </c>
      <c r="F262" s="1">
        <f ca="1">IFERROR(__xludf.DUMMYFUNCTION("""COMPUTED_VALUE"""),45900)</f>
        <v>45900</v>
      </c>
      <c r="I262" s="1"/>
    </row>
    <row r="263" spans="1:9">
      <c r="A263" s="3">
        <f ca="1">IFERROR(__xludf.DUMMYFUNCTION("""COMPUTED_VALUE"""),29600.6666666666)</f>
        <v>29600.666666666599</v>
      </c>
      <c r="B263" s="1">
        <f ca="1">IFERROR(__xludf.DUMMYFUNCTION("""COMPUTED_VALUE"""),2)</f>
        <v>2</v>
      </c>
      <c r="C263" s="1">
        <f ca="1">IFERROR(__xludf.DUMMYFUNCTION("""COMPUTED_VALUE"""),2.02)</f>
        <v>2.02</v>
      </c>
      <c r="D263" s="1">
        <f ca="1">IFERROR(__xludf.DUMMYFUNCTION("""COMPUTED_VALUE"""),2)</f>
        <v>2</v>
      </c>
      <c r="E263" s="1">
        <f ca="1">IFERROR(__xludf.DUMMYFUNCTION("""COMPUTED_VALUE"""),2)</f>
        <v>2</v>
      </c>
      <c r="F263" s="1">
        <f ca="1">IFERROR(__xludf.DUMMYFUNCTION("""COMPUTED_VALUE"""),64500)</f>
        <v>64500</v>
      </c>
      <c r="I263" s="1"/>
    </row>
    <row r="264" spans="1:9">
      <c r="A264" s="3">
        <f ca="1">IFERROR(__xludf.DUMMYFUNCTION("""COMPUTED_VALUE"""),29601.6666666666)</f>
        <v>29601.666666666599</v>
      </c>
      <c r="B264" s="1">
        <f ca="1">IFERROR(__xludf.DUMMYFUNCTION("""COMPUTED_VALUE"""),2.01)</f>
        <v>2.0099999999999998</v>
      </c>
      <c r="C264" s="1">
        <f ca="1">IFERROR(__xludf.DUMMYFUNCTION("""COMPUTED_VALUE"""),2.01)</f>
        <v>2.0099999999999998</v>
      </c>
      <c r="D264" s="1">
        <f ca="1">IFERROR(__xludf.DUMMYFUNCTION("""COMPUTED_VALUE"""),2)</f>
        <v>2</v>
      </c>
      <c r="E264" s="1">
        <f ca="1">IFERROR(__xludf.DUMMYFUNCTION("""COMPUTED_VALUE"""),2.01)</f>
        <v>2.0099999999999998</v>
      </c>
      <c r="F264" s="1">
        <f ca="1">IFERROR(__xludf.DUMMYFUNCTION("""COMPUTED_VALUE"""),49200)</f>
        <v>49200</v>
      </c>
      <c r="I264" s="1"/>
    </row>
    <row r="265" spans="1:9">
      <c r="A265" s="3">
        <f ca="1">IFERROR(__xludf.DUMMYFUNCTION("""COMPUTED_VALUE"""),29602.6666666666)</f>
        <v>29602.666666666599</v>
      </c>
      <c r="B265" s="1">
        <f ca="1">IFERROR(__xludf.DUMMYFUNCTION("""COMPUTED_VALUE"""),2.02)</f>
        <v>2.02</v>
      </c>
      <c r="C265" s="1">
        <f ca="1">IFERROR(__xludf.DUMMYFUNCTION("""COMPUTED_VALUE"""),2.02)</f>
        <v>2.02</v>
      </c>
      <c r="D265" s="1">
        <f ca="1">IFERROR(__xludf.DUMMYFUNCTION("""COMPUTED_VALUE"""),2)</f>
        <v>2</v>
      </c>
      <c r="E265" s="1">
        <f ca="1">IFERROR(__xludf.DUMMYFUNCTION("""COMPUTED_VALUE"""),2.02)</f>
        <v>2.02</v>
      </c>
      <c r="F265" s="1">
        <f ca="1">IFERROR(__xludf.DUMMYFUNCTION("""COMPUTED_VALUE"""),35500)</f>
        <v>35500</v>
      </c>
      <c r="I265" s="1"/>
    </row>
    <row r="266" spans="1:9">
      <c r="A266" s="3">
        <f ca="1">IFERROR(__xludf.DUMMYFUNCTION("""COMPUTED_VALUE"""),29605.6666666666)</f>
        <v>29605.666666666599</v>
      </c>
      <c r="B266" s="1">
        <f ca="1">IFERROR(__xludf.DUMMYFUNCTION("""COMPUTED_VALUE"""),1.99)</f>
        <v>1.99</v>
      </c>
      <c r="C266" s="1">
        <f ca="1">IFERROR(__xludf.DUMMYFUNCTION("""COMPUTED_VALUE"""),2.02)</f>
        <v>2.02</v>
      </c>
      <c r="D266" s="1">
        <f ca="1">IFERROR(__xludf.DUMMYFUNCTION("""COMPUTED_VALUE"""),1.99)</f>
        <v>1.99</v>
      </c>
      <c r="E266" s="1">
        <f ca="1">IFERROR(__xludf.DUMMYFUNCTION("""COMPUTED_VALUE"""),1.99)</f>
        <v>1.99</v>
      </c>
      <c r="F266" s="1">
        <f ca="1">IFERROR(__xludf.DUMMYFUNCTION("""COMPUTED_VALUE"""),33100)</f>
        <v>33100</v>
      </c>
      <c r="I266" s="1"/>
    </row>
    <row r="267" spans="1:9">
      <c r="A267" s="3">
        <f ca="1">IFERROR(__xludf.DUMMYFUNCTION("""COMPUTED_VALUE"""),29606.6666666666)</f>
        <v>29606.666666666599</v>
      </c>
      <c r="B267" s="1">
        <f ca="1">IFERROR(__xludf.DUMMYFUNCTION("""COMPUTED_VALUE"""),1.97)</f>
        <v>1.97</v>
      </c>
      <c r="C267" s="1">
        <f ca="1">IFERROR(__xludf.DUMMYFUNCTION("""COMPUTED_VALUE"""),2)</f>
        <v>2</v>
      </c>
      <c r="D267" s="1">
        <f ca="1">IFERROR(__xludf.DUMMYFUNCTION("""COMPUTED_VALUE"""),1.97)</f>
        <v>1.97</v>
      </c>
      <c r="E267" s="1">
        <f ca="1">IFERROR(__xludf.DUMMYFUNCTION("""COMPUTED_VALUE"""),1.97)</f>
        <v>1.97</v>
      </c>
      <c r="F267" s="1">
        <f ca="1">IFERROR(__xludf.DUMMYFUNCTION("""COMPUTED_VALUE"""),49300)</f>
        <v>49300</v>
      </c>
      <c r="I267" s="1"/>
    </row>
    <row r="268" spans="1:9">
      <c r="A268" s="3">
        <f ca="1">IFERROR(__xludf.DUMMYFUNCTION("""COMPUTED_VALUE"""),29607.6666666666)</f>
        <v>29607.666666666599</v>
      </c>
      <c r="B268" s="1">
        <f ca="1">IFERROR(__xludf.DUMMYFUNCTION("""COMPUTED_VALUE"""),1.94)</f>
        <v>1.94</v>
      </c>
      <c r="C268" s="1">
        <f ca="1">IFERROR(__xludf.DUMMYFUNCTION("""COMPUTED_VALUE"""),1.96)</f>
        <v>1.96</v>
      </c>
      <c r="D268" s="1">
        <f ca="1">IFERROR(__xludf.DUMMYFUNCTION("""COMPUTED_VALUE"""),1.93)</f>
        <v>1.93</v>
      </c>
      <c r="E268" s="1">
        <f ca="1">IFERROR(__xludf.DUMMYFUNCTION("""COMPUTED_VALUE"""),1.94)</f>
        <v>1.94</v>
      </c>
      <c r="F268" s="1">
        <f ca="1">IFERROR(__xludf.DUMMYFUNCTION("""COMPUTED_VALUE"""),77800)</f>
        <v>77800</v>
      </c>
      <c r="I268" s="1"/>
    </row>
    <row r="269" spans="1:9">
      <c r="A269" s="3">
        <f ca="1">IFERROR(__xludf.DUMMYFUNCTION("""COMPUTED_VALUE"""),29608.6666666666)</f>
        <v>29608.666666666599</v>
      </c>
      <c r="B269" s="1">
        <f ca="1">IFERROR(__xludf.DUMMYFUNCTION("""COMPUTED_VALUE"""),1.95)</f>
        <v>1.95</v>
      </c>
      <c r="C269" s="1">
        <f ca="1">IFERROR(__xludf.DUMMYFUNCTION("""COMPUTED_VALUE"""),1.96)</f>
        <v>1.96</v>
      </c>
      <c r="D269" s="1">
        <f ca="1">IFERROR(__xludf.DUMMYFUNCTION("""COMPUTED_VALUE"""),1.93)</f>
        <v>1.93</v>
      </c>
      <c r="E269" s="1">
        <f ca="1">IFERROR(__xludf.DUMMYFUNCTION("""COMPUTED_VALUE"""),1.95)</f>
        <v>1.95</v>
      </c>
      <c r="F269" s="1">
        <f ca="1">IFERROR(__xludf.DUMMYFUNCTION("""COMPUTED_VALUE"""),36600)</f>
        <v>36600</v>
      </c>
      <c r="I269" s="1"/>
    </row>
    <row r="270" spans="1:9">
      <c r="A270" s="3">
        <f ca="1">IFERROR(__xludf.DUMMYFUNCTION("""COMPUTED_VALUE"""),29609.6666666666)</f>
        <v>29609.666666666599</v>
      </c>
      <c r="B270" s="1">
        <f ca="1">IFERROR(__xludf.DUMMYFUNCTION("""COMPUTED_VALUE"""),1.98)</f>
        <v>1.98</v>
      </c>
      <c r="C270" s="1">
        <f ca="1">IFERROR(__xludf.DUMMYFUNCTION("""COMPUTED_VALUE"""),1.99)</f>
        <v>1.99</v>
      </c>
      <c r="D270" s="1">
        <f ca="1">IFERROR(__xludf.DUMMYFUNCTION("""COMPUTED_VALUE"""),1.95)</f>
        <v>1.95</v>
      </c>
      <c r="E270" s="1">
        <f ca="1">IFERROR(__xludf.DUMMYFUNCTION("""COMPUTED_VALUE"""),1.98)</f>
        <v>1.98</v>
      </c>
      <c r="F270" s="1">
        <f ca="1">IFERROR(__xludf.DUMMYFUNCTION("""COMPUTED_VALUE"""),104600)</f>
        <v>104600</v>
      </c>
      <c r="I270" s="1"/>
    </row>
    <row r="271" spans="1:9">
      <c r="A271" s="3">
        <f ca="1">IFERROR(__xludf.DUMMYFUNCTION("""COMPUTED_VALUE"""),29612.6666666666)</f>
        <v>29612.666666666599</v>
      </c>
      <c r="B271" s="1">
        <f ca="1">IFERROR(__xludf.DUMMYFUNCTION("""COMPUTED_VALUE"""),2.01)</f>
        <v>2.0099999999999998</v>
      </c>
      <c r="C271" s="1">
        <f ca="1">IFERROR(__xludf.DUMMYFUNCTION("""COMPUTED_VALUE"""),2.01)</f>
        <v>2.0099999999999998</v>
      </c>
      <c r="D271" s="1">
        <f ca="1">IFERROR(__xludf.DUMMYFUNCTION("""COMPUTED_VALUE"""),1.97)</f>
        <v>1.97</v>
      </c>
      <c r="E271" s="1">
        <f ca="1">IFERROR(__xludf.DUMMYFUNCTION("""COMPUTED_VALUE"""),2.01)</f>
        <v>2.0099999999999998</v>
      </c>
      <c r="F271" s="1">
        <f ca="1">IFERROR(__xludf.DUMMYFUNCTION("""COMPUTED_VALUE"""),67200)</f>
        <v>67200</v>
      </c>
      <c r="I271" s="1"/>
    </row>
    <row r="272" spans="1:9">
      <c r="A272" s="3">
        <f ca="1">IFERROR(__xludf.DUMMYFUNCTION("""COMPUTED_VALUE"""),29613.6666666666)</f>
        <v>29613.666666666599</v>
      </c>
      <c r="B272" s="1">
        <f ca="1">IFERROR(__xludf.DUMMYFUNCTION("""COMPUTED_VALUE"""),2.02)</f>
        <v>2.02</v>
      </c>
      <c r="C272" s="1">
        <f ca="1">IFERROR(__xludf.DUMMYFUNCTION("""COMPUTED_VALUE"""),2.04)</f>
        <v>2.04</v>
      </c>
      <c r="D272" s="1">
        <f ca="1">IFERROR(__xludf.DUMMYFUNCTION("""COMPUTED_VALUE"""),2.01)</f>
        <v>2.0099999999999998</v>
      </c>
      <c r="E272" s="1">
        <f ca="1">IFERROR(__xludf.DUMMYFUNCTION("""COMPUTED_VALUE"""),2.02)</f>
        <v>2.02</v>
      </c>
      <c r="F272" s="1">
        <f ca="1">IFERROR(__xludf.DUMMYFUNCTION("""COMPUTED_VALUE"""),76000)</f>
        <v>76000</v>
      </c>
      <c r="I272" s="1"/>
    </row>
    <row r="273" spans="1:9">
      <c r="A273" s="3">
        <f ca="1">IFERROR(__xludf.DUMMYFUNCTION("""COMPUTED_VALUE"""),29614.6666666666)</f>
        <v>29614.666666666599</v>
      </c>
      <c r="B273" s="1">
        <f ca="1">IFERROR(__xludf.DUMMYFUNCTION("""COMPUTED_VALUE"""),2.02)</f>
        <v>2.02</v>
      </c>
      <c r="C273" s="1">
        <f ca="1">IFERROR(__xludf.DUMMYFUNCTION("""COMPUTED_VALUE"""),2.03)</f>
        <v>2.0299999999999998</v>
      </c>
      <c r="D273" s="1">
        <f ca="1">IFERROR(__xludf.DUMMYFUNCTION("""COMPUTED_VALUE"""),2.01)</f>
        <v>2.0099999999999998</v>
      </c>
      <c r="E273" s="1">
        <f ca="1">IFERROR(__xludf.DUMMYFUNCTION("""COMPUTED_VALUE"""),2.02)</f>
        <v>2.02</v>
      </c>
      <c r="F273" s="1">
        <f ca="1">IFERROR(__xludf.DUMMYFUNCTION("""COMPUTED_VALUE"""),50600)</f>
        <v>50600</v>
      </c>
      <c r="I273" s="1"/>
    </row>
    <row r="274" spans="1:9">
      <c r="A274" s="3">
        <f ca="1">IFERROR(__xludf.DUMMYFUNCTION("""COMPUTED_VALUE"""),29615.6666666666)</f>
        <v>29615.666666666599</v>
      </c>
      <c r="B274" s="1">
        <f ca="1">IFERROR(__xludf.DUMMYFUNCTION("""COMPUTED_VALUE"""),2.01)</f>
        <v>2.0099999999999998</v>
      </c>
      <c r="C274" s="1">
        <f ca="1">IFERROR(__xludf.DUMMYFUNCTION("""COMPUTED_VALUE"""),2.02)</f>
        <v>2.02</v>
      </c>
      <c r="D274" s="1">
        <f ca="1">IFERROR(__xludf.DUMMYFUNCTION("""COMPUTED_VALUE"""),2)</f>
        <v>2</v>
      </c>
      <c r="E274" s="1">
        <f ca="1">IFERROR(__xludf.DUMMYFUNCTION("""COMPUTED_VALUE"""),2.01)</f>
        <v>2.0099999999999998</v>
      </c>
      <c r="F274" s="1">
        <f ca="1">IFERROR(__xludf.DUMMYFUNCTION("""COMPUTED_VALUE"""),53200)</f>
        <v>53200</v>
      </c>
      <c r="I274" s="1"/>
    </row>
    <row r="275" spans="1:9">
      <c r="A275" s="3">
        <f ca="1">IFERROR(__xludf.DUMMYFUNCTION("""COMPUTED_VALUE"""),29616.6666666666)</f>
        <v>29616.666666666599</v>
      </c>
      <c r="B275" s="1">
        <f ca="1">IFERROR(__xludf.DUMMYFUNCTION("""COMPUTED_VALUE"""),1.99)</f>
        <v>1.99</v>
      </c>
      <c r="C275" s="1">
        <f ca="1">IFERROR(__xludf.DUMMYFUNCTION("""COMPUTED_VALUE"""),2.02)</f>
        <v>2.02</v>
      </c>
      <c r="D275" s="1">
        <f ca="1">IFERROR(__xludf.DUMMYFUNCTION("""COMPUTED_VALUE"""),1.99)</f>
        <v>1.99</v>
      </c>
      <c r="E275" s="1">
        <f ca="1">IFERROR(__xludf.DUMMYFUNCTION("""COMPUTED_VALUE"""),1.99)</f>
        <v>1.99</v>
      </c>
      <c r="F275" s="1">
        <f ca="1">IFERROR(__xludf.DUMMYFUNCTION("""COMPUTED_VALUE"""),34800)</f>
        <v>34800</v>
      </c>
      <c r="I275" s="1"/>
    </row>
    <row r="276" spans="1:9">
      <c r="A276" s="3">
        <f ca="1">IFERROR(__xludf.DUMMYFUNCTION("""COMPUTED_VALUE"""),29619.6666666666)</f>
        <v>29619.666666666599</v>
      </c>
      <c r="B276" s="1">
        <f ca="1">IFERROR(__xludf.DUMMYFUNCTION("""COMPUTED_VALUE"""),1.96)</f>
        <v>1.96</v>
      </c>
      <c r="C276" s="1">
        <f ca="1">IFERROR(__xludf.DUMMYFUNCTION("""COMPUTED_VALUE"""),1.99)</f>
        <v>1.99</v>
      </c>
      <c r="D276" s="1">
        <f ca="1">IFERROR(__xludf.DUMMYFUNCTION("""COMPUTED_VALUE"""),1.96)</f>
        <v>1.96</v>
      </c>
      <c r="E276" s="1">
        <f ca="1">IFERROR(__xludf.DUMMYFUNCTION("""COMPUTED_VALUE"""),1.96)</f>
        <v>1.96</v>
      </c>
      <c r="F276" s="1">
        <f ca="1">IFERROR(__xludf.DUMMYFUNCTION("""COMPUTED_VALUE"""),32700)</f>
        <v>32700</v>
      </c>
      <c r="I276" s="1"/>
    </row>
    <row r="277" spans="1:9">
      <c r="A277" s="3">
        <f ca="1">IFERROR(__xludf.DUMMYFUNCTION("""COMPUTED_VALUE"""),29620.6666666666)</f>
        <v>29620.666666666599</v>
      </c>
      <c r="B277" s="1">
        <f ca="1">IFERROR(__xludf.DUMMYFUNCTION("""COMPUTED_VALUE"""),1.99)</f>
        <v>1.99</v>
      </c>
      <c r="C277" s="1">
        <f ca="1">IFERROR(__xludf.DUMMYFUNCTION("""COMPUTED_VALUE"""),1.99)</f>
        <v>1.99</v>
      </c>
      <c r="D277" s="1">
        <f ca="1">IFERROR(__xludf.DUMMYFUNCTION("""COMPUTED_VALUE"""),1.96)</f>
        <v>1.96</v>
      </c>
      <c r="E277" s="1">
        <f ca="1">IFERROR(__xludf.DUMMYFUNCTION("""COMPUTED_VALUE"""),1.99)</f>
        <v>1.99</v>
      </c>
      <c r="F277" s="1">
        <f ca="1">IFERROR(__xludf.DUMMYFUNCTION("""COMPUTED_VALUE"""),42800)</f>
        <v>42800</v>
      </c>
      <c r="I277" s="1"/>
    </row>
    <row r="278" spans="1:9">
      <c r="A278" s="3">
        <f ca="1">IFERROR(__xludf.DUMMYFUNCTION("""COMPUTED_VALUE"""),29621.6666666666)</f>
        <v>29621.666666666599</v>
      </c>
      <c r="B278" s="1">
        <f ca="1">IFERROR(__xludf.DUMMYFUNCTION("""COMPUTED_VALUE"""),1.99)</f>
        <v>1.99</v>
      </c>
      <c r="C278" s="1">
        <f ca="1">IFERROR(__xludf.DUMMYFUNCTION("""COMPUTED_VALUE"""),2.01)</f>
        <v>2.0099999999999998</v>
      </c>
      <c r="D278" s="1">
        <f ca="1">IFERROR(__xludf.DUMMYFUNCTION("""COMPUTED_VALUE"""),1.98)</f>
        <v>1.98</v>
      </c>
      <c r="E278" s="1">
        <f ca="1">IFERROR(__xludf.DUMMYFUNCTION("""COMPUTED_VALUE"""),1.99)</f>
        <v>1.99</v>
      </c>
      <c r="F278" s="1">
        <f ca="1">IFERROR(__xludf.DUMMYFUNCTION("""COMPUTED_VALUE"""),61100)</f>
        <v>61100</v>
      </c>
      <c r="I278" s="1"/>
    </row>
    <row r="279" spans="1:9">
      <c r="A279" s="3">
        <f ca="1">IFERROR(__xludf.DUMMYFUNCTION("""COMPUTED_VALUE"""),29622.6666666666)</f>
        <v>29622.666666666599</v>
      </c>
      <c r="B279" s="1">
        <f ca="1">IFERROR(__xludf.DUMMYFUNCTION("""COMPUTED_VALUE"""),1.99)</f>
        <v>1.99</v>
      </c>
      <c r="C279" s="1">
        <f ca="1">IFERROR(__xludf.DUMMYFUNCTION("""COMPUTED_VALUE"""),1.99)</f>
        <v>1.99</v>
      </c>
      <c r="D279" s="1">
        <f ca="1">IFERROR(__xludf.DUMMYFUNCTION("""COMPUTED_VALUE"""),1.98)</f>
        <v>1.98</v>
      </c>
      <c r="E279" s="1">
        <f ca="1">IFERROR(__xludf.DUMMYFUNCTION("""COMPUTED_VALUE"""),1.99)</f>
        <v>1.99</v>
      </c>
      <c r="F279" s="1">
        <f ca="1">IFERROR(__xludf.DUMMYFUNCTION("""COMPUTED_VALUE"""),40500)</f>
        <v>40500</v>
      </c>
      <c r="I279" s="1"/>
    </row>
    <row r="280" spans="1:9">
      <c r="A280" s="3">
        <f ca="1">IFERROR(__xludf.DUMMYFUNCTION("""COMPUTED_VALUE"""),29623.6666666666)</f>
        <v>29623.666666666599</v>
      </c>
      <c r="B280" s="1">
        <f ca="1">IFERROR(__xludf.DUMMYFUNCTION("""COMPUTED_VALUE"""),2)</f>
        <v>2</v>
      </c>
      <c r="C280" s="1">
        <f ca="1">IFERROR(__xludf.DUMMYFUNCTION("""COMPUTED_VALUE"""),2.02)</f>
        <v>2.02</v>
      </c>
      <c r="D280" s="1">
        <f ca="1">IFERROR(__xludf.DUMMYFUNCTION("""COMPUTED_VALUE"""),1.99)</f>
        <v>1.99</v>
      </c>
      <c r="E280" s="1">
        <f ca="1">IFERROR(__xludf.DUMMYFUNCTION("""COMPUTED_VALUE"""),2)</f>
        <v>2</v>
      </c>
      <c r="F280" s="1">
        <f ca="1">IFERROR(__xludf.DUMMYFUNCTION("""COMPUTED_VALUE"""),63700)</f>
        <v>63700</v>
      </c>
      <c r="I280" s="1"/>
    </row>
    <row r="281" spans="1:9">
      <c r="A281" s="3">
        <f ca="1">IFERROR(__xludf.DUMMYFUNCTION("""COMPUTED_VALUE"""),29626.6666666666)</f>
        <v>29626.666666666599</v>
      </c>
      <c r="B281" s="1">
        <f ca="1">IFERROR(__xludf.DUMMYFUNCTION("""COMPUTED_VALUE"""),2)</f>
        <v>2</v>
      </c>
      <c r="C281" s="1">
        <f ca="1">IFERROR(__xludf.DUMMYFUNCTION("""COMPUTED_VALUE"""),2.02)</f>
        <v>2.02</v>
      </c>
      <c r="D281" s="1">
        <f ca="1">IFERROR(__xludf.DUMMYFUNCTION("""COMPUTED_VALUE"""),2)</f>
        <v>2</v>
      </c>
      <c r="E281" s="1">
        <f ca="1">IFERROR(__xludf.DUMMYFUNCTION("""COMPUTED_VALUE"""),2)</f>
        <v>2</v>
      </c>
      <c r="F281" s="1">
        <f ca="1">IFERROR(__xludf.DUMMYFUNCTION("""COMPUTED_VALUE"""),23300)</f>
        <v>23300</v>
      </c>
      <c r="I281" s="1"/>
    </row>
    <row r="282" spans="1:9">
      <c r="A282" s="3">
        <f ca="1">IFERROR(__xludf.DUMMYFUNCTION("""COMPUTED_VALUE"""),29627.6666666666)</f>
        <v>29627.666666666599</v>
      </c>
      <c r="B282" s="1">
        <f ca="1">IFERROR(__xludf.DUMMYFUNCTION("""COMPUTED_VALUE"""),2.05)</f>
        <v>2.0499999999999998</v>
      </c>
      <c r="C282" s="1">
        <f ca="1">IFERROR(__xludf.DUMMYFUNCTION("""COMPUTED_VALUE"""),2.05)</f>
        <v>2.0499999999999998</v>
      </c>
      <c r="D282" s="1">
        <f ca="1">IFERROR(__xludf.DUMMYFUNCTION("""COMPUTED_VALUE"""),2.01)</f>
        <v>2.0099999999999998</v>
      </c>
      <c r="E282" s="1">
        <f ca="1">IFERROR(__xludf.DUMMYFUNCTION("""COMPUTED_VALUE"""),2.05)</f>
        <v>2.0499999999999998</v>
      </c>
      <c r="F282" s="1">
        <f ca="1">IFERROR(__xludf.DUMMYFUNCTION("""COMPUTED_VALUE"""),35500)</f>
        <v>35500</v>
      </c>
      <c r="I282" s="1"/>
    </row>
    <row r="283" spans="1:9">
      <c r="A283" s="3">
        <f ca="1">IFERROR(__xludf.DUMMYFUNCTION("""COMPUTED_VALUE"""),29628.6666666666)</f>
        <v>29628.666666666599</v>
      </c>
      <c r="B283" s="1">
        <f ca="1">IFERROR(__xludf.DUMMYFUNCTION("""COMPUTED_VALUE"""),2.03)</f>
        <v>2.0299999999999998</v>
      </c>
      <c r="C283" s="1">
        <f ca="1">IFERROR(__xludf.DUMMYFUNCTION("""COMPUTED_VALUE"""),2.05)</f>
        <v>2.0499999999999998</v>
      </c>
      <c r="D283" s="1">
        <f ca="1">IFERROR(__xludf.DUMMYFUNCTION("""COMPUTED_VALUE"""),2.01)</f>
        <v>2.0099999999999998</v>
      </c>
      <c r="E283" s="1">
        <f ca="1">IFERROR(__xludf.DUMMYFUNCTION("""COMPUTED_VALUE"""),2.03)</f>
        <v>2.0299999999999998</v>
      </c>
      <c r="F283" s="1">
        <f ca="1">IFERROR(__xludf.DUMMYFUNCTION("""COMPUTED_VALUE"""),32200)</f>
        <v>32200</v>
      </c>
      <c r="I283" s="1"/>
    </row>
    <row r="284" spans="1:9">
      <c r="A284" s="3">
        <f ca="1">IFERROR(__xludf.DUMMYFUNCTION("""COMPUTED_VALUE"""),29629.6666666666)</f>
        <v>29629.666666666599</v>
      </c>
      <c r="B284" s="1">
        <f ca="1">IFERROR(__xludf.DUMMYFUNCTION("""COMPUTED_VALUE"""),2.01)</f>
        <v>2.0099999999999998</v>
      </c>
      <c r="C284" s="1">
        <f ca="1">IFERROR(__xludf.DUMMYFUNCTION("""COMPUTED_VALUE"""),2.03)</f>
        <v>2.0299999999999998</v>
      </c>
      <c r="D284" s="1">
        <f ca="1">IFERROR(__xludf.DUMMYFUNCTION("""COMPUTED_VALUE"""),2)</f>
        <v>2</v>
      </c>
      <c r="E284" s="1">
        <f ca="1">IFERROR(__xludf.DUMMYFUNCTION("""COMPUTED_VALUE"""),2.01)</f>
        <v>2.0099999999999998</v>
      </c>
      <c r="F284" s="1">
        <f ca="1">IFERROR(__xludf.DUMMYFUNCTION("""COMPUTED_VALUE"""),61700)</f>
        <v>61700</v>
      </c>
      <c r="I284" s="1"/>
    </row>
    <row r="285" spans="1:9">
      <c r="A285" s="3">
        <f ca="1">IFERROR(__xludf.DUMMYFUNCTION("""COMPUTED_VALUE"""),29630.6666666666)</f>
        <v>29630.666666666599</v>
      </c>
      <c r="B285" s="1">
        <f ca="1">IFERROR(__xludf.DUMMYFUNCTION("""COMPUTED_VALUE"""),1.96)</f>
        <v>1.96</v>
      </c>
      <c r="C285" s="1">
        <f ca="1">IFERROR(__xludf.DUMMYFUNCTION("""COMPUTED_VALUE"""),1.98)</f>
        <v>1.98</v>
      </c>
      <c r="D285" s="1">
        <f ca="1">IFERROR(__xludf.DUMMYFUNCTION("""COMPUTED_VALUE"""),1.96)</f>
        <v>1.96</v>
      </c>
      <c r="E285" s="1">
        <f ca="1">IFERROR(__xludf.DUMMYFUNCTION("""COMPUTED_VALUE"""),1.96)</f>
        <v>1.96</v>
      </c>
      <c r="F285" s="1">
        <f ca="1">IFERROR(__xludf.DUMMYFUNCTION("""COMPUTED_VALUE"""),21700)</f>
        <v>21700</v>
      </c>
      <c r="I285" s="1"/>
    </row>
    <row r="286" spans="1:9">
      <c r="A286" s="3">
        <f ca="1">IFERROR(__xludf.DUMMYFUNCTION("""COMPUTED_VALUE"""),29634.6666666666)</f>
        <v>29634.666666666599</v>
      </c>
      <c r="B286" s="1">
        <f ca="1">IFERROR(__xludf.DUMMYFUNCTION("""COMPUTED_VALUE"""),1.96)</f>
        <v>1.96</v>
      </c>
      <c r="C286" s="1">
        <f ca="1">IFERROR(__xludf.DUMMYFUNCTION("""COMPUTED_VALUE"""),1.97)</f>
        <v>1.97</v>
      </c>
      <c r="D286" s="1">
        <f ca="1">IFERROR(__xludf.DUMMYFUNCTION("""COMPUTED_VALUE"""),1.96)</f>
        <v>1.96</v>
      </c>
      <c r="E286" s="1">
        <f ca="1">IFERROR(__xludf.DUMMYFUNCTION("""COMPUTED_VALUE"""),1.96)</f>
        <v>1.96</v>
      </c>
      <c r="F286" s="1">
        <f ca="1">IFERROR(__xludf.DUMMYFUNCTION("""COMPUTED_VALUE"""),88600)</f>
        <v>88600</v>
      </c>
      <c r="I286" s="1"/>
    </row>
    <row r="287" spans="1:9">
      <c r="A287" s="3">
        <f ca="1">IFERROR(__xludf.DUMMYFUNCTION("""COMPUTED_VALUE"""),29635.6666666666)</f>
        <v>29635.666666666599</v>
      </c>
      <c r="B287" s="1">
        <f ca="1">IFERROR(__xludf.DUMMYFUNCTION("""COMPUTED_VALUE"""),2.02)</f>
        <v>2.02</v>
      </c>
      <c r="C287" s="1">
        <f ca="1">IFERROR(__xludf.DUMMYFUNCTION("""COMPUTED_VALUE"""),2.02)</f>
        <v>2.02</v>
      </c>
      <c r="D287" s="1">
        <f ca="1">IFERROR(__xludf.DUMMYFUNCTION("""COMPUTED_VALUE"""),1.98)</f>
        <v>1.98</v>
      </c>
      <c r="E287" s="1">
        <f ca="1">IFERROR(__xludf.DUMMYFUNCTION("""COMPUTED_VALUE"""),2.02)</f>
        <v>2.02</v>
      </c>
      <c r="F287" s="1">
        <f ca="1">IFERROR(__xludf.DUMMYFUNCTION("""COMPUTED_VALUE"""),100200)</f>
        <v>100200</v>
      </c>
      <c r="I287" s="1"/>
    </row>
    <row r="288" spans="1:9">
      <c r="A288" s="3">
        <f ca="1">IFERROR(__xludf.DUMMYFUNCTION("""COMPUTED_VALUE"""),29636.6666666666)</f>
        <v>29636.666666666599</v>
      </c>
      <c r="B288" s="1">
        <f ca="1">IFERROR(__xludf.DUMMYFUNCTION("""COMPUTED_VALUE"""),2.02)</f>
        <v>2.02</v>
      </c>
      <c r="C288" s="1">
        <f ca="1">IFERROR(__xludf.DUMMYFUNCTION("""COMPUTED_VALUE"""),2.04)</f>
        <v>2.04</v>
      </c>
      <c r="D288" s="1">
        <f ca="1">IFERROR(__xludf.DUMMYFUNCTION("""COMPUTED_VALUE"""),2.01)</f>
        <v>2.0099999999999998</v>
      </c>
      <c r="E288" s="1">
        <f ca="1">IFERROR(__xludf.DUMMYFUNCTION("""COMPUTED_VALUE"""),2.02)</f>
        <v>2.02</v>
      </c>
      <c r="F288" s="1">
        <f ca="1">IFERROR(__xludf.DUMMYFUNCTION("""COMPUTED_VALUE"""),80100)</f>
        <v>80100</v>
      </c>
      <c r="I288" s="1"/>
    </row>
    <row r="289" spans="1:9">
      <c r="A289" s="3">
        <f ca="1">IFERROR(__xludf.DUMMYFUNCTION("""COMPUTED_VALUE"""),29637.6666666666)</f>
        <v>29637.666666666599</v>
      </c>
      <c r="B289" s="1">
        <f ca="1">IFERROR(__xludf.DUMMYFUNCTION("""COMPUTED_VALUE"""),2.03)</f>
        <v>2.0299999999999998</v>
      </c>
      <c r="C289" s="1">
        <f ca="1">IFERROR(__xludf.DUMMYFUNCTION("""COMPUTED_VALUE"""),2.04)</f>
        <v>2.04</v>
      </c>
      <c r="D289" s="1">
        <f ca="1">IFERROR(__xludf.DUMMYFUNCTION("""COMPUTED_VALUE"""),2.01)</f>
        <v>2.0099999999999998</v>
      </c>
      <c r="E289" s="1">
        <f ca="1">IFERROR(__xludf.DUMMYFUNCTION("""COMPUTED_VALUE"""),2.03)</f>
        <v>2.0299999999999998</v>
      </c>
      <c r="F289" s="1">
        <f ca="1">IFERROR(__xludf.DUMMYFUNCTION("""COMPUTED_VALUE"""),57300)</f>
        <v>57300</v>
      </c>
      <c r="I289" s="1"/>
    </row>
    <row r="290" spans="1:9">
      <c r="A290" s="3">
        <f ca="1">IFERROR(__xludf.DUMMYFUNCTION("""COMPUTED_VALUE"""),29640.6666666666)</f>
        <v>29640.666666666599</v>
      </c>
      <c r="B290" s="1">
        <f ca="1">IFERROR(__xludf.DUMMYFUNCTION("""COMPUTED_VALUE"""),2.05)</f>
        <v>2.0499999999999998</v>
      </c>
      <c r="C290" s="1">
        <f ca="1">IFERROR(__xludf.DUMMYFUNCTION("""COMPUTED_VALUE"""),2.05)</f>
        <v>2.0499999999999998</v>
      </c>
      <c r="D290" s="1">
        <f ca="1">IFERROR(__xludf.DUMMYFUNCTION("""COMPUTED_VALUE"""),2.01)</f>
        <v>2.0099999999999998</v>
      </c>
      <c r="E290" s="1">
        <f ca="1">IFERROR(__xludf.DUMMYFUNCTION("""COMPUTED_VALUE"""),2.05)</f>
        <v>2.0499999999999998</v>
      </c>
      <c r="F290" s="1">
        <f ca="1">IFERROR(__xludf.DUMMYFUNCTION("""COMPUTED_VALUE"""),69200)</f>
        <v>69200</v>
      </c>
      <c r="I290" s="1"/>
    </row>
    <row r="291" spans="1:9">
      <c r="A291" s="3">
        <f ca="1">IFERROR(__xludf.DUMMYFUNCTION("""COMPUTED_VALUE"""),29641.6666666666)</f>
        <v>29641.666666666599</v>
      </c>
      <c r="B291" s="1">
        <f ca="1">IFERROR(__xludf.DUMMYFUNCTION("""COMPUTED_VALUE"""),2.07)</f>
        <v>2.0699999999999998</v>
      </c>
      <c r="C291" s="1">
        <f ca="1">IFERROR(__xludf.DUMMYFUNCTION("""COMPUTED_VALUE"""),2.08)</f>
        <v>2.08</v>
      </c>
      <c r="D291" s="1">
        <f ca="1">IFERROR(__xludf.DUMMYFUNCTION("""COMPUTED_VALUE"""),2.04)</f>
        <v>2.04</v>
      </c>
      <c r="E291" s="1">
        <f ca="1">IFERROR(__xludf.DUMMYFUNCTION("""COMPUTED_VALUE"""),2.07)</f>
        <v>2.0699999999999998</v>
      </c>
      <c r="F291" s="1">
        <f ca="1">IFERROR(__xludf.DUMMYFUNCTION("""COMPUTED_VALUE"""),61800)</f>
        <v>61800</v>
      </c>
      <c r="I291" s="1"/>
    </row>
    <row r="292" spans="1:9">
      <c r="A292" s="3">
        <f ca="1">IFERROR(__xludf.DUMMYFUNCTION("""COMPUTED_VALUE"""),29642.6666666666)</f>
        <v>29642.666666666599</v>
      </c>
      <c r="B292" s="1">
        <f ca="1">IFERROR(__xludf.DUMMYFUNCTION("""COMPUTED_VALUE"""),2.1)</f>
        <v>2.1</v>
      </c>
      <c r="C292" s="1">
        <f ca="1">IFERROR(__xludf.DUMMYFUNCTION("""COMPUTED_VALUE"""),2.1)</f>
        <v>2.1</v>
      </c>
      <c r="D292" s="1">
        <f ca="1">IFERROR(__xludf.DUMMYFUNCTION("""COMPUTED_VALUE"""),2.06)</f>
        <v>2.06</v>
      </c>
      <c r="E292" s="1">
        <f ca="1">IFERROR(__xludf.DUMMYFUNCTION("""COMPUTED_VALUE"""),2.1)</f>
        <v>2.1</v>
      </c>
      <c r="F292" s="1">
        <f ca="1">IFERROR(__xludf.DUMMYFUNCTION("""COMPUTED_VALUE"""),50900)</f>
        <v>50900</v>
      </c>
      <c r="I292" s="1"/>
    </row>
    <row r="293" spans="1:9">
      <c r="A293" s="3">
        <f ca="1">IFERROR(__xludf.DUMMYFUNCTION("""COMPUTED_VALUE"""),29643.6666666666)</f>
        <v>29643.666666666599</v>
      </c>
      <c r="B293" s="1">
        <f ca="1">IFERROR(__xludf.DUMMYFUNCTION("""COMPUTED_VALUE"""),2.15)</f>
        <v>2.15</v>
      </c>
      <c r="C293" s="1">
        <f ca="1">IFERROR(__xludf.DUMMYFUNCTION("""COMPUTED_VALUE"""),2.17)</f>
        <v>2.17</v>
      </c>
      <c r="D293" s="1">
        <f ca="1">IFERROR(__xludf.DUMMYFUNCTION("""COMPUTED_VALUE"""),2.12)</f>
        <v>2.12</v>
      </c>
      <c r="E293" s="1">
        <f ca="1">IFERROR(__xludf.DUMMYFUNCTION("""COMPUTED_VALUE"""),2.15)</f>
        <v>2.15</v>
      </c>
      <c r="F293" s="1">
        <f ca="1">IFERROR(__xludf.DUMMYFUNCTION("""COMPUTED_VALUE"""),197000)</f>
        <v>197000</v>
      </c>
      <c r="I293" s="1"/>
    </row>
    <row r="294" spans="1:9">
      <c r="A294" s="3">
        <f ca="1">IFERROR(__xludf.DUMMYFUNCTION("""COMPUTED_VALUE"""),29644.6666666666)</f>
        <v>29644.666666666599</v>
      </c>
      <c r="B294" s="1">
        <f ca="1">IFERROR(__xludf.DUMMYFUNCTION("""COMPUTED_VALUE"""),2.15)</f>
        <v>2.15</v>
      </c>
      <c r="C294" s="1">
        <f ca="1">IFERROR(__xludf.DUMMYFUNCTION("""COMPUTED_VALUE"""),2.15)</f>
        <v>2.15</v>
      </c>
      <c r="D294" s="1">
        <f ca="1">IFERROR(__xludf.DUMMYFUNCTION("""COMPUTED_VALUE"""),2.13)</f>
        <v>2.13</v>
      </c>
      <c r="E294" s="1">
        <f ca="1">IFERROR(__xludf.DUMMYFUNCTION("""COMPUTED_VALUE"""),2.15)</f>
        <v>2.15</v>
      </c>
      <c r="F294" s="1">
        <f ca="1">IFERROR(__xludf.DUMMYFUNCTION("""COMPUTED_VALUE"""),47800)</f>
        <v>47800</v>
      </c>
      <c r="I294" s="1"/>
    </row>
    <row r="295" spans="1:9">
      <c r="A295" s="3">
        <f ca="1">IFERROR(__xludf.DUMMYFUNCTION("""COMPUTED_VALUE"""),29647.6666666666)</f>
        <v>29647.666666666599</v>
      </c>
      <c r="B295" s="1">
        <f ca="1">IFERROR(__xludf.DUMMYFUNCTION("""COMPUTED_VALUE"""),2.14)</f>
        <v>2.14</v>
      </c>
      <c r="C295" s="1">
        <f ca="1">IFERROR(__xludf.DUMMYFUNCTION("""COMPUTED_VALUE"""),2.14)</f>
        <v>2.14</v>
      </c>
      <c r="D295" s="1">
        <f ca="1">IFERROR(__xludf.DUMMYFUNCTION("""COMPUTED_VALUE"""),2.13)</f>
        <v>2.13</v>
      </c>
      <c r="E295" s="1">
        <f ca="1">IFERROR(__xludf.DUMMYFUNCTION("""COMPUTED_VALUE"""),2.14)</f>
        <v>2.14</v>
      </c>
      <c r="F295" s="1">
        <f ca="1">IFERROR(__xludf.DUMMYFUNCTION("""COMPUTED_VALUE"""),31900)</f>
        <v>31900</v>
      </c>
      <c r="I295" s="1"/>
    </row>
    <row r="296" spans="1:9">
      <c r="A296" s="3">
        <f ca="1">IFERROR(__xludf.DUMMYFUNCTION("""COMPUTED_VALUE"""),29648.6666666666)</f>
        <v>29648.666666666599</v>
      </c>
      <c r="B296" s="1">
        <f ca="1">IFERROR(__xludf.DUMMYFUNCTION("""COMPUTED_VALUE"""),2.1)</f>
        <v>2.1</v>
      </c>
      <c r="C296" s="1">
        <f ca="1">IFERROR(__xludf.DUMMYFUNCTION("""COMPUTED_VALUE"""),2.15)</f>
        <v>2.15</v>
      </c>
      <c r="D296" s="1">
        <f ca="1">IFERROR(__xludf.DUMMYFUNCTION("""COMPUTED_VALUE"""),2.1)</f>
        <v>2.1</v>
      </c>
      <c r="E296" s="1">
        <f ca="1">IFERROR(__xludf.DUMMYFUNCTION("""COMPUTED_VALUE"""),2.1)</f>
        <v>2.1</v>
      </c>
      <c r="F296" s="1">
        <f ca="1">IFERROR(__xludf.DUMMYFUNCTION("""COMPUTED_VALUE"""),65400)</f>
        <v>65400</v>
      </c>
      <c r="I296" s="1"/>
    </row>
    <row r="297" spans="1:9">
      <c r="A297" s="3">
        <f ca="1">IFERROR(__xludf.DUMMYFUNCTION("""COMPUTED_VALUE"""),29649.6666666666)</f>
        <v>29649.666666666599</v>
      </c>
      <c r="B297" s="1">
        <f ca="1">IFERROR(__xludf.DUMMYFUNCTION("""COMPUTED_VALUE"""),2.13)</f>
        <v>2.13</v>
      </c>
      <c r="C297" s="1">
        <f ca="1">IFERROR(__xludf.DUMMYFUNCTION("""COMPUTED_VALUE"""),2.13)</f>
        <v>2.13</v>
      </c>
      <c r="D297" s="1">
        <f ca="1">IFERROR(__xludf.DUMMYFUNCTION("""COMPUTED_VALUE"""),2.1)</f>
        <v>2.1</v>
      </c>
      <c r="E297" s="1">
        <f ca="1">IFERROR(__xludf.DUMMYFUNCTION("""COMPUTED_VALUE"""),2.13)</f>
        <v>2.13</v>
      </c>
      <c r="F297" s="1">
        <f ca="1">IFERROR(__xludf.DUMMYFUNCTION("""COMPUTED_VALUE"""),38000)</f>
        <v>38000</v>
      </c>
      <c r="I297" s="1"/>
    </row>
    <row r="298" spans="1:9">
      <c r="A298" s="3">
        <f ca="1">IFERROR(__xludf.DUMMYFUNCTION("""COMPUTED_VALUE"""),29650.6666666666)</f>
        <v>29650.666666666599</v>
      </c>
      <c r="B298" s="1">
        <f ca="1">IFERROR(__xludf.DUMMYFUNCTION("""COMPUTED_VALUE"""),2.13)</f>
        <v>2.13</v>
      </c>
      <c r="C298" s="1">
        <f ca="1">IFERROR(__xludf.DUMMYFUNCTION("""COMPUTED_VALUE"""),2.14)</f>
        <v>2.14</v>
      </c>
      <c r="D298" s="1">
        <f ca="1">IFERROR(__xludf.DUMMYFUNCTION("""COMPUTED_VALUE"""),2.13)</f>
        <v>2.13</v>
      </c>
      <c r="E298" s="1">
        <f ca="1">IFERROR(__xludf.DUMMYFUNCTION("""COMPUTED_VALUE"""),2.13)</f>
        <v>2.13</v>
      </c>
      <c r="F298" s="1">
        <f ca="1">IFERROR(__xludf.DUMMYFUNCTION("""COMPUTED_VALUE"""),82200)</f>
        <v>82200</v>
      </c>
      <c r="I298" s="1"/>
    </row>
    <row r="299" spans="1:9">
      <c r="A299" s="3">
        <f ca="1">IFERROR(__xludf.DUMMYFUNCTION("""COMPUTED_VALUE"""),29651.6666666666)</f>
        <v>29651.666666666599</v>
      </c>
      <c r="B299" s="1">
        <f ca="1">IFERROR(__xludf.DUMMYFUNCTION("""COMPUTED_VALUE"""),2.13)</f>
        <v>2.13</v>
      </c>
      <c r="C299" s="1">
        <f ca="1">IFERROR(__xludf.DUMMYFUNCTION("""COMPUTED_VALUE"""),2.14)</f>
        <v>2.14</v>
      </c>
      <c r="D299" s="1">
        <f ca="1">IFERROR(__xludf.DUMMYFUNCTION("""COMPUTED_VALUE"""),2.12)</f>
        <v>2.12</v>
      </c>
      <c r="E299" s="1">
        <f ca="1">IFERROR(__xludf.DUMMYFUNCTION("""COMPUTED_VALUE"""),2.13)</f>
        <v>2.13</v>
      </c>
      <c r="F299" s="1">
        <f ca="1">IFERROR(__xludf.DUMMYFUNCTION("""COMPUTED_VALUE"""),39700)</f>
        <v>39700</v>
      </c>
      <c r="I299" s="1"/>
    </row>
    <row r="300" spans="1:9">
      <c r="A300" s="3">
        <f ca="1">IFERROR(__xludf.DUMMYFUNCTION("""COMPUTED_VALUE"""),29654.6666666666)</f>
        <v>29654.666666666599</v>
      </c>
      <c r="B300" s="1">
        <f ca="1">IFERROR(__xludf.DUMMYFUNCTION("""COMPUTED_VALUE"""),2.13)</f>
        <v>2.13</v>
      </c>
      <c r="C300" s="1">
        <f ca="1">IFERROR(__xludf.DUMMYFUNCTION("""COMPUTED_VALUE"""),2.13)</f>
        <v>2.13</v>
      </c>
      <c r="D300" s="1">
        <f ca="1">IFERROR(__xludf.DUMMYFUNCTION("""COMPUTED_VALUE"""),2.12)</f>
        <v>2.12</v>
      </c>
      <c r="E300" s="1">
        <f ca="1">IFERROR(__xludf.DUMMYFUNCTION("""COMPUTED_VALUE"""),2.13)</f>
        <v>2.13</v>
      </c>
      <c r="F300" s="1">
        <f ca="1">IFERROR(__xludf.DUMMYFUNCTION("""COMPUTED_VALUE"""),48100)</f>
        <v>48100</v>
      </c>
      <c r="I300" s="1"/>
    </row>
    <row r="301" spans="1:9">
      <c r="A301" s="3">
        <f ca="1">IFERROR(__xludf.DUMMYFUNCTION("""COMPUTED_VALUE"""),29655.6666666666)</f>
        <v>29655.666666666599</v>
      </c>
      <c r="B301" s="1">
        <f ca="1">IFERROR(__xludf.DUMMYFUNCTION("""COMPUTED_VALUE"""),2.12)</f>
        <v>2.12</v>
      </c>
      <c r="C301" s="1">
        <f ca="1">IFERROR(__xludf.DUMMYFUNCTION("""COMPUTED_VALUE"""),2.15)</f>
        <v>2.15</v>
      </c>
      <c r="D301" s="1">
        <f ca="1">IFERROR(__xludf.DUMMYFUNCTION("""COMPUTED_VALUE"""),2.12)</f>
        <v>2.12</v>
      </c>
      <c r="E301" s="1">
        <f ca="1">IFERROR(__xludf.DUMMYFUNCTION("""COMPUTED_VALUE"""),2.12)</f>
        <v>2.12</v>
      </c>
      <c r="F301" s="1">
        <f ca="1">IFERROR(__xludf.DUMMYFUNCTION("""COMPUTED_VALUE"""),191200)</f>
        <v>191200</v>
      </c>
      <c r="I301" s="1"/>
    </row>
    <row r="302" spans="1:9">
      <c r="A302" s="3">
        <f ca="1">IFERROR(__xludf.DUMMYFUNCTION("""COMPUTED_VALUE"""),29656.6666666666)</f>
        <v>29656.666666666599</v>
      </c>
      <c r="B302" s="1">
        <f ca="1">IFERROR(__xludf.DUMMYFUNCTION("""COMPUTED_VALUE"""),2.12)</f>
        <v>2.12</v>
      </c>
      <c r="C302" s="1">
        <f ca="1">IFERROR(__xludf.DUMMYFUNCTION("""COMPUTED_VALUE"""),2.12)</f>
        <v>2.12</v>
      </c>
      <c r="D302" s="1">
        <f ca="1">IFERROR(__xludf.DUMMYFUNCTION("""COMPUTED_VALUE"""),2.1)</f>
        <v>2.1</v>
      </c>
      <c r="E302" s="1">
        <f ca="1">IFERROR(__xludf.DUMMYFUNCTION("""COMPUTED_VALUE"""),2.12)</f>
        <v>2.12</v>
      </c>
      <c r="F302" s="1">
        <f ca="1">IFERROR(__xludf.DUMMYFUNCTION("""COMPUTED_VALUE"""),64100)</f>
        <v>64100</v>
      </c>
      <c r="I302" s="1"/>
    </row>
    <row r="303" spans="1:9">
      <c r="A303" s="3">
        <f ca="1">IFERROR(__xludf.DUMMYFUNCTION("""COMPUTED_VALUE"""),29657.6666666666)</f>
        <v>29657.666666666599</v>
      </c>
      <c r="B303" s="1">
        <f ca="1">IFERROR(__xludf.DUMMYFUNCTION("""COMPUTED_VALUE"""),2.16)</f>
        <v>2.16</v>
      </c>
      <c r="C303" s="1">
        <f ca="1">IFERROR(__xludf.DUMMYFUNCTION("""COMPUTED_VALUE"""),2.16)</f>
        <v>2.16</v>
      </c>
      <c r="D303" s="1">
        <f ca="1">IFERROR(__xludf.DUMMYFUNCTION("""COMPUTED_VALUE"""),2.12)</f>
        <v>2.12</v>
      </c>
      <c r="E303" s="1">
        <f ca="1">IFERROR(__xludf.DUMMYFUNCTION("""COMPUTED_VALUE"""),2.16)</f>
        <v>2.16</v>
      </c>
      <c r="F303" s="1">
        <f ca="1">IFERROR(__xludf.DUMMYFUNCTION("""COMPUTED_VALUE"""),117000)</f>
        <v>117000</v>
      </c>
      <c r="I303" s="1"/>
    </row>
    <row r="304" spans="1:9">
      <c r="A304" s="3">
        <f ca="1">IFERROR(__xludf.DUMMYFUNCTION("""COMPUTED_VALUE"""),29658.6666666666)</f>
        <v>29658.666666666599</v>
      </c>
      <c r="B304" s="1">
        <f ca="1">IFERROR(__xludf.DUMMYFUNCTION("""COMPUTED_VALUE"""),2.16)</f>
        <v>2.16</v>
      </c>
      <c r="C304" s="1">
        <f ca="1">IFERROR(__xludf.DUMMYFUNCTION("""COMPUTED_VALUE"""),2.19)</f>
        <v>2.19</v>
      </c>
      <c r="D304" s="1">
        <f ca="1">IFERROR(__xludf.DUMMYFUNCTION("""COMPUTED_VALUE"""),2.16)</f>
        <v>2.16</v>
      </c>
      <c r="E304" s="1">
        <f ca="1">IFERROR(__xludf.DUMMYFUNCTION("""COMPUTED_VALUE"""),2.16)</f>
        <v>2.16</v>
      </c>
      <c r="F304" s="1">
        <f ca="1">IFERROR(__xludf.DUMMYFUNCTION("""COMPUTED_VALUE"""),129900)</f>
        <v>129900</v>
      </c>
      <c r="I304" s="1"/>
    </row>
    <row r="305" spans="1:9">
      <c r="A305" s="3">
        <f ca="1">IFERROR(__xludf.DUMMYFUNCTION("""COMPUTED_VALUE"""),29661.6666666666)</f>
        <v>29661.666666666599</v>
      </c>
      <c r="B305" s="1">
        <f ca="1">IFERROR(__xludf.DUMMYFUNCTION("""COMPUTED_VALUE"""),2.17)</f>
        <v>2.17</v>
      </c>
      <c r="C305" s="1">
        <f ca="1">IFERROR(__xludf.DUMMYFUNCTION("""COMPUTED_VALUE"""),2.18)</f>
        <v>2.1800000000000002</v>
      </c>
      <c r="D305" s="1">
        <f ca="1">IFERROR(__xludf.DUMMYFUNCTION("""COMPUTED_VALUE"""),2.16)</f>
        <v>2.16</v>
      </c>
      <c r="E305" s="1">
        <f ca="1">IFERROR(__xludf.DUMMYFUNCTION("""COMPUTED_VALUE"""),2.17)</f>
        <v>2.17</v>
      </c>
      <c r="F305" s="1">
        <f ca="1">IFERROR(__xludf.DUMMYFUNCTION("""COMPUTED_VALUE"""),46300)</f>
        <v>46300</v>
      </c>
      <c r="I305" s="1"/>
    </row>
    <row r="306" spans="1:9">
      <c r="A306" s="3">
        <f ca="1">IFERROR(__xludf.DUMMYFUNCTION("""COMPUTED_VALUE"""),29662.6666666666)</f>
        <v>29662.666666666599</v>
      </c>
      <c r="B306" s="1">
        <f ca="1">IFERROR(__xludf.DUMMYFUNCTION("""COMPUTED_VALUE"""),2.16)</f>
        <v>2.16</v>
      </c>
      <c r="C306" s="1">
        <f ca="1">IFERROR(__xludf.DUMMYFUNCTION("""COMPUTED_VALUE"""),2.17)</f>
        <v>2.17</v>
      </c>
      <c r="D306" s="1">
        <f ca="1">IFERROR(__xludf.DUMMYFUNCTION("""COMPUTED_VALUE"""),2.14)</f>
        <v>2.14</v>
      </c>
      <c r="E306" s="1">
        <f ca="1">IFERROR(__xludf.DUMMYFUNCTION("""COMPUTED_VALUE"""),2.16)</f>
        <v>2.16</v>
      </c>
      <c r="F306" s="1">
        <f ca="1">IFERROR(__xludf.DUMMYFUNCTION("""COMPUTED_VALUE"""),70400)</f>
        <v>70400</v>
      </c>
      <c r="I306" s="1"/>
    </row>
    <row r="307" spans="1:9">
      <c r="A307" s="3">
        <f ca="1">IFERROR(__xludf.DUMMYFUNCTION("""COMPUTED_VALUE"""),29663.6666666666)</f>
        <v>29663.666666666599</v>
      </c>
      <c r="B307" s="1">
        <f ca="1">IFERROR(__xludf.DUMMYFUNCTION("""COMPUTED_VALUE"""),2.16)</f>
        <v>2.16</v>
      </c>
      <c r="C307" s="1">
        <f ca="1">IFERROR(__xludf.DUMMYFUNCTION("""COMPUTED_VALUE"""),2.17)</f>
        <v>2.17</v>
      </c>
      <c r="D307" s="1">
        <f ca="1">IFERROR(__xludf.DUMMYFUNCTION("""COMPUTED_VALUE"""),2.15)</f>
        <v>2.15</v>
      </c>
      <c r="E307" s="1">
        <f ca="1">IFERROR(__xludf.DUMMYFUNCTION("""COMPUTED_VALUE"""),2.16)</f>
        <v>2.16</v>
      </c>
      <c r="F307" s="1">
        <f ca="1">IFERROR(__xludf.DUMMYFUNCTION("""COMPUTED_VALUE"""),30100)</f>
        <v>30100</v>
      </c>
      <c r="I307" s="1"/>
    </row>
    <row r="308" spans="1:9">
      <c r="A308" s="3">
        <f ca="1">IFERROR(__xludf.DUMMYFUNCTION("""COMPUTED_VALUE"""),29664.6666666666)</f>
        <v>29664.666666666599</v>
      </c>
      <c r="B308" s="1">
        <f ca="1">IFERROR(__xludf.DUMMYFUNCTION("""COMPUTED_VALUE"""),2.14)</f>
        <v>2.14</v>
      </c>
      <c r="C308" s="1">
        <f ca="1">IFERROR(__xludf.DUMMYFUNCTION("""COMPUTED_VALUE"""),2.16)</f>
        <v>2.16</v>
      </c>
      <c r="D308" s="1">
        <f ca="1">IFERROR(__xludf.DUMMYFUNCTION("""COMPUTED_VALUE"""),2.13)</f>
        <v>2.13</v>
      </c>
      <c r="E308" s="1">
        <f ca="1">IFERROR(__xludf.DUMMYFUNCTION("""COMPUTED_VALUE"""),2.14)</f>
        <v>2.14</v>
      </c>
      <c r="F308" s="1">
        <f ca="1">IFERROR(__xludf.DUMMYFUNCTION("""COMPUTED_VALUE"""),52600)</f>
        <v>52600</v>
      </c>
      <c r="I308" s="1"/>
    </row>
    <row r="309" spans="1:9">
      <c r="A309" s="3">
        <f ca="1">IFERROR(__xludf.DUMMYFUNCTION("""COMPUTED_VALUE"""),29665.6666666666)</f>
        <v>29665.666666666599</v>
      </c>
      <c r="B309" s="1">
        <f ca="1">IFERROR(__xludf.DUMMYFUNCTION("""COMPUTED_VALUE"""),2.16)</f>
        <v>2.16</v>
      </c>
      <c r="C309" s="1">
        <f ca="1">IFERROR(__xludf.DUMMYFUNCTION("""COMPUTED_VALUE"""),2.17)</f>
        <v>2.17</v>
      </c>
      <c r="D309" s="1">
        <f ca="1">IFERROR(__xludf.DUMMYFUNCTION("""COMPUTED_VALUE"""),2.12)</f>
        <v>2.12</v>
      </c>
      <c r="E309" s="1">
        <f ca="1">IFERROR(__xludf.DUMMYFUNCTION("""COMPUTED_VALUE"""),2.16)</f>
        <v>2.16</v>
      </c>
      <c r="F309" s="1">
        <f ca="1">IFERROR(__xludf.DUMMYFUNCTION("""COMPUTED_VALUE"""),82300)</f>
        <v>82300</v>
      </c>
      <c r="I309" s="1"/>
    </row>
    <row r="310" spans="1:9">
      <c r="A310" s="3">
        <f ca="1">IFERROR(__xludf.DUMMYFUNCTION("""COMPUTED_VALUE"""),29668.6666666666)</f>
        <v>29668.666666666599</v>
      </c>
      <c r="B310" s="1">
        <f ca="1">IFERROR(__xludf.DUMMYFUNCTION("""COMPUTED_VALUE"""),2.17)</f>
        <v>2.17</v>
      </c>
      <c r="C310" s="1">
        <f ca="1">IFERROR(__xludf.DUMMYFUNCTION("""COMPUTED_VALUE"""),2.18)</f>
        <v>2.1800000000000002</v>
      </c>
      <c r="D310" s="1">
        <f ca="1">IFERROR(__xludf.DUMMYFUNCTION("""COMPUTED_VALUE"""),2.15)</f>
        <v>2.15</v>
      </c>
      <c r="E310" s="1">
        <f ca="1">IFERROR(__xludf.DUMMYFUNCTION("""COMPUTED_VALUE"""),2.17)</f>
        <v>2.17</v>
      </c>
      <c r="F310" s="1">
        <f ca="1">IFERROR(__xludf.DUMMYFUNCTION("""COMPUTED_VALUE"""),43600)</f>
        <v>43600</v>
      </c>
      <c r="I310" s="1"/>
    </row>
    <row r="311" spans="1:9">
      <c r="A311" s="3">
        <f ca="1">IFERROR(__xludf.DUMMYFUNCTION("""COMPUTED_VALUE"""),29669.6666666666)</f>
        <v>29669.666666666599</v>
      </c>
      <c r="B311" s="1">
        <f ca="1">IFERROR(__xludf.DUMMYFUNCTION("""COMPUTED_VALUE"""),2.14)</f>
        <v>2.14</v>
      </c>
      <c r="C311" s="1">
        <f ca="1">IFERROR(__xludf.DUMMYFUNCTION("""COMPUTED_VALUE"""),2.18)</f>
        <v>2.1800000000000002</v>
      </c>
      <c r="D311" s="1">
        <f ca="1">IFERROR(__xludf.DUMMYFUNCTION("""COMPUTED_VALUE"""),2.14)</f>
        <v>2.14</v>
      </c>
      <c r="E311" s="1">
        <f ca="1">IFERROR(__xludf.DUMMYFUNCTION("""COMPUTED_VALUE"""),2.14)</f>
        <v>2.14</v>
      </c>
      <c r="F311" s="1">
        <f ca="1">IFERROR(__xludf.DUMMYFUNCTION("""COMPUTED_VALUE"""),96600)</f>
        <v>96600</v>
      </c>
      <c r="I311" s="1"/>
    </row>
    <row r="312" spans="1:9">
      <c r="A312" s="3">
        <f ca="1">IFERROR(__xludf.DUMMYFUNCTION("""COMPUTED_VALUE"""),29670.6666666666)</f>
        <v>29670.666666666599</v>
      </c>
      <c r="B312" s="1">
        <f ca="1">IFERROR(__xludf.DUMMYFUNCTION("""COMPUTED_VALUE"""),2.17)</f>
        <v>2.17</v>
      </c>
      <c r="C312" s="1">
        <f ca="1">IFERROR(__xludf.DUMMYFUNCTION("""COMPUTED_VALUE"""),2.17)</f>
        <v>2.17</v>
      </c>
      <c r="D312" s="1">
        <f ca="1">IFERROR(__xludf.DUMMYFUNCTION("""COMPUTED_VALUE"""),2.13)</f>
        <v>2.13</v>
      </c>
      <c r="E312" s="1">
        <f ca="1">IFERROR(__xludf.DUMMYFUNCTION("""COMPUTED_VALUE"""),2.17)</f>
        <v>2.17</v>
      </c>
      <c r="F312" s="1">
        <f ca="1">IFERROR(__xludf.DUMMYFUNCTION("""COMPUTED_VALUE"""),38400)</f>
        <v>38400</v>
      </c>
      <c r="I312" s="1"/>
    </row>
    <row r="313" spans="1:9">
      <c r="A313" s="3">
        <f ca="1">IFERROR(__xludf.DUMMYFUNCTION("""COMPUTED_VALUE"""),29671.6666666666)</f>
        <v>29671.666666666599</v>
      </c>
      <c r="B313" s="1">
        <f ca="1">IFERROR(__xludf.DUMMYFUNCTION("""COMPUTED_VALUE"""),2.15)</f>
        <v>2.15</v>
      </c>
      <c r="C313" s="1">
        <f ca="1">IFERROR(__xludf.DUMMYFUNCTION("""COMPUTED_VALUE"""),2.17)</f>
        <v>2.17</v>
      </c>
      <c r="D313" s="1">
        <f ca="1">IFERROR(__xludf.DUMMYFUNCTION("""COMPUTED_VALUE"""),2.13)</f>
        <v>2.13</v>
      </c>
      <c r="E313" s="1">
        <f ca="1">IFERROR(__xludf.DUMMYFUNCTION("""COMPUTED_VALUE"""),2.15)</f>
        <v>2.15</v>
      </c>
      <c r="F313" s="1">
        <f ca="1">IFERROR(__xludf.DUMMYFUNCTION("""COMPUTED_VALUE"""),115500)</f>
        <v>115500</v>
      </c>
      <c r="I313" s="1"/>
    </row>
    <row r="314" spans="1:9">
      <c r="A314" s="3">
        <f ca="1">IFERROR(__xludf.DUMMYFUNCTION("""COMPUTED_VALUE"""),29672.6666666666)</f>
        <v>29672.666666666599</v>
      </c>
      <c r="B314" s="1">
        <f ca="1">IFERROR(__xludf.DUMMYFUNCTION("""COMPUTED_VALUE"""),2.14)</f>
        <v>2.14</v>
      </c>
      <c r="C314" s="1">
        <f ca="1">IFERROR(__xludf.DUMMYFUNCTION("""COMPUTED_VALUE"""),2.15)</f>
        <v>2.15</v>
      </c>
      <c r="D314" s="1">
        <f ca="1">IFERROR(__xludf.DUMMYFUNCTION("""COMPUTED_VALUE"""),2.14)</f>
        <v>2.14</v>
      </c>
      <c r="E314" s="1">
        <f ca="1">IFERROR(__xludf.DUMMYFUNCTION("""COMPUTED_VALUE"""),2.14)</f>
        <v>2.14</v>
      </c>
      <c r="F314" s="1">
        <f ca="1">IFERROR(__xludf.DUMMYFUNCTION("""COMPUTED_VALUE"""),26200)</f>
        <v>26200</v>
      </c>
      <c r="I314" s="1"/>
    </row>
    <row r="315" spans="1:9">
      <c r="A315" s="3">
        <f ca="1">IFERROR(__xludf.DUMMYFUNCTION("""COMPUTED_VALUE"""),29675.6666666666)</f>
        <v>29675.666666666599</v>
      </c>
      <c r="B315" s="1">
        <f ca="1">IFERROR(__xludf.DUMMYFUNCTION("""COMPUTED_VALUE"""),2.13)</f>
        <v>2.13</v>
      </c>
      <c r="C315" s="1">
        <f ca="1">IFERROR(__xludf.DUMMYFUNCTION("""COMPUTED_VALUE"""),2.15)</f>
        <v>2.15</v>
      </c>
      <c r="D315" s="1">
        <f ca="1">IFERROR(__xludf.DUMMYFUNCTION("""COMPUTED_VALUE"""),2.13)</f>
        <v>2.13</v>
      </c>
      <c r="E315" s="1">
        <f ca="1">IFERROR(__xludf.DUMMYFUNCTION("""COMPUTED_VALUE"""),2.13)</f>
        <v>2.13</v>
      </c>
      <c r="F315" s="1">
        <f ca="1">IFERROR(__xludf.DUMMYFUNCTION("""COMPUTED_VALUE"""),30200)</f>
        <v>30200</v>
      </c>
      <c r="I315" s="1"/>
    </row>
    <row r="316" spans="1:9">
      <c r="A316" s="3">
        <f ca="1">IFERROR(__xludf.DUMMYFUNCTION("""COMPUTED_VALUE"""),29676.6666666666)</f>
        <v>29676.666666666599</v>
      </c>
      <c r="B316" s="1">
        <f ca="1">IFERROR(__xludf.DUMMYFUNCTION("""COMPUTED_VALUE"""),2.16)</f>
        <v>2.16</v>
      </c>
      <c r="C316" s="1">
        <f ca="1">IFERROR(__xludf.DUMMYFUNCTION("""COMPUTED_VALUE"""),2.16)</f>
        <v>2.16</v>
      </c>
      <c r="D316" s="1">
        <f ca="1">IFERROR(__xludf.DUMMYFUNCTION("""COMPUTED_VALUE"""),2.14)</f>
        <v>2.14</v>
      </c>
      <c r="E316" s="1">
        <f ca="1">IFERROR(__xludf.DUMMYFUNCTION("""COMPUTED_VALUE"""),2.16)</f>
        <v>2.16</v>
      </c>
      <c r="F316" s="1">
        <f ca="1">IFERROR(__xludf.DUMMYFUNCTION("""COMPUTED_VALUE"""),55800)</f>
        <v>55800</v>
      </c>
      <c r="I316" s="1"/>
    </row>
    <row r="317" spans="1:9">
      <c r="A317" s="3">
        <f ca="1">IFERROR(__xludf.DUMMYFUNCTION("""COMPUTED_VALUE"""),29677.6666666666)</f>
        <v>29677.666666666599</v>
      </c>
      <c r="B317" s="1">
        <f ca="1">IFERROR(__xludf.DUMMYFUNCTION("""COMPUTED_VALUE"""),2.14)</f>
        <v>2.14</v>
      </c>
      <c r="C317" s="1">
        <f ca="1">IFERROR(__xludf.DUMMYFUNCTION("""COMPUTED_VALUE"""),2.16)</f>
        <v>2.16</v>
      </c>
      <c r="D317" s="1">
        <f ca="1">IFERROR(__xludf.DUMMYFUNCTION("""COMPUTED_VALUE"""),2.14)</f>
        <v>2.14</v>
      </c>
      <c r="E317" s="1">
        <f ca="1">IFERROR(__xludf.DUMMYFUNCTION("""COMPUTED_VALUE"""),2.14)</f>
        <v>2.14</v>
      </c>
      <c r="F317" s="1">
        <f ca="1">IFERROR(__xludf.DUMMYFUNCTION("""COMPUTED_VALUE"""),38600)</f>
        <v>38600</v>
      </c>
      <c r="I317" s="1"/>
    </row>
    <row r="318" spans="1:9">
      <c r="A318" s="3">
        <f ca="1">IFERROR(__xludf.DUMMYFUNCTION("""COMPUTED_VALUE"""),29678.6666666666)</f>
        <v>29678.666666666599</v>
      </c>
      <c r="B318" s="1">
        <f ca="1">IFERROR(__xludf.DUMMYFUNCTION("""COMPUTED_VALUE"""),2.14)</f>
        <v>2.14</v>
      </c>
      <c r="C318" s="1">
        <f ca="1">IFERROR(__xludf.DUMMYFUNCTION("""COMPUTED_VALUE"""),2.14)</f>
        <v>2.14</v>
      </c>
      <c r="D318" s="1">
        <f ca="1">IFERROR(__xludf.DUMMYFUNCTION("""COMPUTED_VALUE"""),2.1)</f>
        <v>2.1</v>
      </c>
      <c r="E318" s="1">
        <f ca="1">IFERROR(__xludf.DUMMYFUNCTION("""COMPUTED_VALUE"""),2.14)</f>
        <v>2.14</v>
      </c>
      <c r="F318" s="1">
        <f ca="1">IFERROR(__xludf.DUMMYFUNCTION("""COMPUTED_VALUE"""),49600)</f>
        <v>49600</v>
      </c>
      <c r="I318" s="1"/>
    </row>
    <row r="319" spans="1:9">
      <c r="A319" s="3">
        <f ca="1">IFERROR(__xludf.DUMMYFUNCTION("""COMPUTED_VALUE"""),29679.6666666666)</f>
        <v>29679.666666666599</v>
      </c>
      <c r="B319" s="1">
        <f ca="1">IFERROR(__xludf.DUMMYFUNCTION("""COMPUTED_VALUE"""),2.14)</f>
        <v>2.14</v>
      </c>
      <c r="C319" s="1">
        <f ca="1">IFERROR(__xludf.DUMMYFUNCTION("""COMPUTED_VALUE"""),2.14)</f>
        <v>2.14</v>
      </c>
      <c r="D319" s="1">
        <f ca="1">IFERROR(__xludf.DUMMYFUNCTION("""COMPUTED_VALUE"""),2.12)</f>
        <v>2.12</v>
      </c>
      <c r="E319" s="1">
        <f ca="1">IFERROR(__xludf.DUMMYFUNCTION("""COMPUTED_VALUE"""),2.14)</f>
        <v>2.14</v>
      </c>
      <c r="F319" s="1">
        <f ca="1">IFERROR(__xludf.DUMMYFUNCTION("""COMPUTED_VALUE"""),97000)</f>
        <v>97000</v>
      </c>
      <c r="I319" s="1"/>
    </row>
    <row r="320" spans="1:9">
      <c r="A320" s="3">
        <f ca="1">IFERROR(__xludf.DUMMYFUNCTION("""COMPUTED_VALUE"""),29682.6666666666)</f>
        <v>29682.666666666599</v>
      </c>
      <c r="B320" s="1">
        <f ca="1">IFERROR(__xludf.DUMMYFUNCTION("""COMPUTED_VALUE"""),2.14)</f>
        <v>2.14</v>
      </c>
      <c r="C320" s="1">
        <f ca="1">IFERROR(__xludf.DUMMYFUNCTION("""COMPUTED_VALUE"""),2.14)</f>
        <v>2.14</v>
      </c>
      <c r="D320" s="1">
        <f ca="1">IFERROR(__xludf.DUMMYFUNCTION("""COMPUTED_VALUE"""),2.13)</f>
        <v>2.13</v>
      </c>
      <c r="E320" s="1">
        <f ca="1">IFERROR(__xludf.DUMMYFUNCTION("""COMPUTED_VALUE"""),2.14)</f>
        <v>2.14</v>
      </c>
      <c r="F320" s="1">
        <f ca="1">IFERROR(__xludf.DUMMYFUNCTION("""COMPUTED_VALUE"""),42000)</f>
        <v>42000</v>
      </c>
      <c r="I320" s="1"/>
    </row>
    <row r="321" spans="1:9">
      <c r="A321" s="3">
        <f ca="1">IFERROR(__xludf.DUMMYFUNCTION("""COMPUTED_VALUE"""),29683.6666666666)</f>
        <v>29683.666666666599</v>
      </c>
      <c r="B321" s="1">
        <f ca="1">IFERROR(__xludf.DUMMYFUNCTION("""COMPUTED_VALUE"""),2.14)</f>
        <v>2.14</v>
      </c>
      <c r="C321" s="1">
        <f ca="1">IFERROR(__xludf.DUMMYFUNCTION("""COMPUTED_VALUE"""),2.15)</f>
        <v>2.15</v>
      </c>
      <c r="D321" s="1">
        <f ca="1">IFERROR(__xludf.DUMMYFUNCTION("""COMPUTED_VALUE"""),2.14)</f>
        <v>2.14</v>
      </c>
      <c r="E321" s="1">
        <f ca="1">IFERROR(__xludf.DUMMYFUNCTION("""COMPUTED_VALUE"""),2.14)</f>
        <v>2.14</v>
      </c>
      <c r="F321" s="1">
        <f ca="1">IFERROR(__xludf.DUMMYFUNCTION("""COMPUTED_VALUE"""),67600)</f>
        <v>67600</v>
      </c>
      <c r="I321" s="1"/>
    </row>
    <row r="322" spans="1:9">
      <c r="A322" s="3">
        <f ca="1">IFERROR(__xludf.DUMMYFUNCTION("""COMPUTED_VALUE"""),29684.6666666666)</f>
        <v>29684.666666666599</v>
      </c>
      <c r="B322" s="1">
        <f ca="1">IFERROR(__xludf.DUMMYFUNCTION("""COMPUTED_VALUE"""),2.19)</f>
        <v>2.19</v>
      </c>
      <c r="C322" s="1">
        <f ca="1">IFERROR(__xludf.DUMMYFUNCTION("""COMPUTED_VALUE"""),2.2)</f>
        <v>2.2000000000000002</v>
      </c>
      <c r="D322" s="1">
        <f ca="1">IFERROR(__xludf.DUMMYFUNCTION("""COMPUTED_VALUE"""),2.14)</f>
        <v>2.14</v>
      </c>
      <c r="E322" s="1">
        <f ca="1">IFERROR(__xludf.DUMMYFUNCTION("""COMPUTED_VALUE"""),2.19)</f>
        <v>2.19</v>
      </c>
      <c r="F322" s="1">
        <f ca="1">IFERROR(__xludf.DUMMYFUNCTION("""COMPUTED_VALUE"""),176000)</f>
        <v>176000</v>
      </c>
      <c r="I322" s="1"/>
    </row>
    <row r="323" spans="1:9">
      <c r="A323" s="3">
        <f ca="1">IFERROR(__xludf.DUMMYFUNCTION("""COMPUTED_VALUE"""),29685.6666666666)</f>
        <v>29685.666666666599</v>
      </c>
      <c r="B323" s="1">
        <f ca="1">IFERROR(__xludf.DUMMYFUNCTION("""COMPUTED_VALUE"""),2.21)</f>
        <v>2.21</v>
      </c>
      <c r="C323" s="1">
        <f ca="1">IFERROR(__xludf.DUMMYFUNCTION("""COMPUTED_VALUE"""),2.22)</f>
        <v>2.2200000000000002</v>
      </c>
      <c r="D323" s="1">
        <f ca="1">IFERROR(__xludf.DUMMYFUNCTION("""COMPUTED_VALUE"""),2.19)</f>
        <v>2.19</v>
      </c>
      <c r="E323" s="1">
        <f ca="1">IFERROR(__xludf.DUMMYFUNCTION("""COMPUTED_VALUE"""),2.21)</f>
        <v>2.21</v>
      </c>
      <c r="F323" s="1">
        <f ca="1">IFERROR(__xludf.DUMMYFUNCTION("""COMPUTED_VALUE"""),120400)</f>
        <v>120400</v>
      </c>
      <c r="I323" s="1"/>
    </row>
    <row r="324" spans="1:9">
      <c r="A324" s="3">
        <f ca="1">IFERROR(__xludf.DUMMYFUNCTION("""COMPUTED_VALUE"""),29686.6666666666)</f>
        <v>29686.666666666599</v>
      </c>
      <c r="B324" s="1">
        <f ca="1">IFERROR(__xludf.DUMMYFUNCTION("""COMPUTED_VALUE"""),2.23)</f>
        <v>2.23</v>
      </c>
      <c r="C324" s="1">
        <f ca="1">IFERROR(__xludf.DUMMYFUNCTION("""COMPUTED_VALUE"""),2.23)</f>
        <v>2.23</v>
      </c>
      <c r="D324" s="1">
        <f ca="1">IFERROR(__xludf.DUMMYFUNCTION("""COMPUTED_VALUE"""),2.21)</f>
        <v>2.21</v>
      </c>
      <c r="E324" s="1">
        <f ca="1">IFERROR(__xludf.DUMMYFUNCTION("""COMPUTED_VALUE"""),2.23)</f>
        <v>2.23</v>
      </c>
      <c r="F324" s="1">
        <f ca="1">IFERROR(__xludf.DUMMYFUNCTION("""COMPUTED_VALUE"""),77700)</f>
        <v>77700</v>
      </c>
      <c r="I324" s="1"/>
    </row>
    <row r="325" spans="1:9">
      <c r="A325" s="3">
        <f ca="1">IFERROR(__xludf.DUMMYFUNCTION("""COMPUTED_VALUE"""),29689.6666666666)</f>
        <v>29689.666666666599</v>
      </c>
      <c r="B325" s="1">
        <f ca="1">IFERROR(__xludf.DUMMYFUNCTION("""COMPUTED_VALUE"""),2.23)</f>
        <v>2.23</v>
      </c>
      <c r="C325" s="1">
        <f ca="1">IFERROR(__xludf.DUMMYFUNCTION("""COMPUTED_VALUE"""),2.24)</f>
        <v>2.2400000000000002</v>
      </c>
      <c r="D325" s="1">
        <f ca="1">IFERROR(__xludf.DUMMYFUNCTION("""COMPUTED_VALUE"""),2.22)</f>
        <v>2.2200000000000002</v>
      </c>
      <c r="E325" s="1">
        <f ca="1">IFERROR(__xludf.DUMMYFUNCTION("""COMPUTED_VALUE"""),2.23)</f>
        <v>2.23</v>
      </c>
      <c r="F325" s="1">
        <f ca="1">IFERROR(__xludf.DUMMYFUNCTION("""COMPUTED_VALUE"""),85700)</f>
        <v>85700</v>
      </c>
      <c r="I325" s="1"/>
    </row>
    <row r="326" spans="1:9">
      <c r="A326" s="3">
        <f ca="1">IFERROR(__xludf.DUMMYFUNCTION("""COMPUTED_VALUE"""),29690.6666666666)</f>
        <v>29690.666666666599</v>
      </c>
      <c r="B326" s="1">
        <f ca="1">IFERROR(__xludf.DUMMYFUNCTION("""COMPUTED_VALUE"""),2.23)</f>
        <v>2.23</v>
      </c>
      <c r="C326" s="1">
        <f ca="1">IFERROR(__xludf.DUMMYFUNCTION("""COMPUTED_VALUE"""),2.24)</f>
        <v>2.2400000000000002</v>
      </c>
      <c r="D326" s="1">
        <f ca="1">IFERROR(__xludf.DUMMYFUNCTION("""COMPUTED_VALUE"""),2.22)</f>
        <v>2.2200000000000002</v>
      </c>
      <c r="E326" s="1">
        <f ca="1">IFERROR(__xludf.DUMMYFUNCTION("""COMPUTED_VALUE"""),2.23)</f>
        <v>2.23</v>
      </c>
      <c r="F326" s="1">
        <f ca="1">IFERROR(__xludf.DUMMYFUNCTION("""COMPUTED_VALUE"""),67300)</f>
        <v>67300</v>
      </c>
      <c r="I326" s="1"/>
    </row>
    <row r="327" spans="1:9">
      <c r="A327" s="3">
        <f ca="1">IFERROR(__xludf.DUMMYFUNCTION("""COMPUTED_VALUE"""),29691.6666666666)</f>
        <v>29691.666666666599</v>
      </c>
      <c r="B327" s="1">
        <f ca="1">IFERROR(__xludf.DUMMYFUNCTION("""COMPUTED_VALUE"""),2.29)</f>
        <v>2.29</v>
      </c>
      <c r="C327" s="1">
        <f ca="1">IFERROR(__xludf.DUMMYFUNCTION("""COMPUTED_VALUE"""),2.3)</f>
        <v>2.2999999999999998</v>
      </c>
      <c r="D327" s="1">
        <f ca="1">IFERROR(__xludf.DUMMYFUNCTION("""COMPUTED_VALUE"""),2.23)</f>
        <v>2.23</v>
      </c>
      <c r="E327" s="1">
        <f ca="1">IFERROR(__xludf.DUMMYFUNCTION("""COMPUTED_VALUE"""),2.29)</f>
        <v>2.29</v>
      </c>
      <c r="F327" s="1">
        <f ca="1">IFERROR(__xludf.DUMMYFUNCTION("""COMPUTED_VALUE"""),142400)</f>
        <v>142400</v>
      </c>
      <c r="I327" s="1"/>
    </row>
    <row r="328" spans="1:9">
      <c r="A328" s="3">
        <f ca="1">IFERROR(__xludf.DUMMYFUNCTION("""COMPUTED_VALUE"""),29692.6666666666)</f>
        <v>29692.666666666599</v>
      </c>
      <c r="B328" s="1">
        <f ca="1">IFERROR(__xludf.DUMMYFUNCTION("""COMPUTED_VALUE"""),2.32)</f>
        <v>2.3199999999999998</v>
      </c>
      <c r="C328" s="1">
        <f ca="1">IFERROR(__xludf.DUMMYFUNCTION("""COMPUTED_VALUE"""),2.33)</f>
        <v>2.33</v>
      </c>
      <c r="D328" s="1">
        <f ca="1">IFERROR(__xludf.DUMMYFUNCTION("""COMPUTED_VALUE"""),2.29)</f>
        <v>2.29</v>
      </c>
      <c r="E328" s="1">
        <f ca="1">IFERROR(__xludf.DUMMYFUNCTION("""COMPUTED_VALUE"""),2.32)</f>
        <v>2.3199999999999998</v>
      </c>
      <c r="F328" s="1">
        <f ca="1">IFERROR(__xludf.DUMMYFUNCTION("""COMPUTED_VALUE"""),70000)</f>
        <v>70000</v>
      </c>
      <c r="I328" s="1"/>
    </row>
    <row r="329" spans="1:9">
      <c r="A329" s="3">
        <f ca="1">IFERROR(__xludf.DUMMYFUNCTION("""COMPUTED_VALUE"""),29696.6666666666)</f>
        <v>29696.666666666599</v>
      </c>
      <c r="B329" s="1">
        <f ca="1">IFERROR(__xludf.DUMMYFUNCTION("""COMPUTED_VALUE"""),2.33)</f>
        <v>2.33</v>
      </c>
      <c r="C329" s="1">
        <f ca="1">IFERROR(__xludf.DUMMYFUNCTION("""COMPUTED_VALUE"""),2.34)</f>
        <v>2.34</v>
      </c>
      <c r="D329" s="1">
        <f ca="1">IFERROR(__xludf.DUMMYFUNCTION("""COMPUTED_VALUE"""),2.3)</f>
        <v>2.2999999999999998</v>
      </c>
      <c r="E329" s="1">
        <f ca="1">IFERROR(__xludf.DUMMYFUNCTION("""COMPUTED_VALUE"""),2.33)</f>
        <v>2.33</v>
      </c>
      <c r="F329" s="1">
        <f ca="1">IFERROR(__xludf.DUMMYFUNCTION("""COMPUTED_VALUE"""),41100)</f>
        <v>41100</v>
      </c>
      <c r="I329" s="1"/>
    </row>
    <row r="330" spans="1:9">
      <c r="A330" s="3">
        <f ca="1">IFERROR(__xludf.DUMMYFUNCTION("""COMPUTED_VALUE"""),29697.6666666666)</f>
        <v>29697.666666666599</v>
      </c>
      <c r="B330" s="1">
        <f ca="1">IFERROR(__xludf.DUMMYFUNCTION("""COMPUTED_VALUE"""),2.28)</f>
        <v>2.2799999999999998</v>
      </c>
      <c r="C330" s="1">
        <f ca="1">IFERROR(__xludf.DUMMYFUNCTION("""COMPUTED_VALUE"""),2.33)</f>
        <v>2.33</v>
      </c>
      <c r="D330" s="1">
        <f ca="1">IFERROR(__xludf.DUMMYFUNCTION("""COMPUTED_VALUE"""),2.28)</f>
        <v>2.2799999999999998</v>
      </c>
      <c r="E330" s="1">
        <f ca="1">IFERROR(__xludf.DUMMYFUNCTION("""COMPUTED_VALUE"""),2.28)</f>
        <v>2.2799999999999998</v>
      </c>
      <c r="F330" s="1">
        <f ca="1">IFERROR(__xludf.DUMMYFUNCTION("""COMPUTED_VALUE"""),38400)</f>
        <v>38400</v>
      </c>
      <c r="I330" s="1"/>
    </row>
    <row r="331" spans="1:9">
      <c r="A331" s="3">
        <f ca="1">IFERROR(__xludf.DUMMYFUNCTION("""COMPUTED_VALUE"""),29698.6666666666)</f>
        <v>29698.666666666599</v>
      </c>
      <c r="B331" s="1">
        <f ca="1">IFERROR(__xludf.DUMMYFUNCTION("""COMPUTED_VALUE"""),2.23)</f>
        <v>2.23</v>
      </c>
      <c r="C331" s="1">
        <f ca="1">IFERROR(__xludf.DUMMYFUNCTION("""COMPUTED_VALUE"""),2.29)</f>
        <v>2.29</v>
      </c>
      <c r="D331" s="1">
        <f ca="1">IFERROR(__xludf.DUMMYFUNCTION("""COMPUTED_VALUE"""),2.23)</f>
        <v>2.23</v>
      </c>
      <c r="E331" s="1">
        <f ca="1">IFERROR(__xludf.DUMMYFUNCTION("""COMPUTED_VALUE"""),2.23)</f>
        <v>2.23</v>
      </c>
      <c r="F331" s="1">
        <f ca="1">IFERROR(__xludf.DUMMYFUNCTION("""COMPUTED_VALUE"""),57500)</f>
        <v>57500</v>
      </c>
      <c r="I331" s="1"/>
    </row>
    <row r="332" spans="1:9">
      <c r="A332" s="3">
        <f ca="1">IFERROR(__xludf.DUMMYFUNCTION("""COMPUTED_VALUE"""),29699.6666666666)</f>
        <v>29699.666666666599</v>
      </c>
      <c r="B332" s="1">
        <f ca="1">IFERROR(__xludf.DUMMYFUNCTION("""COMPUTED_VALUE"""),2.26)</f>
        <v>2.2599999999999998</v>
      </c>
      <c r="C332" s="1">
        <f ca="1">IFERROR(__xludf.DUMMYFUNCTION("""COMPUTED_VALUE"""),2.27)</f>
        <v>2.27</v>
      </c>
      <c r="D332" s="1">
        <f ca="1">IFERROR(__xludf.DUMMYFUNCTION("""COMPUTED_VALUE"""),2.23)</f>
        <v>2.23</v>
      </c>
      <c r="E332" s="1">
        <f ca="1">IFERROR(__xludf.DUMMYFUNCTION("""COMPUTED_VALUE"""),2.26)</f>
        <v>2.2599999999999998</v>
      </c>
      <c r="F332" s="1">
        <f ca="1">IFERROR(__xludf.DUMMYFUNCTION("""COMPUTED_VALUE"""),134000)</f>
        <v>134000</v>
      </c>
      <c r="I332" s="1"/>
    </row>
    <row r="333" spans="1:9">
      <c r="A333" s="3">
        <f ca="1">IFERROR(__xludf.DUMMYFUNCTION("""COMPUTED_VALUE"""),29700.6666666666)</f>
        <v>29700.666666666599</v>
      </c>
      <c r="B333" s="1">
        <f ca="1">IFERROR(__xludf.DUMMYFUNCTION("""COMPUTED_VALUE"""),2.28)</f>
        <v>2.2799999999999998</v>
      </c>
      <c r="C333" s="1">
        <f ca="1">IFERROR(__xludf.DUMMYFUNCTION("""COMPUTED_VALUE"""),2.29)</f>
        <v>2.29</v>
      </c>
      <c r="D333" s="1">
        <f ca="1">IFERROR(__xludf.DUMMYFUNCTION("""COMPUTED_VALUE"""),2.26)</f>
        <v>2.2599999999999998</v>
      </c>
      <c r="E333" s="1">
        <f ca="1">IFERROR(__xludf.DUMMYFUNCTION("""COMPUTED_VALUE"""),2.28)</f>
        <v>2.2799999999999998</v>
      </c>
      <c r="F333" s="1">
        <f ca="1">IFERROR(__xludf.DUMMYFUNCTION("""COMPUTED_VALUE"""),55100)</f>
        <v>55100</v>
      </c>
      <c r="I333" s="1"/>
    </row>
    <row r="334" spans="1:9">
      <c r="A334" s="3">
        <f ca="1">IFERROR(__xludf.DUMMYFUNCTION("""COMPUTED_VALUE"""),29703.6666666666)</f>
        <v>29703.666666666599</v>
      </c>
      <c r="B334" s="1">
        <f ca="1">IFERROR(__xludf.DUMMYFUNCTION("""COMPUTED_VALUE"""),2.29)</f>
        <v>2.29</v>
      </c>
      <c r="C334" s="1">
        <f ca="1">IFERROR(__xludf.DUMMYFUNCTION("""COMPUTED_VALUE"""),2.29)</f>
        <v>2.29</v>
      </c>
      <c r="D334" s="1">
        <f ca="1">IFERROR(__xludf.DUMMYFUNCTION("""COMPUTED_VALUE"""),2.27)</f>
        <v>2.27</v>
      </c>
      <c r="E334" s="1">
        <f ca="1">IFERROR(__xludf.DUMMYFUNCTION("""COMPUTED_VALUE"""),2.29)</f>
        <v>2.29</v>
      </c>
      <c r="F334" s="1">
        <f ca="1">IFERROR(__xludf.DUMMYFUNCTION("""COMPUTED_VALUE"""),42500)</f>
        <v>42500</v>
      </c>
      <c r="I334" s="1"/>
    </row>
    <row r="335" spans="1:9">
      <c r="A335" s="3">
        <f ca="1">IFERROR(__xludf.DUMMYFUNCTION("""COMPUTED_VALUE"""),29704.6666666666)</f>
        <v>29704.666666666599</v>
      </c>
      <c r="B335" s="1">
        <f ca="1">IFERROR(__xludf.DUMMYFUNCTION("""COMPUTED_VALUE"""),2.27)</f>
        <v>2.27</v>
      </c>
      <c r="C335" s="1">
        <f ca="1">IFERROR(__xludf.DUMMYFUNCTION("""COMPUTED_VALUE"""),2.29)</f>
        <v>2.29</v>
      </c>
      <c r="D335" s="1">
        <f ca="1">IFERROR(__xludf.DUMMYFUNCTION("""COMPUTED_VALUE"""),2.26)</f>
        <v>2.2599999999999998</v>
      </c>
      <c r="E335" s="1">
        <f ca="1">IFERROR(__xludf.DUMMYFUNCTION("""COMPUTED_VALUE"""),2.27)</f>
        <v>2.27</v>
      </c>
      <c r="F335" s="1">
        <f ca="1">IFERROR(__xludf.DUMMYFUNCTION("""COMPUTED_VALUE"""),40200)</f>
        <v>40200</v>
      </c>
      <c r="I335" s="1"/>
    </row>
    <row r="336" spans="1:9">
      <c r="A336" s="3">
        <f ca="1">IFERROR(__xludf.DUMMYFUNCTION("""COMPUTED_VALUE"""),29705.6666666666)</f>
        <v>29705.666666666599</v>
      </c>
      <c r="B336" s="1">
        <f ca="1">IFERROR(__xludf.DUMMYFUNCTION("""COMPUTED_VALUE"""),2.23)</f>
        <v>2.23</v>
      </c>
      <c r="C336" s="1">
        <f ca="1">IFERROR(__xludf.DUMMYFUNCTION("""COMPUTED_VALUE"""),2.26)</f>
        <v>2.2599999999999998</v>
      </c>
      <c r="D336" s="1">
        <f ca="1">IFERROR(__xludf.DUMMYFUNCTION("""COMPUTED_VALUE"""),2.22)</f>
        <v>2.2200000000000002</v>
      </c>
      <c r="E336" s="1">
        <f ca="1">IFERROR(__xludf.DUMMYFUNCTION("""COMPUTED_VALUE"""),2.23)</f>
        <v>2.23</v>
      </c>
      <c r="F336" s="1">
        <f ca="1">IFERROR(__xludf.DUMMYFUNCTION("""COMPUTED_VALUE"""),57900)</f>
        <v>57900</v>
      </c>
      <c r="I336" s="1"/>
    </row>
    <row r="337" spans="1:9">
      <c r="A337" s="3">
        <f ca="1">IFERROR(__xludf.DUMMYFUNCTION("""COMPUTED_VALUE"""),29706.6666666666)</f>
        <v>29706.666666666599</v>
      </c>
      <c r="B337" s="1">
        <f ca="1">IFERROR(__xludf.DUMMYFUNCTION("""COMPUTED_VALUE"""),2.22)</f>
        <v>2.2200000000000002</v>
      </c>
      <c r="C337" s="1">
        <f ca="1">IFERROR(__xludf.DUMMYFUNCTION("""COMPUTED_VALUE"""),2.24)</f>
        <v>2.2400000000000002</v>
      </c>
      <c r="D337" s="1">
        <f ca="1">IFERROR(__xludf.DUMMYFUNCTION("""COMPUTED_VALUE"""),2.22)</f>
        <v>2.2200000000000002</v>
      </c>
      <c r="E337" s="1">
        <f ca="1">IFERROR(__xludf.DUMMYFUNCTION("""COMPUTED_VALUE"""),2.22)</f>
        <v>2.2200000000000002</v>
      </c>
      <c r="F337" s="1">
        <f ca="1">IFERROR(__xludf.DUMMYFUNCTION("""COMPUTED_VALUE"""),52700)</f>
        <v>52700</v>
      </c>
      <c r="I337" s="1"/>
    </row>
    <row r="338" spans="1:9">
      <c r="A338" s="3">
        <f ca="1">IFERROR(__xludf.DUMMYFUNCTION("""COMPUTED_VALUE"""),29707.6666666666)</f>
        <v>29707.666666666599</v>
      </c>
      <c r="B338" s="1">
        <f ca="1">IFERROR(__xludf.DUMMYFUNCTION("""COMPUTED_VALUE"""),2.25)</f>
        <v>2.25</v>
      </c>
      <c r="C338" s="1">
        <f ca="1">IFERROR(__xludf.DUMMYFUNCTION("""COMPUTED_VALUE"""),2.25)</f>
        <v>2.25</v>
      </c>
      <c r="D338" s="1">
        <f ca="1">IFERROR(__xludf.DUMMYFUNCTION("""COMPUTED_VALUE"""),2.22)</f>
        <v>2.2200000000000002</v>
      </c>
      <c r="E338" s="1">
        <f ca="1">IFERROR(__xludf.DUMMYFUNCTION("""COMPUTED_VALUE"""),2.25)</f>
        <v>2.25</v>
      </c>
      <c r="F338" s="1">
        <f ca="1">IFERROR(__xludf.DUMMYFUNCTION("""COMPUTED_VALUE"""),30100)</f>
        <v>30100</v>
      </c>
      <c r="I338" s="1"/>
    </row>
    <row r="339" spans="1:9">
      <c r="A339" s="3">
        <f ca="1">IFERROR(__xludf.DUMMYFUNCTION("""COMPUTED_VALUE"""),29710.6666666666)</f>
        <v>29710.666666666599</v>
      </c>
      <c r="B339" s="1">
        <f ca="1">IFERROR(__xludf.DUMMYFUNCTION("""COMPUTED_VALUE"""),2.23)</f>
        <v>2.23</v>
      </c>
      <c r="C339" s="1">
        <f ca="1">IFERROR(__xludf.DUMMYFUNCTION("""COMPUTED_VALUE"""),2.25)</f>
        <v>2.25</v>
      </c>
      <c r="D339" s="1">
        <f ca="1">IFERROR(__xludf.DUMMYFUNCTION("""COMPUTED_VALUE"""),2.22)</f>
        <v>2.2200000000000002</v>
      </c>
      <c r="E339" s="1">
        <f ca="1">IFERROR(__xludf.DUMMYFUNCTION("""COMPUTED_VALUE"""),2.23)</f>
        <v>2.23</v>
      </c>
      <c r="F339" s="1">
        <f ca="1">IFERROR(__xludf.DUMMYFUNCTION("""COMPUTED_VALUE"""),63300)</f>
        <v>63300</v>
      </c>
      <c r="I339" s="1"/>
    </row>
    <row r="340" spans="1:9">
      <c r="A340" s="3">
        <f ca="1">IFERROR(__xludf.DUMMYFUNCTION("""COMPUTED_VALUE"""),29711.6666666666)</f>
        <v>29711.666666666599</v>
      </c>
      <c r="B340" s="1">
        <f ca="1">IFERROR(__xludf.DUMMYFUNCTION("""COMPUTED_VALUE"""),2.2)</f>
        <v>2.2000000000000002</v>
      </c>
      <c r="C340" s="1">
        <f ca="1">IFERROR(__xludf.DUMMYFUNCTION("""COMPUTED_VALUE"""),2.23)</f>
        <v>2.23</v>
      </c>
      <c r="D340" s="1">
        <f ca="1">IFERROR(__xludf.DUMMYFUNCTION("""COMPUTED_VALUE"""),2.2)</f>
        <v>2.2000000000000002</v>
      </c>
      <c r="E340" s="1">
        <f ca="1">IFERROR(__xludf.DUMMYFUNCTION("""COMPUTED_VALUE"""),2.2)</f>
        <v>2.2000000000000002</v>
      </c>
      <c r="F340" s="1">
        <f ca="1">IFERROR(__xludf.DUMMYFUNCTION("""COMPUTED_VALUE"""),192600)</f>
        <v>192600</v>
      </c>
      <c r="I340" s="1"/>
    </row>
    <row r="341" spans="1:9">
      <c r="A341" s="3">
        <f ca="1">IFERROR(__xludf.DUMMYFUNCTION("""COMPUTED_VALUE"""),29712.6666666666)</f>
        <v>29712.666666666599</v>
      </c>
      <c r="B341" s="1">
        <f ca="1">IFERROR(__xludf.DUMMYFUNCTION("""COMPUTED_VALUE"""),2.19)</f>
        <v>2.19</v>
      </c>
      <c r="C341" s="1">
        <f ca="1">IFERROR(__xludf.DUMMYFUNCTION("""COMPUTED_VALUE"""),2.21)</f>
        <v>2.21</v>
      </c>
      <c r="D341" s="1">
        <f ca="1">IFERROR(__xludf.DUMMYFUNCTION("""COMPUTED_VALUE"""),2.19)</f>
        <v>2.19</v>
      </c>
      <c r="E341" s="1">
        <f ca="1">IFERROR(__xludf.DUMMYFUNCTION("""COMPUTED_VALUE"""),2.19)</f>
        <v>2.19</v>
      </c>
      <c r="F341" s="1">
        <f ca="1">IFERROR(__xludf.DUMMYFUNCTION("""COMPUTED_VALUE"""),44800)</f>
        <v>44800</v>
      </c>
      <c r="I341" s="1"/>
    </row>
    <row r="342" spans="1:9">
      <c r="A342" s="3">
        <f ca="1">IFERROR(__xludf.DUMMYFUNCTION("""COMPUTED_VALUE"""),29713.6666666666)</f>
        <v>29713.666666666599</v>
      </c>
      <c r="B342" s="1">
        <f ca="1">IFERROR(__xludf.DUMMYFUNCTION("""COMPUTED_VALUE"""),2.19)</f>
        <v>2.19</v>
      </c>
      <c r="C342" s="1">
        <f ca="1">IFERROR(__xludf.DUMMYFUNCTION("""COMPUTED_VALUE"""),2.2)</f>
        <v>2.2000000000000002</v>
      </c>
      <c r="D342" s="1">
        <f ca="1">IFERROR(__xludf.DUMMYFUNCTION("""COMPUTED_VALUE"""),2.19)</f>
        <v>2.19</v>
      </c>
      <c r="E342" s="1">
        <f ca="1">IFERROR(__xludf.DUMMYFUNCTION("""COMPUTED_VALUE"""),2.19)</f>
        <v>2.19</v>
      </c>
      <c r="F342" s="1">
        <f ca="1">IFERROR(__xludf.DUMMYFUNCTION("""COMPUTED_VALUE"""),44300)</f>
        <v>44300</v>
      </c>
      <c r="I342" s="1"/>
    </row>
    <row r="343" spans="1:9">
      <c r="A343" s="3">
        <f ca="1">IFERROR(__xludf.DUMMYFUNCTION("""COMPUTED_VALUE"""),29714.6666666666)</f>
        <v>29714.666666666599</v>
      </c>
      <c r="B343" s="1">
        <f ca="1">IFERROR(__xludf.DUMMYFUNCTION("""COMPUTED_VALUE"""),2.2)</f>
        <v>2.2000000000000002</v>
      </c>
      <c r="C343" s="1">
        <f ca="1">IFERROR(__xludf.DUMMYFUNCTION("""COMPUTED_VALUE"""),2.21)</f>
        <v>2.21</v>
      </c>
      <c r="D343" s="1">
        <f ca="1">IFERROR(__xludf.DUMMYFUNCTION("""COMPUTED_VALUE"""),2.19)</f>
        <v>2.19</v>
      </c>
      <c r="E343" s="1">
        <f ca="1">IFERROR(__xludf.DUMMYFUNCTION("""COMPUTED_VALUE"""),2.2)</f>
        <v>2.2000000000000002</v>
      </c>
      <c r="F343" s="1">
        <f ca="1">IFERROR(__xludf.DUMMYFUNCTION("""COMPUTED_VALUE"""),35500)</f>
        <v>35500</v>
      </c>
      <c r="I343" s="1"/>
    </row>
    <row r="344" spans="1:9">
      <c r="A344" s="3">
        <f ca="1">IFERROR(__xludf.DUMMYFUNCTION("""COMPUTED_VALUE"""),29717.6666666666)</f>
        <v>29717.666666666599</v>
      </c>
      <c r="B344" s="1">
        <f ca="1">IFERROR(__xludf.DUMMYFUNCTION("""COMPUTED_VALUE"""),2.17)</f>
        <v>2.17</v>
      </c>
      <c r="C344" s="1">
        <f ca="1">IFERROR(__xludf.DUMMYFUNCTION("""COMPUTED_VALUE"""),2.2)</f>
        <v>2.2000000000000002</v>
      </c>
      <c r="D344" s="1">
        <f ca="1">IFERROR(__xludf.DUMMYFUNCTION("""COMPUTED_VALUE"""),2.16)</f>
        <v>2.16</v>
      </c>
      <c r="E344" s="1">
        <f ca="1">IFERROR(__xludf.DUMMYFUNCTION("""COMPUTED_VALUE"""),2.17)</f>
        <v>2.17</v>
      </c>
      <c r="F344" s="1">
        <f ca="1">IFERROR(__xludf.DUMMYFUNCTION("""COMPUTED_VALUE"""),37500)</f>
        <v>37500</v>
      </c>
      <c r="I344" s="1"/>
    </row>
    <row r="345" spans="1:9">
      <c r="A345" s="3">
        <f ca="1">IFERROR(__xludf.DUMMYFUNCTION("""COMPUTED_VALUE"""),29718.6666666666)</f>
        <v>29718.666666666599</v>
      </c>
      <c r="B345" s="1">
        <f ca="1">IFERROR(__xludf.DUMMYFUNCTION("""COMPUTED_VALUE"""),2.21)</f>
        <v>2.21</v>
      </c>
      <c r="C345" s="1">
        <f ca="1">IFERROR(__xludf.DUMMYFUNCTION("""COMPUTED_VALUE"""),2.21)</f>
        <v>2.21</v>
      </c>
      <c r="D345" s="1">
        <f ca="1">IFERROR(__xludf.DUMMYFUNCTION("""COMPUTED_VALUE"""),2.16)</f>
        <v>2.16</v>
      </c>
      <c r="E345" s="1">
        <f ca="1">IFERROR(__xludf.DUMMYFUNCTION("""COMPUTED_VALUE"""),2.21)</f>
        <v>2.21</v>
      </c>
      <c r="F345" s="1">
        <f ca="1">IFERROR(__xludf.DUMMYFUNCTION("""COMPUTED_VALUE"""),41900)</f>
        <v>41900</v>
      </c>
      <c r="I345" s="1"/>
    </row>
    <row r="346" spans="1:9">
      <c r="A346" s="3">
        <f ca="1">IFERROR(__xludf.DUMMYFUNCTION("""COMPUTED_VALUE"""),29719.6666666666)</f>
        <v>29719.666666666599</v>
      </c>
      <c r="B346" s="1">
        <f ca="1">IFERROR(__xludf.DUMMYFUNCTION("""COMPUTED_VALUE"""),2.21)</f>
        <v>2.21</v>
      </c>
      <c r="C346" s="1">
        <f ca="1">IFERROR(__xludf.DUMMYFUNCTION("""COMPUTED_VALUE"""),2.22)</f>
        <v>2.2200000000000002</v>
      </c>
      <c r="D346" s="1">
        <f ca="1">IFERROR(__xludf.DUMMYFUNCTION("""COMPUTED_VALUE"""),2.2)</f>
        <v>2.2000000000000002</v>
      </c>
      <c r="E346" s="1">
        <f ca="1">IFERROR(__xludf.DUMMYFUNCTION("""COMPUTED_VALUE"""),2.21)</f>
        <v>2.21</v>
      </c>
      <c r="F346" s="1">
        <f ca="1">IFERROR(__xludf.DUMMYFUNCTION("""COMPUTED_VALUE"""),28000)</f>
        <v>28000</v>
      </c>
      <c r="I346" s="1"/>
    </row>
    <row r="347" spans="1:9">
      <c r="A347" s="3">
        <f ca="1">IFERROR(__xludf.DUMMYFUNCTION("""COMPUTED_VALUE"""),29720.6666666666)</f>
        <v>29720.666666666599</v>
      </c>
      <c r="B347" s="1">
        <f ca="1">IFERROR(__xludf.DUMMYFUNCTION("""COMPUTED_VALUE"""),2.22)</f>
        <v>2.2200000000000002</v>
      </c>
      <c r="C347" s="1">
        <f ca="1">IFERROR(__xludf.DUMMYFUNCTION("""COMPUTED_VALUE"""),2.23)</f>
        <v>2.23</v>
      </c>
      <c r="D347" s="1">
        <f ca="1">IFERROR(__xludf.DUMMYFUNCTION("""COMPUTED_VALUE"""),2.21)</f>
        <v>2.21</v>
      </c>
      <c r="E347" s="1">
        <f ca="1">IFERROR(__xludf.DUMMYFUNCTION("""COMPUTED_VALUE"""),2.22)</f>
        <v>2.2200000000000002</v>
      </c>
      <c r="F347" s="1">
        <f ca="1">IFERROR(__xludf.DUMMYFUNCTION("""COMPUTED_VALUE"""),30100)</f>
        <v>30100</v>
      </c>
      <c r="I347" s="1"/>
    </row>
    <row r="348" spans="1:9">
      <c r="A348" s="3">
        <f ca="1">IFERROR(__xludf.DUMMYFUNCTION("""COMPUTED_VALUE"""),29721.6666666666)</f>
        <v>29721.666666666599</v>
      </c>
      <c r="B348" s="1">
        <f ca="1">IFERROR(__xludf.DUMMYFUNCTION("""COMPUTED_VALUE"""),2.25)</f>
        <v>2.25</v>
      </c>
      <c r="C348" s="1">
        <f ca="1">IFERROR(__xludf.DUMMYFUNCTION("""COMPUTED_VALUE"""),2.26)</f>
        <v>2.2599999999999998</v>
      </c>
      <c r="D348" s="1">
        <f ca="1">IFERROR(__xludf.DUMMYFUNCTION("""COMPUTED_VALUE"""),2.22)</f>
        <v>2.2200000000000002</v>
      </c>
      <c r="E348" s="1">
        <f ca="1">IFERROR(__xludf.DUMMYFUNCTION("""COMPUTED_VALUE"""),2.25)</f>
        <v>2.25</v>
      </c>
      <c r="F348" s="1">
        <f ca="1">IFERROR(__xludf.DUMMYFUNCTION("""COMPUTED_VALUE"""),32200)</f>
        <v>32200</v>
      </c>
      <c r="I348" s="1"/>
    </row>
    <row r="349" spans="1:9">
      <c r="A349" s="3">
        <f ca="1">IFERROR(__xludf.DUMMYFUNCTION("""COMPUTED_VALUE"""),29724.6666666666)</f>
        <v>29724.666666666599</v>
      </c>
      <c r="B349" s="1">
        <f ca="1">IFERROR(__xludf.DUMMYFUNCTION("""COMPUTED_VALUE"""),2.25)</f>
        <v>2.25</v>
      </c>
      <c r="C349" s="1">
        <f ca="1">IFERROR(__xludf.DUMMYFUNCTION("""COMPUTED_VALUE"""),2.27)</f>
        <v>2.27</v>
      </c>
      <c r="D349" s="1">
        <f ca="1">IFERROR(__xludf.DUMMYFUNCTION("""COMPUTED_VALUE"""),2.25)</f>
        <v>2.25</v>
      </c>
      <c r="E349" s="1">
        <f ca="1">IFERROR(__xludf.DUMMYFUNCTION("""COMPUTED_VALUE"""),2.25)</f>
        <v>2.25</v>
      </c>
      <c r="F349" s="1">
        <f ca="1">IFERROR(__xludf.DUMMYFUNCTION("""COMPUTED_VALUE"""),37300)</f>
        <v>37300</v>
      </c>
      <c r="I349" s="1"/>
    </row>
    <row r="350" spans="1:9">
      <c r="A350" s="3">
        <f ca="1">IFERROR(__xludf.DUMMYFUNCTION("""COMPUTED_VALUE"""),29725.6666666666)</f>
        <v>29725.666666666599</v>
      </c>
      <c r="B350" s="1">
        <f ca="1">IFERROR(__xludf.DUMMYFUNCTION("""COMPUTED_VALUE"""),2.27)</f>
        <v>2.27</v>
      </c>
      <c r="C350" s="1">
        <f ca="1">IFERROR(__xludf.DUMMYFUNCTION("""COMPUTED_VALUE"""),2.27)</f>
        <v>2.27</v>
      </c>
      <c r="D350" s="1">
        <f ca="1">IFERROR(__xludf.DUMMYFUNCTION("""COMPUTED_VALUE"""),2.2)</f>
        <v>2.2000000000000002</v>
      </c>
      <c r="E350" s="1">
        <f ca="1">IFERROR(__xludf.DUMMYFUNCTION("""COMPUTED_VALUE"""),2.27)</f>
        <v>2.27</v>
      </c>
      <c r="F350" s="1">
        <f ca="1">IFERROR(__xludf.DUMMYFUNCTION("""COMPUTED_VALUE"""),164400)</f>
        <v>164400</v>
      </c>
      <c r="I350" s="1"/>
    </row>
    <row r="351" spans="1:9">
      <c r="A351" s="3">
        <f ca="1">IFERROR(__xludf.DUMMYFUNCTION("""COMPUTED_VALUE"""),29726.6666666666)</f>
        <v>29726.666666666599</v>
      </c>
      <c r="B351" s="1">
        <f ca="1">IFERROR(__xludf.DUMMYFUNCTION("""COMPUTED_VALUE"""),2.32)</f>
        <v>2.3199999999999998</v>
      </c>
      <c r="C351" s="1">
        <f ca="1">IFERROR(__xludf.DUMMYFUNCTION("""COMPUTED_VALUE"""),2.33)</f>
        <v>2.33</v>
      </c>
      <c r="D351" s="1">
        <f ca="1">IFERROR(__xludf.DUMMYFUNCTION("""COMPUTED_VALUE"""),2.27)</f>
        <v>2.27</v>
      </c>
      <c r="E351" s="1">
        <f ca="1">IFERROR(__xludf.DUMMYFUNCTION("""COMPUTED_VALUE"""),2.32)</f>
        <v>2.3199999999999998</v>
      </c>
      <c r="F351" s="1">
        <f ca="1">IFERROR(__xludf.DUMMYFUNCTION("""COMPUTED_VALUE"""),142500)</f>
        <v>142500</v>
      </c>
      <c r="I351" s="1"/>
    </row>
    <row r="352" spans="1:9">
      <c r="A352" s="3">
        <f ca="1">IFERROR(__xludf.DUMMYFUNCTION("""COMPUTED_VALUE"""),29727.6666666666)</f>
        <v>29727.666666666599</v>
      </c>
      <c r="B352" s="1">
        <f ca="1">IFERROR(__xludf.DUMMYFUNCTION("""COMPUTED_VALUE"""),2.28)</f>
        <v>2.2799999999999998</v>
      </c>
      <c r="C352" s="1">
        <f ca="1">IFERROR(__xludf.DUMMYFUNCTION("""COMPUTED_VALUE"""),2.31)</f>
        <v>2.31</v>
      </c>
      <c r="D352" s="1">
        <f ca="1">IFERROR(__xludf.DUMMYFUNCTION("""COMPUTED_VALUE"""),2.27)</f>
        <v>2.27</v>
      </c>
      <c r="E352" s="1">
        <f ca="1">IFERROR(__xludf.DUMMYFUNCTION("""COMPUTED_VALUE"""),2.28)</f>
        <v>2.2799999999999998</v>
      </c>
      <c r="F352" s="1">
        <f ca="1">IFERROR(__xludf.DUMMYFUNCTION("""COMPUTED_VALUE"""),129500)</f>
        <v>129500</v>
      </c>
      <c r="I352" s="1"/>
    </row>
    <row r="353" spans="1:9">
      <c r="A353" s="3">
        <f ca="1">IFERROR(__xludf.DUMMYFUNCTION("""COMPUTED_VALUE"""),29728.6666666666)</f>
        <v>29728.666666666599</v>
      </c>
      <c r="B353" s="1">
        <f ca="1">IFERROR(__xludf.DUMMYFUNCTION("""COMPUTED_VALUE"""),2.28)</f>
        <v>2.2799999999999998</v>
      </c>
      <c r="C353" s="1">
        <f ca="1">IFERROR(__xludf.DUMMYFUNCTION("""COMPUTED_VALUE"""),2.28)</f>
        <v>2.2799999999999998</v>
      </c>
      <c r="D353" s="1">
        <f ca="1">IFERROR(__xludf.DUMMYFUNCTION("""COMPUTED_VALUE"""),2.22)</f>
        <v>2.2200000000000002</v>
      </c>
      <c r="E353" s="1">
        <f ca="1">IFERROR(__xludf.DUMMYFUNCTION("""COMPUTED_VALUE"""),2.28)</f>
        <v>2.2799999999999998</v>
      </c>
      <c r="F353" s="1">
        <f ca="1">IFERROR(__xludf.DUMMYFUNCTION("""COMPUTED_VALUE"""),179800)</f>
        <v>179800</v>
      </c>
      <c r="I353" s="1"/>
    </row>
    <row r="354" spans="1:9">
      <c r="A354" s="3">
        <f ca="1">IFERROR(__xludf.DUMMYFUNCTION("""COMPUTED_VALUE"""),29732.6666666666)</f>
        <v>29732.666666666599</v>
      </c>
      <c r="B354" s="1">
        <f ca="1">IFERROR(__xludf.DUMMYFUNCTION("""COMPUTED_VALUE"""),2.36)</f>
        <v>2.36</v>
      </c>
      <c r="C354" s="1">
        <f ca="1">IFERROR(__xludf.DUMMYFUNCTION("""COMPUTED_VALUE"""),2.36)</f>
        <v>2.36</v>
      </c>
      <c r="D354" s="1">
        <f ca="1">IFERROR(__xludf.DUMMYFUNCTION("""COMPUTED_VALUE"""),2.26)</f>
        <v>2.2599999999999998</v>
      </c>
      <c r="E354" s="1">
        <f ca="1">IFERROR(__xludf.DUMMYFUNCTION("""COMPUTED_VALUE"""),2.36)</f>
        <v>2.36</v>
      </c>
      <c r="F354" s="1">
        <f ca="1">IFERROR(__xludf.DUMMYFUNCTION("""COMPUTED_VALUE"""),155100)</f>
        <v>155100</v>
      </c>
      <c r="I354" s="1"/>
    </row>
    <row r="355" spans="1:9">
      <c r="A355" s="3">
        <f ca="1">IFERROR(__xludf.DUMMYFUNCTION("""COMPUTED_VALUE"""),29733.6666666666)</f>
        <v>29733.666666666599</v>
      </c>
      <c r="B355" s="1">
        <f ca="1">IFERROR(__xludf.DUMMYFUNCTION("""COMPUTED_VALUE"""),2.37)</f>
        <v>2.37</v>
      </c>
      <c r="C355" s="1">
        <f ca="1">IFERROR(__xludf.DUMMYFUNCTION("""COMPUTED_VALUE"""),2.38)</f>
        <v>2.38</v>
      </c>
      <c r="D355" s="1">
        <f ca="1">IFERROR(__xludf.DUMMYFUNCTION("""COMPUTED_VALUE"""),2.31)</f>
        <v>2.31</v>
      </c>
      <c r="E355" s="1">
        <f ca="1">IFERROR(__xludf.DUMMYFUNCTION("""COMPUTED_VALUE"""),2.37)</f>
        <v>2.37</v>
      </c>
      <c r="F355" s="1">
        <f ca="1">IFERROR(__xludf.DUMMYFUNCTION("""COMPUTED_VALUE"""),202900)</f>
        <v>202900</v>
      </c>
      <c r="I355" s="1"/>
    </row>
    <row r="356" spans="1:9">
      <c r="A356" s="3">
        <f ca="1">IFERROR(__xludf.DUMMYFUNCTION("""COMPUTED_VALUE"""),29734.6666666666)</f>
        <v>29734.666666666599</v>
      </c>
      <c r="B356" s="1">
        <f ca="1">IFERROR(__xludf.DUMMYFUNCTION("""COMPUTED_VALUE"""),2.36)</f>
        <v>2.36</v>
      </c>
      <c r="C356" s="1">
        <f ca="1">IFERROR(__xludf.DUMMYFUNCTION("""COMPUTED_VALUE"""),2.38)</f>
        <v>2.38</v>
      </c>
      <c r="D356" s="1">
        <f ca="1">IFERROR(__xludf.DUMMYFUNCTION("""COMPUTED_VALUE"""),2.34)</f>
        <v>2.34</v>
      </c>
      <c r="E356" s="1">
        <f ca="1">IFERROR(__xludf.DUMMYFUNCTION("""COMPUTED_VALUE"""),2.36)</f>
        <v>2.36</v>
      </c>
      <c r="F356" s="1">
        <f ca="1">IFERROR(__xludf.DUMMYFUNCTION("""COMPUTED_VALUE"""),151000)</f>
        <v>151000</v>
      </c>
      <c r="I356" s="1"/>
    </row>
    <row r="357" spans="1:9">
      <c r="A357" s="3">
        <f ca="1">IFERROR(__xludf.DUMMYFUNCTION("""COMPUTED_VALUE"""),29735.6666666666)</f>
        <v>29735.666666666599</v>
      </c>
      <c r="B357" s="1">
        <f ca="1">IFERROR(__xludf.DUMMYFUNCTION("""COMPUTED_VALUE"""),2.39)</f>
        <v>2.39</v>
      </c>
      <c r="C357" s="1">
        <f ca="1">IFERROR(__xludf.DUMMYFUNCTION("""COMPUTED_VALUE"""),2.41)</f>
        <v>2.41</v>
      </c>
      <c r="D357" s="1">
        <f ca="1">IFERROR(__xludf.DUMMYFUNCTION("""COMPUTED_VALUE"""),2.34)</f>
        <v>2.34</v>
      </c>
      <c r="E357" s="1">
        <f ca="1">IFERROR(__xludf.DUMMYFUNCTION("""COMPUTED_VALUE"""),2.39)</f>
        <v>2.39</v>
      </c>
      <c r="F357" s="1">
        <f ca="1">IFERROR(__xludf.DUMMYFUNCTION("""COMPUTED_VALUE"""),185000)</f>
        <v>185000</v>
      </c>
      <c r="I357" s="1"/>
    </row>
    <row r="358" spans="1:9">
      <c r="A358" s="3">
        <f ca="1">IFERROR(__xludf.DUMMYFUNCTION("""COMPUTED_VALUE"""),29738.6666666666)</f>
        <v>29738.666666666599</v>
      </c>
      <c r="B358" s="1">
        <f ca="1">IFERROR(__xludf.DUMMYFUNCTION("""COMPUTED_VALUE"""),2.4)</f>
        <v>2.4</v>
      </c>
      <c r="C358" s="1">
        <f ca="1">IFERROR(__xludf.DUMMYFUNCTION("""COMPUTED_VALUE"""),2.46)</f>
        <v>2.46</v>
      </c>
      <c r="D358" s="1">
        <f ca="1">IFERROR(__xludf.DUMMYFUNCTION("""COMPUTED_VALUE"""),2.39)</f>
        <v>2.39</v>
      </c>
      <c r="E358" s="1">
        <f ca="1">IFERROR(__xludf.DUMMYFUNCTION("""COMPUTED_VALUE"""),2.4)</f>
        <v>2.4</v>
      </c>
      <c r="F358" s="1">
        <f ca="1">IFERROR(__xludf.DUMMYFUNCTION("""COMPUTED_VALUE"""),227200)</f>
        <v>227200</v>
      </c>
      <c r="I358" s="1"/>
    </row>
    <row r="359" spans="1:9">
      <c r="A359" s="3">
        <f ca="1">IFERROR(__xludf.DUMMYFUNCTION("""COMPUTED_VALUE"""),29739.6666666666)</f>
        <v>29739.666666666599</v>
      </c>
      <c r="B359" s="1">
        <f ca="1">IFERROR(__xludf.DUMMYFUNCTION("""COMPUTED_VALUE"""),2.33)</f>
        <v>2.33</v>
      </c>
      <c r="C359" s="1">
        <f ca="1">IFERROR(__xludf.DUMMYFUNCTION("""COMPUTED_VALUE"""),2.39)</f>
        <v>2.39</v>
      </c>
      <c r="D359" s="1">
        <f ca="1">IFERROR(__xludf.DUMMYFUNCTION("""COMPUTED_VALUE"""),2.33)</f>
        <v>2.33</v>
      </c>
      <c r="E359" s="1">
        <f ca="1">IFERROR(__xludf.DUMMYFUNCTION("""COMPUTED_VALUE"""),2.33)</f>
        <v>2.33</v>
      </c>
      <c r="F359" s="1">
        <f ca="1">IFERROR(__xludf.DUMMYFUNCTION("""COMPUTED_VALUE"""),94800)</f>
        <v>94800</v>
      </c>
      <c r="I359" s="1"/>
    </row>
    <row r="360" spans="1:9">
      <c r="A360" s="3">
        <f ca="1">IFERROR(__xludf.DUMMYFUNCTION("""COMPUTED_VALUE"""),29740.6666666666)</f>
        <v>29740.666666666599</v>
      </c>
      <c r="B360" s="1">
        <f ca="1">IFERROR(__xludf.DUMMYFUNCTION("""COMPUTED_VALUE"""),2.31)</f>
        <v>2.31</v>
      </c>
      <c r="C360" s="1">
        <f ca="1">IFERROR(__xludf.DUMMYFUNCTION("""COMPUTED_VALUE"""),2.33)</f>
        <v>2.33</v>
      </c>
      <c r="D360" s="1">
        <f ca="1">IFERROR(__xludf.DUMMYFUNCTION("""COMPUTED_VALUE"""),2.28)</f>
        <v>2.2799999999999998</v>
      </c>
      <c r="E360" s="1">
        <f ca="1">IFERROR(__xludf.DUMMYFUNCTION("""COMPUTED_VALUE"""),2.31)</f>
        <v>2.31</v>
      </c>
      <c r="F360" s="1">
        <f ca="1">IFERROR(__xludf.DUMMYFUNCTION("""COMPUTED_VALUE"""),218400)</f>
        <v>218400</v>
      </c>
      <c r="I360" s="1"/>
    </row>
    <row r="361" spans="1:9">
      <c r="A361" s="3">
        <f ca="1">IFERROR(__xludf.DUMMYFUNCTION("""COMPUTED_VALUE"""),29741.6666666666)</f>
        <v>29741.666666666599</v>
      </c>
      <c r="B361" s="1">
        <f ca="1">IFERROR(__xludf.DUMMYFUNCTION("""COMPUTED_VALUE"""),2.3)</f>
        <v>2.2999999999999998</v>
      </c>
      <c r="C361" s="1">
        <f ca="1">IFERROR(__xludf.DUMMYFUNCTION("""COMPUTED_VALUE"""),2.33)</f>
        <v>2.33</v>
      </c>
      <c r="D361" s="1">
        <f ca="1">IFERROR(__xludf.DUMMYFUNCTION("""COMPUTED_VALUE"""),2.3)</f>
        <v>2.2999999999999998</v>
      </c>
      <c r="E361" s="1">
        <f ca="1">IFERROR(__xludf.DUMMYFUNCTION("""COMPUTED_VALUE"""),2.3)</f>
        <v>2.2999999999999998</v>
      </c>
      <c r="F361" s="1">
        <f ca="1">IFERROR(__xludf.DUMMYFUNCTION("""COMPUTED_VALUE"""),132800)</f>
        <v>132800</v>
      </c>
      <c r="I361" s="1"/>
    </row>
    <row r="362" spans="1:9">
      <c r="A362" s="3">
        <f ca="1">IFERROR(__xludf.DUMMYFUNCTION("""COMPUTED_VALUE"""),29742.6666666666)</f>
        <v>29742.666666666599</v>
      </c>
      <c r="B362" s="1">
        <f ca="1">IFERROR(__xludf.DUMMYFUNCTION("""COMPUTED_VALUE"""),2.3)</f>
        <v>2.2999999999999998</v>
      </c>
      <c r="C362" s="1">
        <f ca="1">IFERROR(__xludf.DUMMYFUNCTION("""COMPUTED_VALUE"""),2.3)</f>
        <v>2.2999999999999998</v>
      </c>
      <c r="D362" s="1">
        <f ca="1">IFERROR(__xludf.DUMMYFUNCTION("""COMPUTED_VALUE"""),2.28)</f>
        <v>2.2799999999999998</v>
      </c>
      <c r="E362" s="1">
        <f ca="1">IFERROR(__xludf.DUMMYFUNCTION("""COMPUTED_VALUE"""),2.3)</f>
        <v>2.2999999999999998</v>
      </c>
      <c r="F362" s="1">
        <f ca="1">IFERROR(__xludf.DUMMYFUNCTION("""COMPUTED_VALUE"""),107600)</f>
        <v>107600</v>
      </c>
      <c r="I362" s="1"/>
    </row>
    <row r="363" spans="1:9">
      <c r="A363" s="3">
        <f ca="1">IFERROR(__xludf.DUMMYFUNCTION("""COMPUTED_VALUE"""),29745.6666666666)</f>
        <v>29745.666666666599</v>
      </c>
      <c r="B363" s="1">
        <f ca="1">IFERROR(__xludf.DUMMYFUNCTION("""COMPUTED_VALUE"""),2.34)</f>
        <v>2.34</v>
      </c>
      <c r="C363" s="1">
        <f ca="1">IFERROR(__xludf.DUMMYFUNCTION("""COMPUTED_VALUE"""),2.34)</f>
        <v>2.34</v>
      </c>
      <c r="D363" s="1">
        <f ca="1">IFERROR(__xludf.DUMMYFUNCTION("""COMPUTED_VALUE"""),2.31)</f>
        <v>2.31</v>
      </c>
      <c r="E363" s="1">
        <f ca="1">IFERROR(__xludf.DUMMYFUNCTION("""COMPUTED_VALUE"""),2.34)</f>
        <v>2.34</v>
      </c>
      <c r="F363" s="1">
        <f ca="1">IFERROR(__xludf.DUMMYFUNCTION("""COMPUTED_VALUE"""),174700)</f>
        <v>174700</v>
      </c>
      <c r="I363" s="1"/>
    </row>
    <row r="364" spans="1:9">
      <c r="A364" s="3">
        <f ca="1">IFERROR(__xludf.DUMMYFUNCTION("""COMPUTED_VALUE"""),29746.6666666666)</f>
        <v>29746.666666666599</v>
      </c>
      <c r="B364" s="1">
        <f ca="1">IFERROR(__xludf.DUMMYFUNCTION("""COMPUTED_VALUE"""),2.32)</f>
        <v>2.3199999999999998</v>
      </c>
      <c r="C364" s="1">
        <f ca="1">IFERROR(__xludf.DUMMYFUNCTION("""COMPUTED_VALUE"""),2.37)</f>
        <v>2.37</v>
      </c>
      <c r="D364" s="1">
        <f ca="1">IFERROR(__xludf.DUMMYFUNCTION("""COMPUTED_VALUE"""),2.3)</f>
        <v>2.2999999999999998</v>
      </c>
      <c r="E364" s="1">
        <f ca="1">IFERROR(__xludf.DUMMYFUNCTION("""COMPUTED_VALUE"""),2.32)</f>
        <v>2.3199999999999998</v>
      </c>
      <c r="F364" s="1">
        <f ca="1">IFERROR(__xludf.DUMMYFUNCTION("""COMPUTED_VALUE"""),192100)</f>
        <v>192100</v>
      </c>
      <c r="I364" s="1"/>
    </row>
    <row r="365" spans="1:9">
      <c r="A365" s="3">
        <f ca="1">IFERROR(__xludf.DUMMYFUNCTION("""COMPUTED_VALUE"""),29747.6666666666)</f>
        <v>29747.666666666599</v>
      </c>
      <c r="B365" s="1">
        <f ca="1">IFERROR(__xludf.DUMMYFUNCTION("""COMPUTED_VALUE"""),2.29)</f>
        <v>2.29</v>
      </c>
      <c r="C365" s="1">
        <f ca="1">IFERROR(__xludf.DUMMYFUNCTION("""COMPUTED_VALUE"""),2.32)</f>
        <v>2.3199999999999998</v>
      </c>
      <c r="D365" s="1">
        <f ca="1">IFERROR(__xludf.DUMMYFUNCTION("""COMPUTED_VALUE"""),2.27)</f>
        <v>2.27</v>
      </c>
      <c r="E365" s="1">
        <f ca="1">IFERROR(__xludf.DUMMYFUNCTION("""COMPUTED_VALUE"""),2.29)</f>
        <v>2.29</v>
      </c>
      <c r="F365" s="1">
        <f ca="1">IFERROR(__xludf.DUMMYFUNCTION("""COMPUTED_VALUE"""),158100)</f>
        <v>158100</v>
      </c>
      <c r="I365" s="1"/>
    </row>
    <row r="366" spans="1:9">
      <c r="A366" s="3">
        <f ca="1">IFERROR(__xludf.DUMMYFUNCTION("""COMPUTED_VALUE"""),29748.6666666666)</f>
        <v>29748.666666666599</v>
      </c>
      <c r="B366" s="1">
        <f ca="1">IFERROR(__xludf.DUMMYFUNCTION("""COMPUTED_VALUE"""),2.28)</f>
        <v>2.2799999999999998</v>
      </c>
      <c r="C366" s="1">
        <f ca="1">IFERROR(__xludf.DUMMYFUNCTION("""COMPUTED_VALUE"""),2.29)</f>
        <v>2.29</v>
      </c>
      <c r="D366" s="1">
        <f ca="1">IFERROR(__xludf.DUMMYFUNCTION("""COMPUTED_VALUE"""),2.26)</f>
        <v>2.2599999999999998</v>
      </c>
      <c r="E366" s="1">
        <f ca="1">IFERROR(__xludf.DUMMYFUNCTION("""COMPUTED_VALUE"""),2.28)</f>
        <v>2.2799999999999998</v>
      </c>
      <c r="F366" s="1">
        <f ca="1">IFERROR(__xludf.DUMMYFUNCTION("""COMPUTED_VALUE"""),68100)</f>
        <v>68100</v>
      </c>
      <c r="I366" s="1"/>
    </row>
    <row r="367" spans="1:9">
      <c r="A367" s="3">
        <f ca="1">IFERROR(__xludf.DUMMYFUNCTION("""COMPUTED_VALUE"""),29749.6666666666)</f>
        <v>29749.666666666599</v>
      </c>
      <c r="B367" s="1">
        <f ca="1">IFERROR(__xludf.DUMMYFUNCTION("""COMPUTED_VALUE"""),2.27)</f>
        <v>2.27</v>
      </c>
      <c r="C367" s="1">
        <f ca="1">IFERROR(__xludf.DUMMYFUNCTION("""COMPUTED_VALUE"""),2.29)</f>
        <v>2.29</v>
      </c>
      <c r="D367" s="1">
        <f ca="1">IFERROR(__xludf.DUMMYFUNCTION("""COMPUTED_VALUE"""),2.25)</f>
        <v>2.25</v>
      </c>
      <c r="E367" s="1">
        <f ca="1">IFERROR(__xludf.DUMMYFUNCTION("""COMPUTED_VALUE"""),2.27)</f>
        <v>2.27</v>
      </c>
      <c r="F367" s="1">
        <f ca="1">IFERROR(__xludf.DUMMYFUNCTION("""COMPUTED_VALUE"""),103400)</f>
        <v>103400</v>
      </c>
      <c r="I367" s="1"/>
    </row>
    <row r="368" spans="1:9">
      <c r="A368" s="3">
        <f ca="1">IFERROR(__xludf.DUMMYFUNCTION("""COMPUTED_VALUE"""),29752.6666666666)</f>
        <v>29752.666666666599</v>
      </c>
      <c r="B368" s="1">
        <f ca="1">IFERROR(__xludf.DUMMYFUNCTION("""COMPUTED_VALUE"""),2.33)</f>
        <v>2.33</v>
      </c>
      <c r="C368" s="1">
        <f ca="1">IFERROR(__xludf.DUMMYFUNCTION("""COMPUTED_VALUE"""),2.33)</f>
        <v>2.33</v>
      </c>
      <c r="D368" s="1">
        <f ca="1">IFERROR(__xludf.DUMMYFUNCTION("""COMPUTED_VALUE"""),2.29)</f>
        <v>2.29</v>
      </c>
      <c r="E368" s="1">
        <f ca="1">IFERROR(__xludf.DUMMYFUNCTION("""COMPUTED_VALUE"""),2.33)</f>
        <v>2.33</v>
      </c>
      <c r="F368" s="1">
        <f ca="1">IFERROR(__xludf.DUMMYFUNCTION("""COMPUTED_VALUE"""),155800)</f>
        <v>155800</v>
      </c>
      <c r="I368" s="1"/>
    </row>
    <row r="369" spans="1:9">
      <c r="A369" s="3">
        <f ca="1">IFERROR(__xludf.DUMMYFUNCTION("""COMPUTED_VALUE"""),29753.6666666666)</f>
        <v>29753.666666666599</v>
      </c>
      <c r="B369" s="1">
        <f ca="1">IFERROR(__xludf.DUMMYFUNCTION("""COMPUTED_VALUE"""),2.31)</f>
        <v>2.31</v>
      </c>
      <c r="C369" s="1">
        <f ca="1">IFERROR(__xludf.DUMMYFUNCTION("""COMPUTED_VALUE"""),2.33)</f>
        <v>2.33</v>
      </c>
      <c r="D369" s="1">
        <f ca="1">IFERROR(__xludf.DUMMYFUNCTION("""COMPUTED_VALUE"""),2.28)</f>
        <v>2.2799999999999998</v>
      </c>
      <c r="E369" s="1">
        <f ca="1">IFERROR(__xludf.DUMMYFUNCTION("""COMPUTED_VALUE"""),2.31)</f>
        <v>2.31</v>
      </c>
      <c r="F369" s="1">
        <f ca="1">IFERROR(__xludf.DUMMYFUNCTION("""COMPUTED_VALUE"""),97100)</f>
        <v>97100</v>
      </c>
      <c r="I369" s="1"/>
    </row>
    <row r="370" spans="1:9">
      <c r="A370" s="3">
        <f ca="1">IFERROR(__xludf.DUMMYFUNCTION("""COMPUTED_VALUE"""),29754.6666666666)</f>
        <v>29754.666666666599</v>
      </c>
      <c r="B370" s="1">
        <f ca="1">IFERROR(__xludf.DUMMYFUNCTION("""COMPUTED_VALUE"""),2.27)</f>
        <v>2.27</v>
      </c>
      <c r="C370" s="1">
        <f ca="1">IFERROR(__xludf.DUMMYFUNCTION("""COMPUTED_VALUE"""),2.32)</f>
        <v>2.3199999999999998</v>
      </c>
      <c r="D370" s="1">
        <f ca="1">IFERROR(__xludf.DUMMYFUNCTION("""COMPUTED_VALUE"""),2.24)</f>
        <v>2.2400000000000002</v>
      </c>
      <c r="E370" s="1">
        <f ca="1">IFERROR(__xludf.DUMMYFUNCTION("""COMPUTED_VALUE"""),2.27)</f>
        <v>2.27</v>
      </c>
      <c r="F370" s="1">
        <f ca="1">IFERROR(__xludf.DUMMYFUNCTION("""COMPUTED_VALUE"""),161000)</f>
        <v>161000</v>
      </c>
      <c r="I370" s="1"/>
    </row>
    <row r="371" spans="1:9">
      <c r="A371" s="3">
        <f ca="1">IFERROR(__xludf.DUMMYFUNCTION("""COMPUTED_VALUE"""),29755.6666666666)</f>
        <v>29755.666666666599</v>
      </c>
      <c r="B371" s="1">
        <f ca="1">IFERROR(__xludf.DUMMYFUNCTION("""COMPUTED_VALUE"""),2.27)</f>
        <v>2.27</v>
      </c>
      <c r="C371" s="1">
        <f ca="1">IFERROR(__xludf.DUMMYFUNCTION("""COMPUTED_VALUE"""),2.3)</f>
        <v>2.2999999999999998</v>
      </c>
      <c r="D371" s="1">
        <f ca="1">IFERROR(__xludf.DUMMYFUNCTION("""COMPUTED_VALUE"""),2.27)</f>
        <v>2.27</v>
      </c>
      <c r="E371" s="1">
        <f ca="1">IFERROR(__xludf.DUMMYFUNCTION("""COMPUTED_VALUE"""),2.27)</f>
        <v>2.27</v>
      </c>
      <c r="F371" s="1">
        <f ca="1">IFERROR(__xludf.DUMMYFUNCTION("""COMPUTED_VALUE"""),170300)</f>
        <v>170300</v>
      </c>
      <c r="I371" s="1"/>
    </row>
    <row r="372" spans="1:9">
      <c r="A372" s="3">
        <f ca="1">IFERROR(__xludf.DUMMYFUNCTION("""COMPUTED_VALUE"""),29756.6666666666)</f>
        <v>29756.666666666599</v>
      </c>
      <c r="B372" s="1">
        <f ca="1">IFERROR(__xludf.DUMMYFUNCTION("""COMPUTED_VALUE"""),2.3)</f>
        <v>2.2999999999999998</v>
      </c>
      <c r="C372" s="1">
        <f ca="1">IFERROR(__xludf.DUMMYFUNCTION("""COMPUTED_VALUE"""),2.31)</f>
        <v>2.31</v>
      </c>
      <c r="D372" s="1">
        <f ca="1">IFERROR(__xludf.DUMMYFUNCTION("""COMPUTED_VALUE"""),2.26)</f>
        <v>2.2599999999999998</v>
      </c>
      <c r="E372" s="1">
        <f ca="1">IFERROR(__xludf.DUMMYFUNCTION("""COMPUTED_VALUE"""),2.3)</f>
        <v>2.2999999999999998</v>
      </c>
      <c r="F372" s="1">
        <f ca="1">IFERROR(__xludf.DUMMYFUNCTION("""COMPUTED_VALUE"""),129800)</f>
        <v>129800</v>
      </c>
      <c r="I372" s="1"/>
    </row>
    <row r="373" spans="1:9">
      <c r="A373" s="3">
        <f ca="1">IFERROR(__xludf.DUMMYFUNCTION("""COMPUTED_VALUE"""),29759.6666666666)</f>
        <v>29759.666666666599</v>
      </c>
      <c r="B373" s="1">
        <f ca="1">IFERROR(__xludf.DUMMYFUNCTION("""COMPUTED_VALUE"""),2.35)</f>
        <v>2.35</v>
      </c>
      <c r="C373" s="1">
        <f ca="1">IFERROR(__xludf.DUMMYFUNCTION("""COMPUTED_VALUE"""),2.39)</f>
        <v>2.39</v>
      </c>
      <c r="D373" s="1">
        <f ca="1">IFERROR(__xludf.DUMMYFUNCTION("""COMPUTED_VALUE"""),2.29)</f>
        <v>2.29</v>
      </c>
      <c r="E373" s="1">
        <f ca="1">IFERROR(__xludf.DUMMYFUNCTION("""COMPUTED_VALUE"""),2.35)</f>
        <v>2.35</v>
      </c>
      <c r="F373" s="1">
        <f ca="1">IFERROR(__xludf.DUMMYFUNCTION("""COMPUTED_VALUE"""),120800)</f>
        <v>120800</v>
      </c>
      <c r="I373" s="1"/>
    </row>
    <row r="374" spans="1:9">
      <c r="A374" s="3">
        <f ca="1">IFERROR(__xludf.DUMMYFUNCTION("""COMPUTED_VALUE"""),29760.6666666666)</f>
        <v>29760.666666666599</v>
      </c>
      <c r="B374" s="1">
        <f ca="1">IFERROR(__xludf.DUMMYFUNCTION("""COMPUTED_VALUE"""),2.41)</f>
        <v>2.41</v>
      </c>
      <c r="C374" s="1">
        <f ca="1">IFERROR(__xludf.DUMMYFUNCTION("""COMPUTED_VALUE"""),2.41)</f>
        <v>2.41</v>
      </c>
      <c r="D374" s="1">
        <f ca="1">IFERROR(__xludf.DUMMYFUNCTION("""COMPUTED_VALUE"""),2.34)</f>
        <v>2.34</v>
      </c>
      <c r="E374" s="1">
        <f ca="1">IFERROR(__xludf.DUMMYFUNCTION("""COMPUTED_VALUE"""),2.41)</f>
        <v>2.41</v>
      </c>
      <c r="F374" s="1">
        <f ca="1">IFERROR(__xludf.DUMMYFUNCTION("""COMPUTED_VALUE"""),145500)</f>
        <v>145500</v>
      </c>
      <c r="I374" s="1"/>
    </row>
    <row r="375" spans="1:9">
      <c r="A375" s="3">
        <f ca="1">IFERROR(__xludf.DUMMYFUNCTION("""COMPUTED_VALUE"""),29761.6666666666)</f>
        <v>29761.666666666599</v>
      </c>
      <c r="B375" s="1">
        <f ca="1">IFERROR(__xludf.DUMMYFUNCTION("""COMPUTED_VALUE"""),2.37)</f>
        <v>2.37</v>
      </c>
      <c r="C375" s="1">
        <f ca="1">IFERROR(__xludf.DUMMYFUNCTION("""COMPUTED_VALUE"""),2.41)</f>
        <v>2.41</v>
      </c>
      <c r="D375" s="1">
        <f ca="1">IFERROR(__xludf.DUMMYFUNCTION("""COMPUTED_VALUE"""),2.36)</f>
        <v>2.36</v>
      </c>
      <c r="E375" s="1">
        <f ca="1">IFERROR(__xludf.DUMMYFUNCTION("""COMPUTED_VALUE"""),2.37)</f>
        <v>2.37</v>
      </c>
      <c r="F375" s="1">
        <f ca="1">IFERROR(__xludf.DUMMYFUNCTION("""COMPUTED_VALUE"""),128900)</f>
        <v>128900</v>
      </c>
      <c r="I375" s="1"/>
    </row>
    <row r="376" spans="1:9">
      <c r="A376" s="3">
        <f ca="1">IFERROR(__xludf.DUMMYFUNCTION("""COMPUTED_VALUE"""),29762.6666666666)</f>
        <v>29762.666666666599</v>
      </c>
      <c r="B376" s="1">
        <f ca="1">IFERROR(__xludf.DUMMYFUNCTION("""COMPUTED_VALUE"""),2.34)</f>
        <v>2.34</v>
      </c>
      <c r="C376" s="1">
        <f ca="1">IFERROR(__xludf.DUMMYFUNCTION("""COMPUTED_VALUE"""),2.37)</f>
        <v>2.37</v>
      </c>
      <c r="D376" s="1">
        <f ca="1">IFERROR(__xludf.DUMMYFUNCTION("""COMPUTED_VALUE"""),2.33)</f>
        <v>2.33</v>
      </c>
      <c r="E376" s="1">
        <f ca="1">IFERROR(__xludf.DUMMYFUNCTION("""COMPUTED_VALUE"""),2.34)</f>
        <v>2.34</v>
      </c>
      <c r="F376" s="1">
        <f ca="1">IFERROR(__xludf.DUMMYFUNCTION("""COMPUTED_VALUE"""),148300)</f>
        <v>148300</v>
      </c>
      <c r="I376" s="1"/>
    </row>
    <row r="377" spans="1:9">
      <c r="A377" s="3">
        <f ca="1">IFERROR(__xludf.DUMMYFUNCTION("""COMPUTED_VALUE"""),29763.6666666666)</f>
        <v>29763.666666666599</v>
      </c>
      <c r="B377" s="1">
        <f ca="1">IFERROR(__xludf.DUMMYFUNCTION("""COMPUTED_VALUE"""),2.27)</f>
        <v>2.27</v>
      </c>
      <c r="C377" s="1">
        <f ca="1">IFERROR(__xludf.DUMMYFUNCTION("""COMPUTED_VALUE"""),2.31)</f>
        <v>2.31</v>
      </c>
      <c r="D377" s="1">
        <f ca="1">IFERROR(__xludf.DUMMYFUNCTION("""COMPUTED_VALUE"""),2.25)</f>
        <v>2.25</v>
      </c>
      <c r="E377" s="1">
        <f ca="1">IFERROR(__xludf.DUMMYFUNCTION("""COMPUTED_VALUE"""),2.27)</f>
        <v>2.27</v>
      </c>
      <c r="F377" s="1">
        <f ca="1">IFERROR(__xludf.DUMMYFUNCTION("""COMPUTED_VALUE"""),376200)</f>
        <v>376200</v>
      </c>
      <c r="I377" s="1"/>
    </row>
    <row r="378" spans="1:9">
      <c r="A378" s="3">
        <f ca="1">IFERROR(__xludf.DUMMYFUNCTION("""COMPUTED_VALUE"""),29766.6666666666)</f>
        <v>29766.666666666599</v>
      </c>
      <c r="B378" s="1">
        <f ca="1">IFERROR(__xludf.DUMMYFUNCTION("""COMPUTED_VALUE"""),2.21)</f>
        <v>2.21</v>
      </c>
      <c r="C378" s="1">
        <f ca="1">IFERROR(__xludf.DUMMYFUNCTION("""COMPUTED_VALUE"""),2.26)</f>
        <v>2.2599999999999998</v>
      </c>
      <c r="D378" s="1">
        <f ca="1">IFERROR(__xludf.DUMMYFUNCTION("""COMPUTED_VALUE"""),2.17)</f>
        <v>2.17</v>
      </c>
      <c r="E378" s="1">
        <f ca="1">IFERROR(__xludf.DUMMYFUNCTION("""COMPUTED_VALUE"""),2.21)</f>
        <v>2.21</v>
      </c>
      <c r="F378" s="1">
        <f ca="1">IFERROR(__xludf.DUMMYFUNCTION("""COMPUTED_VALUE"""),197600)</f>
        <v>197600</v>
      </c>
      <c r="I378" s="1"/>
    </row>
    <row r="379" spans="1:9">
      <c r="A379" s="3">
        <f ca="1">IFERROR(__xludf.DUMMYFUNCTION("""COMPUTED_VALUE"""),29767.6666666666)</f>
        <v>29767.666666666599</v>
      </c>
      <c r="B379" s="1">
        <f ca="1">IFERROR(__xludf.DUMMYFUNCTION("""COMPUTED_VALUE"""),2.19)</f>
        <v>2.19</v>
      </c>
      <c r="C379" s="1">
        <f ca="1">IFERROR(__xludf.DUMMYFUNCTION("""COMPUTED_VALUE"""),2.2)</f>
        <v>2.2000000000000002</v>
      </c>
      <c r="D379" s="1">
        <f ca="1">IFERROR(__xludf.DUMMYFUNCTION("""COMPUTED_VALUE"""),2.16)</f>
        <v>2.16</v>
      </c>
      <c r="E379" s="1">
        <f ca="1">IFERROR(__xludf.DUMMYFUNCTION("""COMPUTED_VALUE"""),2.19)</f>
        <v>2.19</v>
      </c>
      <c r="F379" s="1">
        <f ca="1">IFERROR(__xludf.DUMMYFUNCTION("""COMPUTED_VALUE"""),159600)</f>
        <v>159600</v>
      </c>
      <c r="I379" s="1"/>
    </row>
    <row r="380" spans="1:9">
      <c r="A380" s="3">
        <f ca="1">IFERROR(__xludf.DUMMYFUNCTION("""COMPUTED_VALUE"""),29768.6666666666)</f>
        <v>29768.666666666599</v>
      </c>
      <c r="B380" s="1">
        <f ca="1">IFERROR(__xludf.DUMMYFUNCTION("""COMPUTED_VALUE"""),2.16)</f>
        <v>2.16</v>
      </c>
      <c r="C380" s="1">
        <f ca="1">IFERROR(__xludf.DUMMYFUNCTION("""COMPUTED_VALUE"""),2.2)</f>
        <v>2.2000000000000002</v>
      </c>
      <c r="D380" s="1">
        <f ca="1">IFERROR(__xludf.DUMMYFUNCTION("""COMPUTED_VALUE"""),2.14)</f>
        <v>2.14</v>
      </c>
      <c r="E380" s="1">
        <f ca="1">IFERROR(__xludf.DUMMYFUNCTION("""COMPUTED_VALUE"""),2.16)</f>
        <v>2.16</v>
      </c>
      <c r="F380" s="1">
        <f ca="1">IFERROR(__xludf.DUMMYFUNCTION("""COMPUTED_VALUE"""),198800)</f>
        <v>198800</v>
      </c>
      <c r="I380" s="1"/>
    </row>
    <row r="381" spans="1:9">
      <c r="A381" s="3">
        <f ca="1">IFERROR(__xludf.DUMMYFUNCTION("""COMPUTED_VALUE"""),29769.6666666666)</f>
        <v>29769.666666666599</v>
      </c>
      <c r="B381" s="1">
        <f ca="1">IFERROR(__xludf.DUMMYFUNCTION("""COMPUTED_VALUE"""),2.11)</f>
        <v>2.11</v>
      </c>
      <c r="C381" s="1">
        <f ca="1">IFERROR(__xludf.DUMMYFUNCTION("""COMPUTED_VALUE"""),2.16)</f>
        <v>2.16</v>
      </c>
      <c r="D381" s="1">
        <f ca="1">IFERROR(__xludf.DUMMYFUNCTION("""COMPUTED_VALUE"""),2.07)</f>
        <v>2.0699999999999998</v>
      </c>
      <c r="E381" s="1">
        <f ca="1">IFERROR(__xludf.DUMMYFUNCTION("""COMPUTED_VALUE"""),2.11)</f>
        <v>2.11</v>
      </c>
      <c r="F381" s="1">
        <f ca="1">IFERROR(__xludf.DUMMYFUNCTION("""COMPUTED_VALUE"""),110500)</f>
        <v>110500</v>
      </c>
      <c r="I381" s="1"/>
    </row>
    <row r="382" spans="1:9">
      <c r="A382" s="3">
        <f ca="1">IFERROR(__xludf.DUMMYFUNCTION("""COMPUTED_VALUE"""),29773.6666666666)</f>
        <v>29773.666666666599</v>
      </c>
      <c r="B382" s="1">
        <f ca="1">IFERROR(__xludf.DUMMYFUNCTION("""COMPUTED_VALUE"""),2.07)</f>
        <v>2.0699999999999998</v>
      </c>
      <c r="C382" s="1">
        <f ca="1">IFERROR(__xludf.DUMMYFUNCTION("""COMPUTED_VALUE"""),2.09)</f>
        <v>2.09</v>
      </c>
      <c r="D382" s="1">
        <f ca="1">IFERROR(__xludf.DUMMYFUNCTION("""COMPUTED_VALUE"""),2.03)</f>
        <v>2.0299999999999998</v>
      </c>
      <c r="E382" s="1">
        <f ca="1">IFERROR(__xludf.DUMMYFUNCTION("""COMPUTED_VALUE"""),2.07)</f>
        <v>2.0699999999999998</v>
      </c>
      <c r="F382" s="1">
        <f ca="1">IFERROR(__xludf.DUMMYFUNCTION("""COMPUTED_VALUE"""),143500)</f>
        <v>143500</v>
      </c>
      <c r="I382" s="1"/>
    </row>
    <row r="383" spans="1:9">
      <c r="A383" s="3">
        <f ca="1">IFERROR(__xludf.DUMMYFUNCTION("""COMPUTED_VALUE"""),29774.6666666666)</f>
        <v>29774.666666666599</v>
      </c>
      <c r="B383" s="1">
        <f ca="1">IFERROR(__xludf.DUMMYFUNCTION("""COMPUTED_VALUE"""),2.11)</f>
        <v>2.11</v>
      </c>
      <c r="C383" s="1">
        <f ca="1">IFERROR(__xludf.DUMMYFUNCTION("""COMPUTED_VALUE"""),2.11)</f>
        <v>2.11</v>
      </c>
      <c r="D383" s="1">
        <f ca="1">IFERROR(__xludf.DUMMYFUNCTION("""COMPUTED_VALUE"""),2.06)</f>
        <v>2.06</v>
      </c>
      <c r="E383" s="1">
        <f ca="1">IFERROR(__xludf.DUMMYFUNCTION("""COMPUTED_VALUE"""),2.11)</f>
        <v>2.11</v>
      </c>
      <c r="F383" s="1">
        <f ca="1">IFERROR(__xludf.DUMMYFUNCTION("""COMPUTED_VALUE"""),122500)</f>
        <v>122500</v>
      </c>
      <c r="I383" s="1"/>
    </row>
    <row r="384" spans="1:9">
      <c r="A384" s="3">
        <f ca="1">IFERROR(__xludf.DUMMYFUNCTION("""COMPUTED_VALUE"""),29775.6666666666)</f>
        <v>29775.666666666599</v>
      </c>
      <c r="B384" s="1">
        <f ca="1">IFERROR(__xludf.DUMMYFUNCTION("""COMPUTED_VALUE"""),2.09)</f>
        <v>2.09</v>
      </c>
      <c r="C384" s="1">
        <f ca="1">IFERROR(__xludf.DUMMYFUNCTION("""COMPUTED_VALUE"""),2.13)</f>
        <v>2.13</v>
      </c>
      <c r="D384" s="1">
        <f ca="1">IFERROR(__xludf.DUMMYFUNCTION("""COMPUTED_VALUE"""),2.06)</f>
        <v>2.06</v>
      </c>
      <c r="E384" s="1">
        <f ca="1">IFERROR(__xludf.DUMMYFUNCTION("""COMPUTED_VALUE"""),2.09)</f>
        <v>2.09</v>
      </c>
      <c r="F384" s="1">
        <f ca="1">IFERROR(__xludf.DUMMYFUNCTION("""COMPUTED_VALUE"""),77600)</f>
        <v>77600</v>
      </c>
      <c r="I384" s="1"/>
    </row>
    <row r="385" spans="1:9">
      <c r="A385" s="3">
        <f ca="1">IFERROR(__xludf.DUMMYFUNCTION("""COMPUTED_VALUE"""),29776.6666666666)</f>
        <v>29776.666666666599</v>
      </c>
      <c r="B385" s="1">
        <f ca="1">IFERROR(__xludf.DUMMYFUNCTION("""COMPUTED_VALUE"""),2.06)</f>
        <v>2.06</v>
      </c>
      <c r="C385" s="1">
        <f ca="1">IFERROR(__xludf.DUMMYFUNCTION("""COMPUTED_VALUE"""),2.09)</f>
        <v>2.09</v>
      </c>
      <c r="D385" s="1">
        <f ca="1">IFERROR(__xludf.DUMMYFUNCTION("""COMPUTED_VALUE"""),2.06)</f>
        <v>2.06</v>
      </c>
      <c r="E385" s="1">
        <f ca="1">IFERROR(__xludf.DUMMYFUNCTION("""COMPUTED_VALUE"""),2.06)</f>
        <v>2.06</v>
      </c>
      <c r="F385" s="1">
        <f ca="1">IFERROR(__xludf.DUMMYFUNCTION("""COMPUTED_VALUE"""),90900)</f>
        <v>90900</v>
      </c>
      <c r="I385" s="1"/>
    </row>
    <row r="386" spans="1:9">
      <c r="A386" s="3">
        <f ca="1">IFERROR(__xludf.DUMMYFUNCTION("""COMPUTED_VALUE"""),29777.6666666666)</f>
        <v>29777.666666666599</v>
      </c>
      <c r="B386" s="1">
        <f ca="1">IFERROR(__xludf.DUMMYFUNCTION("""COMPUTED_VALUE"""),2.03)</f>
        <v>2.0299999999999998</v>
      </c>
      <c r="C386" s="1">
        <f ca="1">IFERROR(__xludf.DUMMYFUNCTION("""COMPUTED_VALUE"""),2.08)</f>
        <v>2.08</v>
      </c>
      <c r="D386" s="1">
        <f ca="1">IFERROR(__xludf.DUMMYFUNCTION("""COMPUTED_VALUE"""),2.02)</f>
        <v>2.02</v>
      </c>
      <c r="E386" s="1">
        <f ca="1">IFERROR(__xludf.DUMMYFUNCTION("""COMPUTED_VALUE"""),2.03)</f>
        <v>2.0299999999999998</v>
      </c>
      <c r="F386" s="1">
        <f ca="1">IFERROR(__xludf.DUMMYFUNCTION("""COMPUTED_VALUE"""),96100)</f>
        <v>96100</v>
      </c>
      <c r="I386" s="1"/>
    </row>
    <row r="387" spans="1:9">
      <c r="A387" s="3">
        <f ca="1">IFERROR(__xludf.DUMMYFUNCTION("""COMPUTED_VALUE"""),29780.6666666666)</f>
        <v>29780.666666666599</v>
      </c>
      <c r="B387" s="1">
        <f ca="1">IFERROR(__xludf.DUMMYFUNCTION("""COMPUTED_VALUE"""),2.04)</f>
        <v>2.04</v>
      </c>
      <c r="C387" s="1">
        <f ca="1">IFERROR(__xludf.DUMMYFUNCTION("""COMPUTED_VALUE"""),2.06)</f>
        <v>2.06</v>
      </c>
      <c r="D387" s="1">
        <f ca="1">IFERROR(__xludf.DUMMYFUNCTION("""COMPUTED_VALUE"""),2.02)</f>
        <v>2.02</v>
      </c>
      <c r="E387" s="1">
        <f ca="1">IFERROR(__xludf.DUMMYFUNCTION("""COMPUTED_VALUE"""),2.04)</f>
        <v>2.04</v>
      </c>
      <c r="F387" s="1">
        <f ca="1">IFERROR(__xludf.DUMMYFUNCTION("""COMPUTED_VALUE"""),77800)</f>
        <v>77800</v>
      </c>
      <c r="I387" s="1"/>
    </row>
    <row r="388" spans="1:9">
      <c r="A388" s="3">
        <f ca="1">IFERROR(__xludf.DUMMYFUNCTION("""COMPUTED_VALUE"""),29781.6666666666)</f>
        <v>29781.666666666599</v>
      </c>
      <c r="B388" s="1">
        <f ca="1">IFERROR(__xludf.DUMMYFUNCTION("""COMPUTED_VALUE"""),2.02)</f>
        <v>2.02</v>
      </c>
      <c r="C388" s="1">
        <f ca="1">IFERROR(__xludf.DUMMYFUNCTION("""COMPUTED_VALUE"""),2.05)</f>
        <v>2.0499999999999998</v>
      </c>
      <c r="D388" s="1">
        <f ca="1">IFERROR(__xludf.DUMMYFUNCTION("""COMPUTED_VALUE"""),2)</f>
        <v>2</v>
      </c>
      <c r="E388" s="1">
        <f ca="1">IFERROR(__xludf.DUMMYFUNCTION("""COMPUTED_VALUE"""),2.02)</f>
        <v>2.02</v>
      </c>
      <c r="F388" s="1">
        <f ca="1">IFERROR(__xludf.DUMMYFUNCTION("""COMPUTED_VALUE"""),300300)</f>
        <v>300300</v>
      </c>
      <c r="I388" s="1"/>
    </row>
    <row r="389" spans="1:9">
      <c r="A389" s="3">
        <f ca="1">IFERROR(__xludf.DUMMYFUNCTION("""COMPUTED_VALUE"""),29782.6666666666)</f>
        <v>29782.666666666599</v>
      </c>
      <c r="B389" s="1">
        <f ca="1">IFERROR(__xludf.DUMMYFUNCTION("""COMPUTED_VALUE"""),2.02)</f>
        <v>2.02</v>
      </c>
      <c r="C389" s="1">
        <f ca="1">IFERROR(__xludf.DUMMYFUNCTION("""COMPUTED_VALUE"""),2.07)</f>
        <v>2.0699999999999998</v>
      </c>
      <c r="D389" s="1">
        <f ca="1">IFERROR(__xludf.DUMMYFUNCTION("""COMPUTED_VALUE"""),2.02)</f>
        <v>2.02</v>
      </c>
      <c r="E389" s="1">
        <f ca="1">IFERROR(__xludf.DUMMYFUNCTION("""COMPUTED_VALUE"""),2.02)</f>
        <v>2.02</v>
      </c>
      <c r="F389" s="1">
        <f ca="1">IFERROR(__xludf.DUMMYFUNCTION("""COMPUTED_VALUE"""),162500)</f>
        <v>162500</v>
      </c>
      <c r="I389" s="1"/>
    </row>
    <row r="390" spans="1:9">
      <c r="A390" s="3">
        <f ca="1">IFERROR(__xludf.DUMMYFUNCTION("""COMPUTED_VALUE"""),29783.6666666666)</f>
        <v>29783.666666666599</v>
      </c>
      <c r="B390" s="1">
        <f ca="1">IFERROR(__xludf.DUMMYFUNCTION("""COMPUTED_VALUE"""),2.05)</f>
        <v>2.0499999999999998</v>
      </c>
      <c r="C390" s="1">
        <f ca="1">IFERROR(__xludf.DUMMYFUNCTION("""COMPUTED_VALUE"""),2.05)</f>
        <v>2.0499999999999998</v>
      </c>
      <c r="D390" s="1">
        <f ca="1">IFERROR(__xludf.DUMMYFUNCTION("""COMPUTED_VALUE"""),2.04)</f>
        <v>2.04</v>
      </c>
      <c r="E390" s="1">
        <f ca="1">IFERROR(__xludf.DUMMYFUNCTION("""COMPUTED_VALUE"""),2.05)</f>
        <v>2.0499999999999998</v>
      </c>
      <c r="F390" s="1">
        <f ca="1">IFERROR(__xludf.DUMMYFUNCTION("""COMPUTED_VALUE"""),138700)</f>
        <v>138700</v>
      </c>
      <c r="I390" s="1"/>
    </row>
    <row r="391" spans="1:9">
      <c r="A391" s="3">
        <f ca="1">IFERROR(__xludf.DUMMYFUNCTION("""COMPUTED_VALUE"""),29784.6666666666)</f>
        <v>29784.666666666599</v>
      </c>
      <c r="B391" s="1">
        <f ca="1">IFERROR(__xludf.DUMMYFUNCTION("""COMPUTED_VALUE"""),2.08)</f>
        <v>2.08</v>
      </c>
      <c r="C391" s="1">
        <f ca="1">IFERROR(__xludf.DUMMYFUNCTION("""COMPUTED_VALUE"""),2.09)</f>
        <v>2.09</v>
      </c>
      <c r="D391" s="1">
        <f ca="1">IFERROR(__xludf.DUMMYFUNCTION("""COMPUTED_VALUE"""),2.05)</f>
        <v>2.0499999999999998</v>
      </c>
      <c r="E391" s="1">
        <f ca="1">IFERROR(__xludf.DUMMYFUNCTION("""COMPUTED_VALUE"""),2.08)</f>
        <v>2.08</v>
      </c>
      <c r="F391" s="1">
        <f ca="1">IFERROR(__xludf.DUMMYFUNCTION("""COMPUTED_VALUE"""),145000)</f>
        <v>145000</v>
      </c>
      <c r="I391" s="1"/>
    </row>
    <row r="392" spans="1:9">
      <c r="A392" s="3">
        <f ca="1">IFERROR(__xludf.DUMMYFUNCTION("""COMPUTED_VALUE"""),29787.6666666666)</f>
        <v>29787.666666666599</v>
      </c>
      <c r="B392" s="1">
        <f ca="1">IFERROR(__xludf.DUMMYFUNCTION("""COMPUTED_VALUE"""),2.02)</f>
        <v>2.02</v>
      </c>
      <c r="C392" s="1">
        <f ca="1">IFERROR(__xludf.DUMMYFUNCTION("""COMPUTED_VALUE"""),2.08)</f>
        <v>2.08</v>
      </c>
      <c r="D392" s="1">
        <f ca="1">IFERROR(__xludf.DUMMYFUNCTION("""COMPUTED_VALUE"""),2.02)</f>
        <v>2.02</v>
      </c>
      <c r="E392" s="1">
        <f ca="1">IFERROR(__xludf.DUMMYFUNCTION("""COMPUTED_VALUE"""),2.02)</f>
        <v>2.02</v>
      </c>
      <c r="F392" s="1">
        <f ca="1">IFERROR(__xludf.DUMMYFUNCTION("""COMPUTED_VALUE"""),100400)</f>
        <v>100400</v>
      </c>
      <c r="I392" s="1"/>
    </row>
    <row r="393" spans="1:9">
      <c r="A393" s="3">
        <f ca="1">IFERROR(__xludf.DUMMYFUNCTION("""COMPUTED_VALUE"""),29788.6666666666)</f>
        <v>29788.666666666599</v>
      </c>
      <c r="B393" s="1">
        <f ca="1">IFERROR(__xludf.DUMMYFUNCTION("""COMPUTED_VALUE"""),1.98)</f>
        <v>1.98</v>
      </c>
      <c r="C393" s="1">
        <f ca="1">IFERROR(__xludf.DUMMYFUNCTION("""COMPUTED_VALUE"""),2.02)</f>
        <v>2.02</v>
      </c>
      <c r="D393" s="1">
        <f ca="1">IFERROR(__xludf.DUMMYFUNCTION("""COMPUTED_VALUE"""),1.93)</f>
        <v>1.93</v>
      </c>
      <c r="E393" s="1">
        <f ca="1">IFERROR(__xludf.DUMMYFUNCTION("""COMPUTED_VALUE"""),1.98)</f>
        <v>1.98</v>
      </c>
      <c r="F393" s="1">
        <f ca="1">IFERROR(__xludf.DUMMYFUNCTION("""COMPUTED_VALUE"""),175300)</f>
        <v>175300</v>
      </c>
      <c r="I393" s="1"/>
    </row>
    <row r="394" spans="1:9">
      <c r="A394" s="3">
        <f ca="1">IFERROR(__xludf.DUMMYFUNCTION("""COMPUTED_VALUE"""),29789.6666666666)</f>
        <v>29789.666666666599</v>
      </c>
      <c r="B394" s="1">
        <f ca="1">IFERROR(__xludf.DUMMYFUNCTION("""COMPUTED_VALUE"""),1.89)</f>
        <v>1.89</v>
      </c>
      <c r="C394" s="1">
        <f ca="1">IFERROR(__xludf.DUMMYFUNCTION("""COMPUTED_VALUE"""),1.99)</f>
        <v>1.99</v>
      </c>
      <c r="D394" s="1">
        <f ca="1">IFERROR(__xludf.DUMMYFUNCTION("""COMPUTED_VALUE"""),1.88)</f>
        <v>1.88</v>
      </c>
      <c r="E394" s="1">
        <f ca="1">IFERROR(__xludf.DUMMYFUNCTION("""COMPUTED_VALUE"""),1.89)</f>
        <v>1.89</v>
      </c>
      <c r="F394" s="1">
        <f ca="1">IFERROR(__xludf.DUMMYFUNCTION("""COMPUTED_VALUE"""),165600)</f>
        <v>165600</v>
      </c>
      <c r="I394" s="1"/>
    </row>
    <row r="395" spans="1:9">
      <c r="A395" s="3">
        <f ca="1">IFERROR(__xludf.DUMMYFUNCTION("""COMPUTED_VALUE"""),29790.6666666666)</f>
        <v>29790.666666666599</v>
      </c>
      <c r="B395" s="1">
        <f ca="1">IFERROR(__xludf.DUMMYFUNCTION("""COMPUTED_VALUE"""),1.98)</f>
        <v>1.98</v>
      </c>
      <c r="C395" s="1">
        <f ca="1">IFERROR(__xludf.DUMMYFUNCTION("""COMPUTED_VALUE"""),1.98)</f>
        <v>1.98</v>
      </c>
      <c r="D395" s="1">
        <f ca="1">IFERROR(__xludf.DUMMYFUNCTION("""COMPUTED_VALUE"""),1.91)</f>
        <v>1.91</v>
      </c>
      <c r="E395" s="1">
        <f ca="1">IFERROR(__xludf.DUMMYFUNCTION("""COMPUTED_VALUE"""),1.98)</f>
        <v>1.98</v>
      </c>
      <c r="F395" s="1">
        <f ca="1">IFERROR(__xludf.DUMMYFUNCTION("""COMPUTED_VALUE"""),101500)</f>
        <v>101500</v>
      </c>
      <c r="I395" s="1"/>
    </row>
    <row r="396" spans="1:9">
      <c r="A396" s="3">
        <f ca="1">IFERROR(__xludf.DUMMYFUNCTION("""COMPUTED_VALUE"""),29791.6666666666)</f>
        <v>29791.666666666599</v>
      </c>
      <c r="B396" s="1">
        <f ca="1">IFERROR(__xludf.DUMMYFUNCTION("""COMPUTED_VALUE"""),2.03)</f>
        <v>2.0299999999999998</v>
      </c>
      <c r="C396" s="1">
        <f ca="1">IFERROR(__xludf.DUMMYFUNCTION("""COMPUTED_VALUE"""),2.03)</f>
        <v>2.0299999999999998</v>
      </c>
      <c r="D396" s="1">
        <f ca="1">IFERROR(__xludf.DUMMYFUNCTION("""COMPUTED_VALUE"""),1.96)</f>
        <v>1.96</v>
      </c>
      <c r="E396" s="1">
        <f ca="1">IFERROR(__xludf.DUMMYFUNCTION("""COMPUTED_VALUE"""),2.03)</f>
        <v>2.0299999999999998</v>
      </c>
      <c r="F396" s="1">
        <f ca="1">IFERROR(__xludf.DUMMYFUNCTION("""COMPUTED_VALUE"""),62900)</f>
        <v>62900</v>
      </c>
      <c r="I396" s="1"/>
    </row>
    <row r="397" spans="1:9">
      <c r="A397" s="3">
        <f ca="1">IFERROR(__xludf.DUMMYFUNCTION("""COMPUTED_VALUE"""),29794.6666666666)</f>
        <v>29794.666666666599</v>
      </c>
      <c r="B397" s="1">
        <f ca="1">IFERROR(__xludf.DUMMYFUNCTION("""COMPUTED_VALUE"""),2.08)</f>
        <v>2.08</v>
      </c>
      <c r="C397" s="1">
        <f ca="1">IFERROR(__xludf.DUMMYFUNCTION("""COMPUTED_VALUE"""),2.09)</f>
        <v>2.09</v>
      </c>
      <c r="D397" s="1">
        <f ca="1">IFERROR(__xludf.DUMMYFUNCTION("""COMPUTED_VALUE"""),2.04)</f>
        <v>2.04</v>
      </c>
      <c r="E397" s="1">
        <f ca="1">IFERROR(__xludf.DUMMYFUNCTION("""COMPUTED_VALUE"""),2.08)</f>
        <v>2.08</v>
      </c>
      <c r="F397" s="1">
        <f ca="1">IFERROR(__xludf.DUMMYFUNCTION("""COMPUTED_VALUE"""),110900)</f>
        <v>110900</v>
      </c>
      <c r="I397" s="1"/>
    </row>
    <row r="398" spans="1:9">
      <c r="A398" s="3">
        <f ca="1">IFERROR(__xludf.DUMMYFUNCTION("""COMPUTED_VALUE"""),29795.6666666666)</f>
        <v>29795.666666666599</v>
      </c>
      <c r="B398" s="1">
        <f ca="1">IFERROR(__xludf.DUMMYFUNCTION("""COMPUTED_VALUE"""),2.05)</f>
        <v>2.0499999999999998</v>
      </c>
      <c r="C398" s="1">
        <f ca="1">IFERROR(__xludf.DUMMYFUNCTION("""COMPUTED_VALUE"""),2.09)</f>
        <v>2.09</v>
      </c>
      <c r="D398" s="1">
        <f ca="1">IFERROR(__xludf.DUMMYFUNCTION("""COMPUTED_VALUE"""),2.05)</f>
        <v>2.0499999999999998</v>
      </c>
      <c r="E398" s="1">
        <f ca="1">IFERROR(__xludf.DUMMYFUNCTION("""COMPUTED_VALUE"""),2.05)</f>
        <v>2.0499999999999998</v>
      </c>
      <c r="F398" s="1">
        <f ca="1">IFERROR(__xludf.DUMMYFUNCTION("""COMPUTED_VALUE"""),111100)</f>
        <v>111100</v>
      </c>
      <c r="I398" s="1"/>
    </row>
    <row r="399" spans="1:9">
      <c r="A399" s="3">
        <f ca="1">IFERROR(__xludf.DUMMYFUNCTION("""COMPUTED_VALUE"""),29796.6666666666)</f>
        <v>29796.666666666599</v>
      </c>
      <c r="B399" s="1">
        <f ca="1">IFERROR(__xludf.DUMMYFUNCTION("""COMPUTED_VALUE"""),2.04)</f>
        <v>2.04</v>
      </c>
      <c r="C399" s="1">
        <f ca="1">IFERROR(__xludf.DUMMYFUNCTION("""COMPUTED_VALUE"""),2.09)</f>
        <v>2.09</v>
      </c>
      <c r="D399" s="1">
        <f ca="1">IFERROR(__xludf.DUMMYFUNCTION("""COMPUTED_VALUE"""),2.02)</f>
        <v>2.02</v>
      </c>
      <c r="E399" s="1">
        <f ca="1">IFERROR(__xludf.DUMMYFUNCTION("""COMPUTED_VALUE"""),2.04)</f>
        <v>2.04</v>
      </c>
      <c r="F399" s="1">
        <f ca="1">IFERROR(__xludf.DUMMYFUNCTION("""COMPUTED_VALUE"""),104800)</f>
        <v>104800</v>
      </c>
      <c r="I399" s="1"/>
    </row>
    <row r="400" spans="1:9">
      <c r="A400" s="3">
        <f ca="1">IFERROR(__xludf.DUMMYFUNCTION("""COMPUTED_VALUE"""),29797.6666666666)</f>
        <v>29797.666666666599</v>
      </c>
      <c r="B400" s="1">
        <f ca="1">IFERROR(__xludf.DUMMYFUNCTION("""COMPUTED_VALUE"""),2.06)</f>
        <v>2.06</v>
      </c>
      <c r="C400" s="1">
        <f ca="1">IFERROR(__xludf.DUMMYFUNCTION("""COMPUTED_VALUE"""),2.09)</f>
        <v>2.09</v>
      </c>
      <c r="D400" s="1">
        <f ca="1">IFERROR(__xludf.DUMMYFUNCTION("""COMPUTED_VALUE"""),2.02)</f>
        <v>2.02</v>
      </c>
      <c r="E400" s="1">
        <f ca="1">IFERROR(__xludf.DUMMYFUNCTION("""COMPUTED_VALUE"""),2.06)</f>
        <v>2.06</v>
      </c>
      <c r="F400" s="1">
        <f ca="1">IFERROR(__xludf.DUMMYFUNCTION("""COMPUTED_VALUE"""),100300)</f>
        <v>100300</v>
      </c>
      <c r="I400" s="1"/>
    </row>
    <row r="401" spans="1:9">
      <c r="A401" s="3">
        <f ca="1">IFERROR(__xludf.DUMMYFUNCTION("""COMPUTED_VALUE"""),29798.6666666666)</f>
        <v>29798.666666666599</v>
      </c>
      <c r="B401" s="1">
        <f ca="1">IFERROR(__xludf.DUMMYFUNCTION("""COMPUTED_VALUE"""),2.1)</f>
        <v>2.1</v>
      </c>
      <c r="C401" s="1">
        <f ca="1">IFERROR(__xludf.DUMMYFUNCTION("""COMPUTED_VALUE"""),2.11)</f>
        <v>2.11</v>
      </c>
      <c r="D401" s="1">
        <f ca="1">IFERROR(__xludf.DUMMYFUNCTION("""COMPUTED_VALUE"""),2.06)</f>
        <v>2.06</v>
      </c>
      <c r="E401" s="1">
        <f ca="1">IFERROR(__xludf.DUMMYFUNCTION("""COMPUTED_VALUE"""),2.1)</f>
        <v>2.1</v>
      </c>
      <c r="F401" s="1">
        <f ca="1">IFERROR(__xludf.DUMMYFUNCTION("""COMPUTED_VALUE"""),138600)</f>
        <v>138600</v>
      </c>
      <c r="I401" s="1"/>
    </row>
    <row r="402" spans="1:9">
      <c r="A402" s="3">
        <f ca="1">IFERROR(__xludf.DUMMYFUNCTION("""COMPUTED_VALUE"""),29801.6666666666)</f>
        <v>29801.666666666599</v>
      </c>
      <c r="B402" s="1">
        <f ca="1">IFERROR(__xludf.DUMMYFUNCTION("""COMPUTED_VALUE"""),2.09)</f>
        <v>2.09</v>
      </c>
      <c r="C402" s="1">
        <f ca="1">IFERROR(__xludf.DUMMYFUNCTION("""COMPUTED_VALUE"""),2.13)</f>
        <v>2.13</v>
      </c>
      <c r="D402" s="1">
        <f ca="1">IFERROR(__xludf.DUMMYFUNCTION("""COMPUTED_VALUE"""),2.09)</f>
        <v>2.09</v>
      </c>
      <c r="E402" s="1">
        <f ca="1">IFERROR(__xludf.DUMMYFUNCTION("""COMPUTED_VALUE"""),2.09)</f>
        <v>2.09</v>
      </c>
      <c r="F402" s="1">
        <f ca="1">IFERROR(__xludf.DUMMYFUNCTION("""COMPUTED_VALUE"""),47700)</f>
        <v>47700</v>
      </c>
      <c r="I402" s="1"/>
    </row>
    <row r="403" spans="1:9">
      <c r="A403" s="3">
        <f ca="1">IFERROR(__xludf.DUMMYFUNCTION("""COMPUTED_VALUE"""),29802.6666666666)</f>
        <v>29802.666666666599</v>
      </c>
      <c r="B403" s="1">
        <f ca="1">IFERROR(__xludf.DUMMYFUNCTION("""COMPUTED_VALUE"""),2.08)</f>
        <v>2.08</v>
      </c>
      <c r="C403" s="1">
        <f ca="1">IFERROR(__xludf.DUMMYFUNCTION("""COMPUTED_VALUE"""),2.11)</f>
        <v>2.11</v>
      </c>
      <c r="D403" s="1">
        <f ca="1">IFERROR(__xludf.DUMMYFUNCTION("""COMPUTED_VALUE"""),2.06)</f>
        <v>2.06</v>
      </c>
      <c r="E403" s="1">
        <f ca="1">IFERROR(__xludf.DUMMYFUNCTION("""COMPUTED_VALUE"""),2.08)</f>
        <v>2.08</v>
      </c>
      <c r="F403" s="1">
        <f ca="1">IFERROR(__xludf.DUMMYFUNCTION("""COMPUTED_VALUE"""),62000)</f>
        <v>62000</v>
      </c>
      <c r="I403" s="1"/>
    </row>
    <row r="404" spans="1:9">
      <c r="A404" s="3">
        <f ca="1">IFERROR(__xludf.DUMMYFUNCTION("""COMPUTED_VALUE"""),29803.6666666666)</f>
        <v>29803.666666666599</v>
      </c>
      <c r="B404" s="1">
        <f ca="1">IFERROR(__xludf.DUMMYFUNCTION("""COMPUTED_VALUE"""),2.07)</f>
        <v>2.0699999999999998</v>
      </c>
      <c r="C404" s="1">
        <f ca="1">IFERROR(__xludf.DUMMYFUNCTION("""COMPUTED_VALUE"""),2.09)</f>
        <v>2.09</v>
      </c>
      <c r="D404" s="1">
        <f ca="1">IFERROR(__xludf.DUMMYFUNCTION("""COMPUTED_VALUE"""),2.07)</f>
        <v>2.0699999999999998</v>
      </c>
      <c r="E404" s="1">
        <f ca="1">IFERROR(__xludf.DUMMYFUNCTION("""COMPUTED_VALUE"""),2.07)</f>
        <v>2.0699999999999998</v>
      </c>
      <c r="F404" s="1">
        <f ca="1">IFERROR(__xludf.DUMMYFUNCTION("""COMPUTED_VALUE"""),58900)</f>
        <v>58900</v>
      </c>
      <c r="I404" s="1"/>
    </row>
    <row r="405" spans="1:9">
      <c r="A405" s="3">
        <f ca="1">IFERROR(__xludf.DUMMYFUNCTION("""COMPUTED_VALUE"""),29804.6666666666)</f>
        <v>29804.666666666599</v>
      </c>
      <c r="B405" s="1">
        <f ca="1">IFERROR(__xludf.DUMMYFUNCTION("""COMPUTED_VALUE"""),2.06)</f>
        <v>2.06</v>
      </c>
      <c r="C405" s="1">
        <f ca="1">IFERROR(__xludf.DUMMYFUNCTION("""COMPUTED_VALUE"""),2.07)</f>
        <v>2.0699999999999998</v>
      </c>
      <c r="D405" s="1">
        <f ca="1">IFERROR(__xludf.DUMMYFUNCTION("""COMPUTED_VALUE"""),2.05)</f>
        <v>2.0499999999999998</v>
      </c>
      <c r="E405" s="1">
        <f ca="1">IFERROR(__xludf.DUMMYFUNCTION("""COMPUTED_VALUE"""),2.06)</f>
        <v>2.06</v>
      </c>
      <c r="F405" s="1">
        <f ca="1">IFERROR(__xludf.DUMMYFUNCTION("""COMPUTED_VALUE"""),165200)</f>
        <v>165200</v>
      </c>
      <c r="I405" s="1"/>
    </row>
    <row r="406" spans="1:9">
      <c r="A406" s="3">
        <f ca="1">IFERROR(__xludf.DUMMYFUNCTION("""COMPUTED_VALUE"""),29805.6666666666)</f>
        <v>29805.666666666599</v>
      </c>
      <c r="B406" s="1">
        <f ca="1">IFERROR(__xludf.DUMMYFUNCTION("""COMPUTED_VALUE"""),2.05)</f>
        <v>2.0499999999999998</v>
      </c>
      <c r="C406" s="1">
        <f ca="1">IFERROR(__xludf.DUMMYFUNCTION("""COMPUTED_VALUE"""),2.05)</f>
        <v>2.0499999999999998</v>
      </c>
      <c r="D406" s="1">
        <f ca="1">IFERROR(__xludf.DUMMYFUNCTION("""COMPUTED_VALUE"""),2)</f>
        <v>2</v>
      </c>
      <c r="E406" s="1">
        <f ca="1">IFERROR(__xludf.DUMMYFUNCTION("""COMPUTED_VALUE"""),2.05)</f>
        <v>2.0499999999999998</v>
      </c>
      <c r="F406" s="1">
        <f ca="1">IFERROR(__xludf.DUMMYFUNCTION("""COMPUTED_VALUE"""),48900)</f>
        <v>48900</v>
      </c>
      <c r="I406" s="1"/>
    </row>
    <row r="407" spans="1:9">
      <c r="A407" s="3">
        <f ca="1">IFERROR(__xludf.DUMMYFUNCTION("""COMPUTED_VALUE"""),29808.6666666666)</f>
        <v>29808.666666666599</v>
      </c>
      <c r="B407" s="1">
        <f ca="1">IFERROR(__xludf.DUMMYFUNCTION("""COMPUTED_VALUE"""),2.05)</f>
        <v>2.0499999999999998</v>
      </c>
      <c r="C407" s="1">
        <f ca="1">IFERROR(__xludf.DUMMYFUNCTION("""COMPUTED_VALUE"""),2.05)</f>
        <v>2.0499999999999998</v>
      </c>
      <c r="D407" s="1">
        <f ca="1">IFERROR(__xludf.DUMMYFUNCTION("""COMPUTED_VALUE"""),2.02)</f>
        <v>2.02</v>
      </c>
      <c r="E407" s="1">
        <f ca="1">IFERROR(__xludf.DUMMYFUNCTION("""COMPUTED_VALUE"""),2.05)</f>
        <v>2.0499999999999998</v>
      </c>
      <c r="F407" s="1">
        <f ca="1">IFERROR(__xludf.DUMMYFUNCTION("""COMPUTED_VALUE"""),83800)</f>
        <v>83800</v>
      </c>
      <c r="I407" s="1"/>
    </row>
    <row r="408" spans="1:9">
      <c r="A408" s="3">
        <f ca="1">IFERROR(__xludf.DUMMYFUNCTION("""COMPUTED_VALUE"""),29809.6666666666)</f>
        <v>29809.666666666599</v>
      </c>
      <c r="B408" s="1">
        <f ca="1">IFERROR(__xludf.DUMMYFUNCTION("""COMPUTED_VALUE"""),2.04)</f>
        <v>2.04</v>
      </c>
      <c r="C408" s="1">
        <f ca="1">IFERROR(__xludf.DUMMYFUNCTION("""COMPUTED_VALUE"""),2.04)</f>
        <v>2.04</v>
      </c>
      <c r="D408" s="1">
        <f ca="1">IFERROR(__xludf.DUMMYFUNCTION("""COMPUTED_VALUE"""),2.01)</f>
        <v>2.0099999999999998</v>
      </c>
      <c r="E408" s="1">
        <f ca="1">IFERROR(__xludf.DUMMYFUNCTION("""COMPUTED_VALUE"""),2.04)</f>
        <v>2.04</v>
      </c>
      <c r="F408" s="1">
        <f ca="1">IFERROR(__xludf.DUMMYFUNCTION("""COMPUTED_VALUE"""),151100)</f>
        <v>151100</v>
      </c>
      <c r="I408" s="1"/>
    </row>
    <row r="409" spans="1:9">
      <c r="A409" s="3">
        <f ca="1">IFERROR(__xludf.DUMMYFUNCTION("""COMPUTED_VALUE"""),29810.6666666666)</f>
        <v>29810.666666666599</v>
      </c>
      <c r="B409" s="1">
        <f ca="1">IFERROR(__xludf.DUMMYFUNCTION("""COMPUTED_VALUE"""),2.02)</f>
        <v>2.02</v>
      </c>
      <c r="C409" s="1">
        <f ca="1">IFERROR(__xludf.DUMMYFUNCTION("""COMPUTED_VALUE"""),2.05)</f>
        <v>2.0499999999999998</v>
      </c>
      <c r="D409" s="1">
        <f ca="1">IFERROR(__xludf.DUMMYFUNCTION("""COMPUTED_VALUE"""),2.02)</f>
        <v>2.02</v>
      </c>
      <c r="E409" s="1">
        <f ca="1">IFERROR(__xludf.DUMMYFUNCTION("""COMPUTED_VALUE"""),2.02)</f>
        <v>2.02</v>
      </c>
      <c r="F409" s="1">
        <f ca="1">IFERROR(__xludf.DUMMYFUNCTION("""COMPUTED_VALUE"""),76500)</f>
        <v>76500</v>
      </c>
      <c r="I409" s="1"/>
    </row>
    <row r="410" spans="1:9">
      <c r="A410" s="3">
        <f ca="1">IFERROR(__xludf.DUMMYFUNCTION("""COMPUTED_VALUE"""),29811.6666666666)</f>
        <v>29811.666666666599</v>
      </c>
      <c r="B410" s="1">
        <f ca="1">IFERROR(__xludf.DUMMYFUNCTION("""COMPUTED_VALUE"""),1.99)</f>
        <v>1.99</v>
      </c>
      <c r="C410" s="1">
        <f ca="1">IFERROR(__xludf.DUMMYFUNCTION("""COMPUTED_VALUE"""),2.03)</f>
        <v>2.0299999999999998</v>
      </c>
      <c r="D410" s="1">
        <f ca="1">IFERROR(__xludf.DUMMYFUNCTION("""COMPUTED_VALUE"""),1.98)</f>
        <v>1.98</v>
      </c>
      <c r="E410" s="1">
        <f ca="1">IFERROR(__xludf.DUMMYFUNCTION("""COMPUTED_VALUE"""),1.99)</f>
        <v>1.99</v>
      </c>
      <c r="F410" s="1">
        <f ca="1">IFERROR(__xludf.DUMMYFUNCTION("""COMPUTED_VALUE"""),132100)</f>
        <v>132100</v>
      </c>
      <c r="I410" s="1"/>
    </row>
    <row r="411" spans="1:9">
      <c r="A411" s="3">
        <f ca="1">IFERROR(__xludf.DUMMYFUNCTION("""COMPUTED_VALUE"""),29812.6666666666)</f>
        <v>29812.666666666599</v>
      </c>
      <c r="B411" s="1">
        <f ca="1">IFERROR(__xludf.DUMMYFUNCTION("""COMPUTED_VALUE"""),1.98)</f>
        <v>1.98</v>
      </c>
      <c r="C411" s="1">
        <f ca="1">IFERROR(__xludf.DUMMYFUNCTION("""COMPUTED_VALUE"""),1.99)</f>
        <v>1.99</v>
      </c>
      <c r="D411" s="1">
        <f ca="1">IFERROR(__xludf.DUMMYFUNCTION("""COMPUTED_VALUE"""),1.97)</f>
        <v>1.97</v>
      </c>
      <c r="E411" s="1">
        <f ca="1">IFERROR(__xludf.DUMMYFUNCTION("""COMPUTED_VALUE"""),1.98)</f>
        <v>1.98</v>
      </c>
      <c r="F411" s="1">
        <f ca="1">IFERROR(__xludf.DUMMYFUNCTION("""COMPUTED_VALUE"""),120600)</f>
        <v>120600</v>
      </c>
      <c r="I411" s="1"/>
    </row>
    <row r="412" spans="1:9">
      <c r="A412" s="3">
        <f ca="1">IFERROR(__xludf.DUMMYFUNCTION("""COMPUTED_VALUE"""),29815.6666666666)</f>
        <v>29815.666666666599</v>
      </c>
      <c r="B412" s="1">
        <f ca="1">IFERROR(__xludf.DUMMYFUNCTION("""COMPUTED_VALUE"""),1.92)</f>
        <v>1.92</v>
      </c>
      <c r="C412" s="1">
        <f ca="1">IFERROR(__xludf.DUMMYFUNCTION("""COMPUTED_VALUE"""),1.97)</f>
        <v>1.97</v>
      </c>
      <c r="D412" s="1">
        <f ca="1">IFERROR(__xludf.DUMMYFUNCTION("""COMPUTED_VALUE"""),1.91)</f>
        <v>1.91</v>
      </c>
      <c r="E412" s="1">
        <f ca="1">IFERROR(__xludf.DUMMYFUNCTION("""COMPUTED_VALUE"""),1.92)</f>
        <v>1.92</v>
      </c>
      <c r="F412" s="1">
        <f ca="1">IFERROR(__xludf.DUMMYFUNCTION("""COMPUTED_VALUE"""),118700)</f>
        <v>118700</v>
      </c>
      <c r="I412" s="1"/>
    </row>
    <row r="413" spans="1:9">
      <c r="A413" s="3">
        <f ca="1">IFERROR(__xludf.DUMMYFUNCTION("""COMPUTED_VALUE"""),29816.6666666666)</f>
        <v>29816.666666666599</v>
      </c>
      <c r="B413" s="1">
        <f ca="1">IFERROR(__xludf.DUMMYFUNCTION("""COMPUTED_VALUE"""),1.94)</f>
        <v>1.94</v>
      </c>
      <c r="C413" s="1">
        <f ca="1">IFERROR(__xludf.DUMMYFUNCTION("""COMPUTED_VALUE"""),1.95)</f>
        <v>1.95</v>
      </c>
      <c r="D413" s="1">
        <f ca="1">IFERROR(__xludf.DUMMYFUNCTION("""COMPUTED_VALUE"""),1.92)</f>
        <v>1.92</v>
      </c>
      <c r="E413" s="1">
        <f ca="1">IFERROR(__xludf.DUMMYFUNCTION("""COMPUTED_VALUE"""),1.94)</f>
        <v>1.94</v>
      </c>
      <c r="F413" s="1">
        <f ca="1">IFERROR(__xludf.DUMMYFUNCTION("""COMPUTED_VALUE"""),119400)</f>
        <v>119400</v>
      </c>
      <c r="I413" s="1"/>
    </row>
    <row r="414" spans="1:9">
      <c r="A414" s="3">
        <f ca="1">IFERROR(__xludf.DUMMYFUNCTION("""COMPUTED_VALUE"""),29817.6666666666)</f>
        <v>29817.666666666599</v>
      </c>
      <c r="B414" s="1">
        <f ca="1">IFERROR(__xludf.DUMMYFUNCTION("""COMPUTED_VALUE"""),1.98)</f>
        <v>1.98</v>
      </c>
      <c r="C414" s="1">
        <f ca="1">IFERROR(__xludf.DUMMYFUNCTION("""COMPUTED_VALUE"""),2)</f>
        <v>2</v>
      </c>
      <c r="D414" s="1">
        <f ca="1">IFERROR(__xludf.DUMMYFUNCTION("""COMPUTED_VALUE"""),1.92)</f>
        <v>1.92</v>
      </c>
      <c r="E414" s="1">
        <f ca="1">IFERROR(__xludf.DUMMYFUNCTION("""COMPUTED_VALUE"""),1.98)</f>
        <v>1.98</v>
      </c>
      <c r="F414" s="1">
        <f ca="1">IFERROR(__xludf.DUMMYFUNCTION("""COMPUTED_VALUE"""),107900)</f>
        <v>107900</v>
      </c>
      <c r="I414" s="1"/>
    </row>
    <row r="415" spans="1:9">
      <c r="A415" s="3">
        <f ca="1">IFERROR(__xludf.DUMMYFUNCTION("""COMPUTED_VALUE"""),29818.6666666666)</f>
        <v>29818.666666666599</v>
      </c>
      <c r="B415" s="1">
        <f ca="1">IFERROR(__xludf.DUMMYFUNCTION("""COMPUTED_VALUE"""),2.02)</f>
        <v>2.02</v>
      </c>
      <c r="C415" s="1">
        <f ca="1">IFERROR(__xludf.DUMMYFUNCTION("""COMPUTED_VALUE"""),2.08)</f>
        <v>2.08</v>
      </c>
      <c r="D415" s="1">
        <f ca="1">IFERROR(__xludf.DUMMYFUNCTION("""COMPUTED_VALUE"""),1.99)</f>
        <v>1.99</v>
      </c>
      <c r="E415" s="1">
        <f ca="1">IFERROR(__xludf.DUMMYFUNCTION("""COMPUTED_VALUE"""),2.02)</f>
        <v>2.02</v>
      </c>
      <c r="F415" s="1">
        <f ca="1">IFERROR(__xludf.DUMMYFUNCTION("""COMPUTED_VALUE"""),104200)</f>
        <v>104200</v>
      </c>
      <c r="I415" s="1"/>
    </row>
    <row r="416" spans="1:9">
      <c r="A416" s="3">
        <f ca="1">IFERROR(__xludf.DUMMYFUNCTION("""COMPUTED_VALUE"""),29819.6666666666)</f>
        <v>29819.666666666599</v>
      </c>
      <c r="B416" s="1">
        <f ca="1">IFERROR(__xludf.DUMMYFUNCTION("""COMPUTED_VALUE"""),1.96)</f>
        <v>1.96</v>
      </c>
      <c r="C416" s="1">
        <f ca="1">IFERROR(__xludf.DUMMYFUNCTION("""COMPUTED_VALUE"""),1.98)</f>
        <v>1.98</v>
      </c>
      <c r="D416" s="1">
        <f ca="1">IFERROR(__xludf.DUMMYFUNCTION("""COMPUTED_VALUE"""),1.92)</f>
        <v>1.92</v>
      </c>
      <c r="E416" s="1">
        <f ca="1">IFERROR(__xludf.DUMMYFUNCTION("""COMPUTED_VALUE"""),1.96)</f>
        <v>1.96</v>
      </c>
      <c r="F416" s="1">
        <f ca="1">IFERROR(__xludf.DUMMYFUNCTION("""COMPUTED_VALUE"""),440200)</f>
        <v>440200</v>
      </c>
      <c r="I416" s="1"/>
    </row>
    <row r="417" spans="1:9">
      <c r="A417" s="3">
        <f ca="1">IFERROR(__xludf.DUMMYFUNCTION("""COMPUTED_VALUE"""),29822.6666666666)</f>
        <v>29822.666666666599</v>
      </c>
      <c r="B417" s="1">
        <f ca="1">IFERROR(__xludf.DUMMYFUNCTION("""COMPUTED_VALUE"""),1.91)</f>
        <v>1.91</v>
      </c>
      <c r="C417" s="1">
        <f ca="1">IFERROR(__xludf.DUMMYFUNCTION("""COMPUTED_VALUE"""),1.94)</f>
        <v>1.94</v>
      </c>
      <c r="D417" s="1">
        <f ca="1">IFERROR(__xludf.DUMMYFUNCTION("""COMPUTED_VALUE"""),1.89)</f>
        <v>1.89</v>
      </c>
      <c r="E417" s="1">
        <f ca="1">IFERROR(__xludf.DUMMYFUNCTION("""COMPUTED_VALUE"""),1.91)</f>
        <v>1.91</v>
      </c>
      <c r="F417" s="1">
        <f ca="1">IFERROR(__xludf.DUMMYFUNCTION("""COMPUTED_VALUE"""),200500)</f>
        <v>200500</v>
      </c>
      <c r="I417" s="1"/>
    </row>
    <row r="418" spans="1:9">
      <c r="A418" s="3">
        <f ca="1">IFERROR(__xludf.DUMMYFUNCTION("""COMPUTED_VALUE"""),29823.6666666666)</f>
        <v>29823.666666666599</v>
      </c>
      <c r="B418" s="1">
        <f ca="1">IFERROR(__xludf.DUMMYFUNCTION("""COMPUTED_VALUE"""),1.95)</f>
        <v>1.95</v>
      </c>
      <c r="C418" s="1">
        <f ca="1">IFERROR(__xludf.DUMMYFUNCTION("""COMPUTED_VALUE"""),1.95)</f>
        <v>1.95</v>
      </c>
      <c r="D418" s="1">
        <f ca="1">IFERROR(__xludf.DUMMYFUNCTION("""COMPUTED_VALUE"""),1.88)</f>
        <v>1.88</v>
      </c>
      <c r="E418" s="1">
        <f ca="1">IFERROR(__xludf.DUMMYFUNCTION("""COMPUTED_VALUE"""),1.95)</f>
        <v>1.95</v>
      </c>
      <c r="F418" s="1">
        <f ca="1">IFERROR(__xludf.DUMMYFUNCTION("""COMPUTED_VALUE"""),279900)</f>
        <v>279900</v>
      </c>
      <c r="I418" s="1"/>
    </row>
    <row r="419" spans="1:9">
      <c r="A419" s="3">
        <f ca="1">IFERROR(__xludf.DUMMYFUNCTION("""COMPUTED_VALUE"""),29824.6666666666)</f>
        <v>29824.666666666599</v>
      </c>
      <c r="B419" s="1">
        <f ca="1">IFERROR(__xludf.DUMMYFUNCTION("""COMPUTED_VALUE"""),1.95)</f>
        <v>1.95</v>
      </c>
      <c r="C419" s="1">
        <f ca="1">IFERROR(__xludf.DUMMYFUNCTION("""COMPUTED_VALUE"""),1.97)</f>
        <v>1.97</v>
      </c>
      <c r="D419" s="1">
        <f ca="1">IFERROR(__xludf.DUMMYFUNCTION("""COMPUTED_VALUE"""),1.93)</f>
        <v>1.93</v>
      </c>
      <c r="E419" s="1">
        <f ca="1">IFERROR(__xludf.DUMMYFUNCTION("""COMPUTED_VALUE"""),1.95)</f>
        <v>1.95</v>
      </c>
      <c r="F419" s="1">
        <f ca="1">IFERROR(__xludf.DUMMYFUNCTION("""COMPUTED_VALUE"""),240500)</f>
        <v>240500</v>
      </c>
      <c r="I419" s="1"/>
    </row>
    <row r="420" spans="1:9">
      <c r="A420" s="3">
        <f ca="1">IFERROR(__xludf.DUMMYFUNCTION("""COMPUTED_VALUE"""),29825.6666666666)</f>
        <v>29825.666666666599</v>
      </c>
      <c r="B420" s="1">
        <f ca="1">IFERROR(__xludf.DUMMYFUNCTION("""COMPUTED_VALUE"""),1.89)</f>
        <v>1.89</v>
      </c>
      <c r="C420" s="1">
        <f ca="1">IFERROR(__xludf.DUMMYFUNCTION("""COMPUTED_VALUE"""),1.95)</f>
        <v>1.95</v>
      </c>
      <c r="D420" s="1">
        <f ca="1">IFERROR(__xludf.DUMMYFUNCTION("""COMPUTED_VALUE"""),1.88)</f>
        <v>1.88</v>
      </c>
      <c r="E420" s="1">
        <f ca="1">IFERROR(__xludf.DUMMYFUNCTION("""COMPUTED_VALUE"""),1.89)</f>
        <v>1.89</v>
      </c>
      <c r="F420" s="1">
        <f ca="1">IFERROR(__xludf.DUMMYFUNCTION("""COMPUTED_VALUE"""),212200)</f>
        <v>212200</v>
      </c>
      <c r="I420" s="1"/>
    </row>
    <row r="421" spans="1:9">
      <c r="A421" s="3">
        <f ca="1">IFERROR(__xludf.DUMMYFUNCTION("""COMPUTED_VALUE"""),29826.6666666666)</f>
        <v>29826.666666666599</v>
      </c>
      <c r="B421" s="1">
        <f ca="1">IFERROR(__xludf.DUMMYFUNCTION("""COMPUTED_VALUE"""),1.88)</f>
        <v>1.88</v>
      </c>
      <c r="C421" s="1">
        <f ca="1">IFERROR(__xludf.DUMMYFUNCTION("""COMPUTED_VALUE"""),1.91)</f>
        <v>1.91</v>
      </c>
      <c r="D421" s="1">
        <f ca="1">IFERROR(__xludf.DUMMYFUNCTION("""COMPUTED_VALUE"""),1.88)</f>
        <v>1.88</v>
      </c>
      <c r="E421" s="1">
        <f ca="1">IFERROR(__xludf.DUMMYFUNCTION("""COMPUTED_VALUE"""),1.88)</f>
        <v>1.88</v>
      </c>
      <c r="F421" s="1">
        <f ca="1">IFERROR(__xludf.DUMMYFUNCTION("""COMPUTED_VALUE"""),220400)</f>
        <v>220400</v>
      </c>
      <c r="I421" s="1"/>
    </row>
    <row r="422" spans="1:9">
      <c r="A422" s="3">
        <f ca="1">IFERROR(__xludf.DUMMYFUNCTION("""COMPUTED_VALUE"""),29829.6666666666)</f>
        <v>29829.666666666599</v>
      </c>
      <c r="B422" s="1">
        <f ca="1">IFERROR(__xludf.DUMMYFUNCTION("""COMPUTED_VALUE"""),1.87)</f>
        <v>1.87</v>
      </c>
      <c r="C422" s="1">
        <f ca="1">IFERROR(__xludf.DUMMYFUNCTION("""COMPUTED_VALUE"""),1.91)</f>
        <v>1.91</v>
      </c>
      <c r="D422" s="1">
        <f ca="1">IFERROR(__xludf.DUMMYFUNCTION("""COMPUTED_VALUE"""),1.86)</f>
        <v>1.86</v>
      </c>
      <c r="E422" s="1">
        <f ca="1">IFERROR(__xludf.DUMMYFUNCTION("""COMPUTED_VALUE"""),1.87)</f>
        <v>1.87</v>
      </c>
      <c r="F422" s="1">
        <f ca="1">IFERROR(__xludf.DUMMYFUNCTION("""COMPUTED_VALUE"""),222200)</f>
        <v>222200</v>
      </c>
      <c r="I422" s="1"/>
    </row>
    <row r="423" spans="1:9">
      <c r="A423" s="3">
        <f ca="1">IFERROR(__xludf.DUMMYFUNCTION("""COMPUTED_VALUE"""),29830.6666666666)</f>
        <v>29830.666666666599</v>
      </c>
      <c r="B423" s="1">
        <f ca="1">IFERROR(__xludf.DUMMYFUNCTION("""COMPUTED_VALUE"""),1.85)</f>
        <v>1.85</v>
      </c>
      <c r="C423" s="1">
        <f ca="1">IFERROR(__xludf.DUMMYFUNCTION("""COMPUTED_VALUE"""),1.88)</f>
        <v>1.88</v>
      </c>
      <c r="D423" s="1">
        <f ca="1">IFERROR(__xludf.DUMMYFUNCTION("""COMPUTED_VALUE"""),1.83)</f>
        <v>1.83</v>
      </c>
      <c r="E423" s="1">
        <f ca="1">IFERROR(__xludf.DUMMYFUNCTION("""COMPUTED_VALUE"""),1.85)</f>
        <v>1.85</v>
      </c>
      <c r="F423" s="1">
        <f ca="1">IFERROR(__xludf.DUMMYFUNCTION("""COMPUTED_VALUE"""),226200)</f>
        <v>226200</v>
      </c>
      <c r="I423" s="1"/>
    </row>
    <row r="424" spans="1:9">
      <c r="A424" s="3">
        <f ca="1">IFERROR(__xludf.DUMMYFUNCTION("""COMPUTED_VALUE"""),29831.6666666666)</f>
        <v>29831.666666666599</v>
      </c>
      <c r="B424" s="1">
        <f ca="1">IFERROR(__xludf.DUMMYFUNCTION("""COMPUTED_VALUE"""),1.88)</f>
        <v>1.88</v>
      </c>
      <c r="C424" s="1">
        <f ca="1">IFERROR(__xludf.DUMMYFUNCTION("""COMPUTED_VALUE"""),1.91)</f>
        <v>1.91</v>
      </c>
      <c r="D424" s="1">
        <f ca="1">IFERROR(__xludf.DUMMYFUNCTION("""COMPUTED_VALUE"""),1.85)</f>
        <v>1.85</v>
      </c>
      <c r="E424" s="1">
        <f ca="1">IFERROR(__xludf.DUMMYFUNCTION("""COMPUTED_VALUE"""),1.88)</f>
        <v>1.88</v>
      </c>
      <c r="F424" s="1">
        <f ca="1">IFERROR(__xludf.DUMMYFUNCTION("""COMPUTED_VALUE"""),302600)</f>
        <v>302600</v>
      </c>
      <c r="I424" s="1"/>
    </row>
    <row r="425" spans="1:9">
      <c r="A425" s="3">
        <f ca="1">IFERROR(__xludf.DUMMYFUNCTION("""COMPUTED_VALUE"""),29832.6666666666)</f>
        <v>29832.666666666599</v>
      </c>
      <c r="B425" s="1">
        <f ca="1">IFERROR(__xludf.DUMMYFUNCTION("""COMPUTED_VALUE"""),1.84)</f>
        <v>1.84</v>
      </c>
      <c r="C425" s="1">
        <f ca="1">IFERROR(__xludf.DUMMYFUNCTION("""COMPUTED_VALUE"""),1.9)</f>
        <v>1.9</v>
      </c>
      <c r="D425" s="1">
        <f ca="1">IFERROR(__xludf.DUMMYFUNCTION("""COMPUTED_VALUE"""),1.83)</f>
        <v>1.83</v>
      </c>
      <c r="E425" s="1">
        <f ca="1">IFERROR(__xludf.DUMMYFUNCTION("""COMPUTED_VALUE"""),1.84)</f>
        <v>1.84</v>
      </c>
      <c r="F425" s="1">
        <f ca="1">IFERROR(__xludf.DUMMYFUNCTION("""COMPUTED_VALUE"""),131300)</f>
        <v>131300</v>
      </c>
      <c r="I425" s="1"/>
    </row>
    <row r="426" spans="1:9">
      <c r="A426" s="3">
        <f ca="1">IFERROR(__xludf.DUMMYFUNCTION("""COMPUTED_VALUE"""),29833.6666666666)</f>
        <v>29833.666666666599</v>
      </c>
      <c r="B426" s="1">
        <f ca="1">IFERROR(__xludf.DUMMYFUNCTION("""COMPUTED_VALUE"""),1.81)</f>
        <v>1.81</v>
      </c>
      <c r="C426" s="1">
        <f ca="1">IFERROR(__xludf.DUMMYFUNCTION("""COMPUTED_VALUE"""),1.84)</f>
        <v>1.84</v>
      </c>
      <c r="D426" s="1">
        <f ca="1">IFERROR(__xludf.DUMMYFUNCTION("""COMPUTED_VALUE"""),1.8)</f>
        <v>1.8</v>
      </c>
      <c r="E426" s="1">
        <f ca="1">IFERROR(__xludf.DUMMYFUNCTION("""COMPUTED_VALUE"""),1.81)</f>
        <v>1.81</v>
      </c>
      <c r="F426" s="1">
        <f ca="1">IFERROR(__xludf.DUMMYFUNCTION("""COMPUTED_VALUE"""),100700)</f>
        <v>100700</v>
      </c>
      <c r="I426" s="1"/>
    </row>
    <row r="427" spans="1:9">
      <c r="A427" s="3">
        <f ca="1">IFERROR(__xludf.DUMMYFUNCTION("""COMPUTED_VALUE"""),29837.6666666666)</f>
        <v>29837.666666666599</v>
      </c>
      <c r="B427" s="1">
        <f ca="1">IFERROR(__xludf.DUMMYFUNCTION("""COMPUTED_VALUE"""),1.78)</f>
        <v>1.78</v>
      </c>
      <c r="C427" s="1">
        <f ca="1">IFERROR(__xludf.DUMMYFUNCTION("""COMPUTED_VALUE"""),1.8)</f>
        <v>1.8</v>
      </c>
      <c r="D427" s="1">
        <f ca="1">IFERROR(__xludf.DUMMYFUNCTION("""COMPUTED_VALUE"""),1.77)</f>
        <v>1.77</v>
      </c>
      <c r="E427" s="1">
        <f ca="1">IFERROR(__xludf.DUMMYFUNCTION("""COMPUTED_VALUE"""),1.78)</f>
        <v>1.78</v>
      </c>
      <c r="F427" s="1">
        <f ca="1">IFERROR(__xludf.DUMMYFUNCTION("""COMPUTED_VALUE"""),153400)</f>
        <v>153400</v>
      </c>
      <c r="I427" s="1"/>
    </row>
    <row r="428" spans="1:9">
      <c r="A428" s="3">
        <f ca="1">IFERROR(__xludf.DUMMYFUNCTION("""COMPUTED_VALUE"""),29838.6666666666)</f>
        <v>29838.666666666599</v>
      </c>
      <c r="B428" s="1">
        <f ca="1">IFERROR(__xludf.DUMMYFUNCTION("""COMPUTED_VALUE"""),1.81)</f>
        <v>1.81</v>
      </c>
      <c r="C428" s="1">
        <f ca="1">IFERROR(__xludf.DUMMYFUNCTION("""COMPUTED_VALUE"""),1.86)</f>
        <v>1.86</v>
      </c>
      <c r="D428" s="1">
        <f ca="1">IFERROR(__xludf.DUMMYFUNCTION("""COMPUTED_VALUE"""),1.81)</f>
        <v>1.81</v>
      </c>
      <c r="E428" s="1">
        <f ca="1">IFERROR(__xludf.DUMMYFUNCTION("""COMPUTED_VALUE"""),1.81)</f>
        <v>1.81</v>
      </c>
      <c r="F428" s="1">
        <f ca="1">IFERROR(__xludf.DUMMYFUNCTION("""COMPUTED_VALUE"""),172800)</f>
        <v>172800</v>
      </c>
      <c r="I428" s="1"/>
    </row>
    <row r="429" spans="1:9">
      <c r="A429" s="3">
        <f ca="1">IFERROR(__xludf.DUMMYFUNCTION("""COMPUTED_VALUE"""),29839.6666666666)</f>
        <v>29839.666666666599</v>
      </c>
      <c r="B429" s="1">
        <f ca="1">IFERROR(__xludf.DUMMYFUNCTION("""COMPUTED_VALUE"""),1.88)</f>
        <v>1.88</v>
      </c>
      <c r="C429" s="1">
        <f ca="1">IFERROR(__xludf.DUMMYFUNCTION("""COMPUTED_VALUE"""),1.89)</f>
        <v>1.89</v>
      </c>
      <c r="D429" s="1">
        <f ca="1">IFERROR(__xludf.DUMMYFUNCTION("""COMPUTED_VALUE"""),1.83)</f>
        <v>1.83</v>
      </c>
      <c r="E429" s="1">
        <f ca="1">IFERROR(__xludf.DUMMYFUNCTION("""COMPUTED_VALUE"""),1.88)</f>
        <v>1.88</v>
      </c>
      <c r="F429" s="1">
        <f ca="1">IFERROR(__xludf.DUMMYFUNCTION("""COMPUTED_VALUE"""),154800)</f>
        <v>154800</v>
      </c>
      <c r="I429" s="1"/>
    </row>
    <row r="430" spans="1:9">
      <c r="A430" s="3">
        <f ca="1">IFERROR(__xludf.DUMMYFUNCTION("""COMPUTED_VALUE"""),29840.6666666666)</f>
        <v>29840.666666666599</v>
      </c>
      <c r="B430" s="1">
        <f ca="1">IFERROR(__xludf.DUMMYFUNCTION("""COMPUTED_VALUE"""),1.96)</f>
        <v>1.96</v>
      </c>
      <c r="C430" s="1">
        <f ca="1">IFERROR(__xludf.DUMMYFUNCTION("""COMPUTED_VALUE"""),1.98)</f>
        <v>1.98</v>
      </c>
      <c r="D430" s="1">
        <f ca="1">IFERROR(__xludf.DUMMYFUNCTION("""COMPUTED_VALUE"""),1.9)</f>
        <v>1.9</v>
      </c>
      <c r="E430" s="1">
        <f ca="1">IFERROR(__xludf.DUMMYFUNCTION("""COMPUTED_VALUE"""),1.96)</f>
        <v>1.96</v>
      </c>
      <c r="F430" s="1">
        <f ca="1">IFERROR(__xludf.DUMMYFUNCTION("""COMPUTED_VALUE"""),195800)</f>
        <v>195800</v>
      </c>
      <c r="I430" s="1"/>
    </row>
    <row r="431" spans="1:9">
      <c r="A431" s="3">
        <f ca="1">IFERROR(__xludf.DUMMYFUNCTION("""COMPUTED_VALUE"""),29843.6666666666)</f>
        <v>29843.666666666599</v>
      </c>
      <c r="B431" s="1">
        <f ca="1">IFERROR(__xludf.DUMMYFUNCTION("""COMPUTED_VALUE"""),1.95)</f>
        <v>1.95</v>
      </c>
      <c r="C431" s="1">
        <f ca="1">IFERROR(__xludf.DUMMYFUNCTION("""COMPUTED_VALUE"""),1.96)</f>
        <v>1.96</v>
      </c>
      <c r="D431" s="1">
        <f ca="1">IFERROR(__xludf.DUMMYFUNCTION("""COMPUTED_VALUE"""),1.94)</f>
        <v>1.94</v>
      </c>
      <c r="E431" s="1">
        <f ca="1">IFERROR(__xludf.DUMMYFUNCTION("""COMPUTED_VALUE"""),1.95)</f>
        <v>1.95</v>
      </c>
      <c r="F431" s="1">
        <f ca="1">IFERROR(__xludf.DUMMYFUNCTION("""COMPUTED_VALUE"""),58900)</f>
        <v>58900</v>
      </c>
      <c r="I431" s="1"/>
    </row>
    <row r="432" spans="1:9">
      <c r="A432" s="3">
        <f ca="1">IFERROR(__xludf.DUMMYFUNCTION("""COMPUTED_VALUE"""),29844.6666666666)</f>
        <v>29844.666666666599</v>
      </c>
      <c r="B432" s="1">
        <f ca="1">IFERROR(__xludf.DUMMYFUNCTION("""COMPUTED_VALUE"""),1.96)</f>
        <v>1.96</v>
      </c>
      <c r="C432" s="1">
        <f ca="1">IFERROR(__xludf.DUMMYFUNCTION("""COMPUTED_VALUE"""),1.98)</f>
        <v>1.98</v>
      </c>
      <c r="D432" s="1">
        <f ca="1">IFERROR(__xludf.DUMMYFUNCTION("""COMPUTED_VALUE"""),1.94)</f>
        <v>1.94</v>
      </c>
      <c r="E432" s="1">
        <f ca="1">IFERROR(__xludf.DUMMYFUNCTION("""COMPUTED_VALUE"""),1.96)</f>
        <v>1.96</v>
      </c>
      <c r="F432" s="1">
        <f ca="1">IFERROR(__xludf.DUMMYFUNCTION("""COMPUTED_VALUE"""),136500)</f>
        <v>136500</v>
      </c>
      <c r="I432" s="1"/>
    </row>
    <row r="433" spans="1:9">
      <c r="A433" s="3">
        <f ca="1">IFERROR(__xludf.DUMMYFUNCTION("""COMPUTED_VALUE"""),29845.6666666666)</f>
        <v>29845.666666666599</v>
      </c>
      <c r="B433" s="1">
        <f ca="1">IFERROR(__xludf.DUMMYFUNCTION("""COMPUTED_VALUE"""),1.96)</f>
        <v>1.96</v>
      </c>
      <c r="C433" s="1">
        <f ca="1">IFERROR(__xludf.DUMMYFUNCTION("""COMPUTED_VALUE"""),1.98)</f>
        <v>1.98</v>
      </c>
      <c r="D433" s="1">
        <f ca="1">IFERROR(__xludf.DUMMYFUNCTION("""COMPUTED_VALUE"""),1.94)</f>
        <v>1.94</v>
      </c>
      <c r="E433" s="1">
        <f ca="1">IFERROR(__xludf.DUMMYFUNCTION("""COMPUTED_VALUE"""),1.96)</f>
        <v>1.96</v>
      </c>
      <c r="F433" s="1">
        <f ca="1">IFERROR(__xludf.DUMMYFUNCTION("""COMPUTED_VALUE"""),189100)</f>
        <v>189100</v>
      </c>
      <c r="I433" s="1"/>
    </row>
    <row r="434" spans="1:9">
      <c r="A434" s="3">
        <f ca="1">IFERROR(__xludf.DUMMYFUNCTION("""COMPUTED_VALUE"""),29846.6666666666)</f>
        <v>29846.666666666599</v>
      </c>
      <c r="B434" s="1">
        <f ca="1">IFERROR(__xludf.DUMMYFUNCTION("""COMPUTED_VALUE"""),1.94)</f>
        <v>1.94</v>
      </c>
      <c r="C434" s="1">
        <f ca="1">IFERROR(__xludf.DUMMYFUNCTION("""COMPUTED_VALUE"""),2)</f>
        <v>2</v>
      </c>
      <c r="D434" s="1">
        <f ca="1">IFERROR(__xludf.DUMMYFUNCTION("""COMPUTED_VALUE"""),1.93)</f>
        <v>1.93</v>
      </c>
      <c r="E434" s="1">
        <f ca="1">IFERROR(__xludf.DUMMYFUNCTION("""COMPUTED_VALUE"""),1.94)</f>
        <v>1.94</v>
      </c>
      <c r="F434" s="1">
        <f ca="1">IFERROR(__xludf.DUMMYFUNCTION("""COMPUTED_VALUE"""),217800)</f>
        <v>217800</v>
      </c>
      <c r="I434" s="1"/>
    </row>
    <row r="435" spans="1:9">
      <c r="A435" s="3">
        <f ca="1">IFERROR(__xludf.DUMMYFUNCTION("""COMPUTED_VALUE"""),29847.6666666666)</f>
        <v>29847.666666666599</v>
      </c>
      <c r="B435" s="1">
        <f ca="1">IFERROR(__xludf.DUMMYFUNCTION("""COMPUTED_VALUE"""),1.9)</f>
        <v>1.9</v>
      </c>
      <c r="C435" s="1">
        <f ca="1">IFERROR(__xludf.DUMMYFUNCTION("""COMPUTED_VALUE"""),1.93)</f>
        <v>1.93</v>
      </c>
      <c r="D435" s="1">
        <f ca="1">IFERROR(__xludf.DUMMYFUNCTION("""COMPUTED_VALUE"""),1.88)</f>
        <v>1.88</v>
      </c>
      <c r="E435" s="1">
        <f ca="1">IFERROR(__xludf.DUMMYFUNCTION("""COMPUTED_VALUE"""),1.9)</f>
        <v>1.9</v>
      </c>
      <c r="F435" s="1">
        <f ca="1">IFERROR(__xludf.DUMMYFUNCTION("""COMPUTED_VALUE"""),202500)</f>
        <v>202500</v>
      </c>
      <c r="I435" s="1"/>
    </row>
    <row r="436" spans="1:9">
      <c r="A436" s="3">
        <f ca="1">IFERROR(__xludf.DUMMYFUNCTION("""COMPUTED_VALUE"""),29850.6666666666)</f>
        <v>29850.666666666599</v>
      </c>
      <c r="B436" s="1">
        <f ca="1">IFERROR(__xludf.DUMMYFUNCTION("""COMPUTED_VALUE"""),1.96)</f>
        <v>1.96</v>
      </c>
      <c r="C436" s="1">
        <f ca="1">IFERROR(__xludf.DUMMYFUNCTION("""COMPUTED_VALUE"""),1.97)</f>
        <v>1.97</v>
      </c>
      <c r="D436" s="1">
        <f ca="1">IFERROR(__xludf.DUMMYFUNCTION("""COMPUTED_VALUE"""),1.88)</f>
        <v>1.88</v>
      </c>
      <c r="E436" s="1">
        <f ca="1">IFERROR(__xludf.DUMMYFUNCTION("""COMPUTED_VALUE"""),1.96)</f>
        <v>1.96</v>
      </c>
      <c r="F436" s="1">
        <f ca="1">IFERROR(__xludf.DUMMYFUNCTION("""COMPUTED_VALUE"""),301600)</f>
        <v>301600</v>
      </c>
      <c r="I436" s="1"/>
    </row>
    <row r="437" spans="1:9">
      <c r="A437" s="3">
        <f ca="1">IFERROR(__xludf.DUMMYFUNCTION("""COMPUTED_VALUE"""),29851.6666666666)</f>
        <v>29851.666666666599</v>
      </c>
      <c r="B437" s="1">
        <f ca="1">IFERROR(__xludf.DUMMYFUNCTION("""COMPUTED_VALUE"""),1.95)</f>
        <v>1.95</v>
      </c>
      <c r="C437" s="1">
        <f ca="1">IFERROR(__xludf.DUMMYFUNCTION("""COMPUTED_VALUE"""),1.97)</f>
        <v>1.97</v>
      </c>
      <c r="D437" s="1">
        <f ca="1">IFERROR(__xludf.DUMMYFUNCTION("""COMPUTED_VALUE"""),1.91)</f>
        <v>1.91</v>
      </c>
      <c r="E437" s="1">
        <f ca="1">IFERROR(__xludf.DUMMYFUNCTION("""COMPUTED_VALUE"""),1.95)</f>
        <v>1.95</v>
      </c>
      <c r="F437" s="1">
        <f ca="1">IFERROR(__xludf.DUMMYFUNCTION("""COMPUTED_VALUE"""),301600)</f>
        <v>301600</v>
      </c>
      <c r="I437" s="1"/>
    </row>
    <row r="438" spans="1:9">
      <c r="A438" s="3">
        <f ca="1">IFERROR(__xludf.DUMMYFUNCTION("""COMPUTED_VALUE"""),29852.6666666666)</f>
        <v>29852.666666666599</v>
      </c>
      <c r="B438" s="1">
        <f ca="1">IFERROR(__xludf.DUMMYFUNCTION("""COMPUTED_VALUE"""),1.94)</f>
        <v>1.94</v>
      </c>
      <c r="C438" s="1">
        <f ca="1">IFERROR(__xludf.DUMMYFUNCTION("""COMPUTED_VALUE"""),1.95)</f>
        <v>1.95</v>
      </c>
      <c r="D438" s="1">
        <f ca="1">IFERROR(__xludf.DUMMYFUNCTION("""COMPUTED_VALUE"""),1.91)</f>
        <v>1.91</v>
      </c>
      <c r="E438" s="1">
        <f ca="1">IFERROR(__xludf.DUMMYFUNCTION("""COMPUTED_VALUE"""),1.94)</f>
        <v>1.94</v>
      </c>
      <c r="F438" s="1">
        <f ca="1">IFERROR(__xludf.DUMMYFUNCTION("""COMPUTED_VALUE"""),137000)</f>
        <v>137000</v>
      </c>
      <c r="I438" s="1"/>
    </row>
    <row r="439" spans="1:9">
      <c r="A439" s="3">
        <f ca="1">IFERROR(__xludf.DUMMYFUNCTION("""COMPUTED_VALUE"""),29853.6666666666)</f>
        <v>29853.666666666599</v>
      </c>
      <c r="B439" s="1">
        <f ca="1">IFERROR(__xludf.DUMMYFUNCTION("""COMPUTED_VALUE"""),1.93)</f>
        <v>1.93</v>
      </c>
      <c r="C439" s="1">
        <f ca="1">IFERROR(__xludf.DUMMYFUNCTION("""COMPUTED_VALUE"""),1.99)</f>
        <v>1.99</v>
      </c>
      <c r="D439" s="1">
        <f ca="1">IFERROR(__xludf.DUMMYFUNCTION("""COMPUTED_VALUE"""),1.93)</f>
        <v>1.93</v>
      </c>
      <c r="E439" s="1">
        <f ca="1">IFERROR(__xludf.DUMMYFUNCTION("""COMPUTED_VALUE"""),1.93)</f>
        <v>1.93</v>
      </c>
      <c r="F439" s="1">
        <f ca="1">IFERROR(__xludf.DUMMYFUNCTION("""COMPUTED_VALUE"""),144500)</f>
        <v>144500</v>
      </c>
      <c r="I439" s="1"/>
    </row>
    <row r="440" spans="1:9">
      <c r="A440" s="3">
        <f ca="1">IFERROR(__xludf.DUMMYFUNCTION("""COMPUTED_VALUE"""),29854.6666666666)</f>
        <v>29854.666666666599</v>
      </c>
      <c r="B440" s="1">
        <f ca="1">IFERROR(__xludf.DUMMYFUNCTION("""COMPUTED_VALUE"""),1.96)</f>
        <v>1.96</v>
      </c>
      <c r="C440" s="1">
        <f ca="1">IFERROR(__xludf.DUMMYFUNCTION("""COMPUTED_VALUE"""),1.97)</f>
        <v>1.97</v>
      </c>
      <c r="D440" s="1">
        <f ca="1">IFERROR(__xludf.DUMMYFUNCTION("""COMPUTED_VALUE"""),1.91)</f>
        <v>1.91</v>
      </c>
      <c r="E440" s="1">
        <f ca="1">IFERROR(__xludf.DUMMYFUNCTION("""COMPUTED_VALUE"""),1.96)</f>
        <v>1.96</v>
      </c>
      <c r="F440" s="1">
        <f ca="1">IFERROR(__xludf.DUMMYFUNCTION("""COMPUTED_VALUE"""),160600)</f>
        <v>160600</v>
      </c>
      <c r="I440" s="1"/>
    </row>
    <row r="441" spans="1:9">
      <c r="A441" s="3">
        <f ca="1">IFERROR(__xludf.DUMMYFUNCTION("""COMPUTED_VALUE"""),29857.6666666666)</f>
        <v>29857.666666666599</v>
      </c>
      <c r="B441" s="1">
        <f ca="1">IFERROR(__xludf.DUMMYFUNCTION("""COMPUTED_VALUE"""),2.08)</f>
        <v>2.08</v>
      </c>
      <c r="C441" s="1">
        <f ca="1">IFERROR(__xludf.DUMMYFUNCTION("""COMPUTED_VALUE"""),2.09)</f>
        <v>2.09</v>
      </c>
      <c r="D441" s="1">
        <f ca="1">IFERROR(__xludf.DUMMYFUNCTION("""COMPUTED_VALUE"""),1.91)</f>
        <v>1.91</v>
      </c>
      <c r="E441" s="1">
        <f ca="1">IFERROR(__xludf.DUMMYFUNCTION("""COMPUTED_VALUE"""),2.08)</f>
        <v>2.08</v>
      </c>
      <c r="F441" s="1">
        <f ca="1">IFERROR(__xludf.DUMMYFUNCTION("""COMPUTED_VALUE"""),381500)</f>
        <v>381500</v>
      </c>
      <c r="I441" s="1"/>
    </row>
    <row r="442" spans="1:9">
      <c r="A442" s="3">
        <f ca="1">IFERROR(__xludf.DUMMYFUNCTION("""COMPUTED_VALUE"""),29858.6666666666)</f>
        <v>29858.666666666599</v>
      </c>
      <c r="B442" s="1">
        <f ca="1">IFERROR(__xludf.DUMMYFUNCTION("""COMPUTED_VALUE"""),2.08)</f>
        <v>2.08</v>
      </c>
      <c r="C442" s="1">
        <f ca="1">IFERROR(__xludf.DUMMYFUNCTION("""COMPUTED_VALUE"""),2.09)</f>
        <v>2.09</v>
      </c>
      <c r="D442" s="1">
        <f ca="1">IFERROR(__xludf.DUMMYFUNCTION("""COMPUTED_VALUE"""),2.05)</f>
        <v>2.0499999999999998</v>
      </c>
      <c r="E442" s="1">
        <f ca="1">IFERROR(__xludf.DUMMYFUNCTION("""COMPUTED_VALUE"""),2.08)</f>
        <v>2.08</v>
      </c>
      <c r="F442" s="1">
        <f ca="1">IFERROR(__xludf.DUMMYFUNCTION("""COMPUTED_VALUE"""),238800)</f>
        <v>238800</v>
      </c>
      <c r="I442" s="1"/>
    </row>
    <row r="443" spans="1:9">
      <c r="A443" s="3">
        <f ca="1">IFERROR(__xludf.DUMMYFUNCTION("""COMPUTED_VALUE"""),29859.6666666666)</f>
        <v>29859.666666666599</v>
      </c>
      <c r="B443" s="1">
        <f ca="1">IFERROR(__xludf.DUMMYFUNCTION("""COMPUTED_VALUE"""),2.06)</f>
        <v>2.06</v>
      </c>
      <c r="C443" s="1">
        <f ca="1">IFERROR(__xludf.DUMMYFUNCTION("""COMPUTED_VALUE"""),2.08)</f>
        <v>2.08</v>
      </c>
      <c r="D443" s="1">
        <f ca="1">IFERROR(__xludf.DUMMYFUNCTION("""COMPUTED_VALUE"""),2.05)</f>
        <v>2.0499999999999998</v>
      </c>
      <c r="E443" s="1">
        <f ca="1">IFERROR(__xludf.DUMMYFUNCTION("""COMPUTED_VALUE"""),2.06)</f>
        <v>2.06</v>
      </c>
      <c r="F443" s="1">
        <f ca="1">IFERROR(__xludf.DUMMYFUNCTION("""COMPUTED_VALUE"""),132100)</f>
        <v>132100</v>
      </c>
      <c r="I443" s="1"/>
    </row>
    <row r="444" spans="1:9">
      <c r="A444" s="3">
        <f ca="1">IFERROR(__xludf.DUMMYFUNCTION("""COMPUTED_VALUE"""),29860.6666666666)</f>
        <v>29860.666666666599</v>
      </c>
      <c r="B444" s="1">
        <f ca="1">IFERROR(__xludf.DUMMYFUNCTION("""COMPUTED_VALUE"""),2.11)</f>
        <v>2.11</v>
      </c>
      <c r="C444" s="1">
        <f ca="1">IFERROR(__xludf.DUMMYFUNCTION("""COMPUTED_VALUE"""),2.11)</f>
        <v>2.11</v>
      </c>
      <c r="D444" s="1">
        <f ca="1">IFERROR(__xludf.DUMMYFUNCTION("""COMPUTED_VALUE"""),2.05)</f>
        <v>2.0499999999999998</v>
      </c>
      <c r="E444" s="1">
        <f ca="1">IFERROR(__xludf.DUMMYFUNCTION("""COMPUTED_VALUE"""),2.11)</f>
        <v>2.11</v>
      </c>
      <c r="F444" s="1">
        <f ca="1">IFERROR(__xludf.DUMMYFUNCTION("""COMPUTED_VALUE"""),219800)</f>
        <v>219800</v>
      </c>
      <c r="I444" s="1"/>
    </row>
    <row r="445" spans="1:9">
      <c r="A445" s="3">
        <f ca="1">IFERROR(__xludf.DUMMYFUNCTION("""COMPUTED_VALUE"""),29861.6666666666)</f>
        <v>29861.666666666599</v>
      </c>
      <c r="B445" s="1">
        <f ca="1">IFERROR(__xludf.DUMMYFUNCTION("""COMPUTED_VALUE"""),2.1)</f>
        <v>2.1</v>
      </c>
      <c r="C445" s="1">
        <f ca="1">IFERROR(__xludf.DUMMYFUNCTION("""COMPUTED_VALUE"""),2.13)</f>
        <v>2.13</v>
      </c>
      <c r="D445" s="1">
        <f ca="1">IFERROR(__xludf.DUMMYFUNCTION("""COMPUTED_VALUE"""),2.09)</f>
        <v>2.09</v>
      </c>
      <c r="E445" s="1">
        <f ca="1">IFERROR(__xludf.DUMMYFUNCTION("""COMPUTED_VALUE"""),2.1)</f>
        <v>2.1</v>
      </c>
      <c r="F445" s="1">
        <f ca="1">IFERROR(__xludf.DUMMYFUNCTION("""COMPUTED_VALUE"""),474200)</f>
        <v>474200</v>
      </c>
      <c r="I445" s="1"/>
    </row>
    <row r="446" spans="1:9">
      <c r="A446" s="3">
        <f ca="1">IFERROR(__xludf.DUMMYFUNCTION("""COMPUTED_VALUE"""),29864.6666666666)</f>
        <v>29864.666666666599</v>
      </c>
      <c r="B446" s="1">
        <f ca="1">IFERROR(__xludf.DUMMYFUNCTION("""COMPUTED_VALUE"""),2.05)</f>
        <v>2.0499999999999998</v>
      </c>
      <c r="C446" s="1">
        <f ca="1">IFERROR(__xludf.DUMMYFUNCTION("""COMPUTED_VALUE"""),2.09)</f>
        <v>2.09</v>
      </c>
      <c r="D446" s="1">
        <f ca="1">IFERROR(__xludf.DUMMYFUNCTION("""COMPUTED_VALUE"""),2.04)</f>
        <v>2.04</v>
      </c>
      <c r="E446" s="1">
        <f ca="1">IFERROR(__xludf.DUMMYFUNCTION("""COMPUTED_VALUE"""),2.05)</f>
        <v>2.0499999999999998</v>
      </c>
      <c r="F446" s="1">
        <f ca="1">IFERROR(__xludf.DUMMYFUNCTION("""COMPUTED_VALUE"""),222800)</f>
        <v>222800</v>
      </c>
      <c r="I446" s="1"/>
    </row>
    <row r="447" spans="1:9">
      <c r="A447" s="3">
        <f ca="1">IFERROR(__xludf.DUMMYFUNCTION("""COMPUTED_VALUE"""),29865.6666666666)</f>
        <v>29865.666666666599</v>
      </c>
      <c r="B447" s="1">
        <f ca="1">IFERROR(__xludf.DUMMYFUNCTION("""COMPUTED_VALUE"""),2.03)</f>
        <v>2.0299999999999998</v>
      </c>
      <c r="C447" s="1">
        <f ca="1">IFERROR(__xludf.DUMMYFUNCTION("""COMPUTED_VALUE"""),2.06)</f>
        <v>2.06</v>
      </c>
      <c r="D447" s="1">
        <f ca="1">IFERROR(__xludf.DUMMYFUNCTION("""COMPUTED_VALUE"""),2.02)</f>
        <v>2.02</v>
      </c>
      <c r="E447" s="1">
        <f ca="1">IFERROR(__xludf.DUMMYFUNCTION("""COMPUTED_VALUE"""),2.03)</f>
        <v>2.0299999999999998</v>
      </c>
      <c r="F447" s="1">
        <f ca="1">IFERROR(__xludf.DUMMYFUNCTION("""COMPUTED_VALUE"""),152600)</f>
        <v>152600</v>
      </c>
      <c r="I447" s="1"/>
    </row>
    <row r="448" spans="1:9">
      <c r="A448" s="3">
        <f ca="1">IFERROR(__xludf.DUMMYFUNCTION("""COMPUTED_VALUE"""),29866.6666666666)</f>
        <v>29866.666666666599</v>
      </c>
      <c r="B448" s="1">
        <f ca="1">IFERROR(__xludf.DUMMYFUNCTION("""COMPUTED_VALUE"""),2.11)</f>
        <v>2.11</v>
      </c>
      <c r="C448" s="1">
        <f ca="1">IFERROR(__xludf.DUMMYFUNCTION("""COMPUTED_VALUE"""),2.11)</f>
        <v>2.11</v>
      </c>
      <c r="D448" s="1">
        <f ca="1">IFERROR(__xludf.DUMMYFUNCTION("""COMPUTED_VALUE"""),2.02)</f>
        <v>2.02</v>
      </c>
      <c r="E448" s="1">
        <f ca="1">IFERROR(__xludf.DUMMYFUNCTION("""COMPUTED_VALUE"""),2.11)</f>
        <v>2.11</v>
      </c>
      <c r="F448" s="1">
        <f ca="1">IFERROR(__xludf.DUMMYFUNCTION("""COMPUTED_VALUE"""),181900)</f>
        <v>181900</v>
      </c>
      <c r="I448" s="1"/>
    </row>
    <row r="449" spans="1:9">
      <c r="A449" s="3">
        <f ca="1">IFERROR(__xludf.DUMMYFUNCTION("""COMPUTED_VALUE"""),29867.6666666666)</f>
        <v>29867.666666666599</v>
      </c>
      <c r="B449" s="1">
        <f ca="1">IFERROR(__xludf.DUMMYFUNCTION("""COMPUTED_VALUE"""),2.19)</f>
        <v>2.19</v>
      </c>
      <c r="C449" s="1">
        <f ca="1">IFERROR(__xludf.DUMMYFUNCTION("""COMPUTED_VALUE"""),2.19)</f>
        <v>2.19</v>
      </c>
      <c r="D449" s="1">
        <f ca="1">IFERROR(__xludf.DUMMYFUNCTION("""COMPUTED_VALUE"""),2.1)</f>
        <v>2.1</v>
      </c>
      <c r="E449" s="1">
        <f ca="1">IFERROR(__xludf.DUMMYFUNCTION("""COMPUTED_VALUE"""),2.19)</f>
        <v>2.19</v>
      </c>
      <c r="F449" s="1">
        <f ca="1">IFERROR(__xludf.DUMMYFUNCTION("""COMPUTED_VALUE"""),222700)</f>
        <v>222700</v>
      </c>
      <c r="I449" s="1"/>
    </row>
    <row r="450" spans="1:9">
      <c r="A450" s="3">
        <f ca="1">IFERROR(__xludf.DUMMYFUNCTION("""COMPUTED_VALUE"""),29868.6666666666)</f>
        <v>29868.666666666599</v>
      </c>
      <c r="B450" s="1">
        <f ca="1">IFERROR(__xludf.DUMMYFUNCTION("""COMPUTED_VALUE"""),2.14)</f>
        <v>2.14</v>
      </c>
      <c r="C450" s="1">
        <f ca="1">IFERROR(__xludf.DUMMYFUNCTION("""COMPUTED_VALUE"""),2.19)</f>
        <v>2.19</v>
      </c>
      <c r="D450" s="1">
        <f ca="1">IFERROR(__xludf.DUMMYFUNCTION("""COMPUTED_VALUE"""),2.13)</f>
        <v>2.13</v>
      </c>
      <c r="E450" s="1">
        <f ca="1">IFERROR(__xludf.DUMMYFUNCTION("""COMPUTED_VALUE"""),2.14)</f>
        <v>2.14</v>
      </c>
      <c r="F450" s="1">
        <f ca="1">IFERROR(__xludf.DUMMYFUNCTION("""COMPUTED_VALUE"""),343600)</f>
        <v>343600</v>
      </c>
      <c r="I450" s="1"/>
    </row>
    <row r="451" spans="1:9">
      <c r="A451" s="3">
        <f ca="1">IFERROR(__xludf.DUMMYFUNCTION("""COMPUTED_VALUE"""),29871.6666666666)</f>
        <v>29871.666666666599</v>
      </c>
      <c r="B451" s="1">
        <f ca="1">IFERROR(__xludf.DUMMYFUNCTION("""COMPUTED_VALUE"""),2.14)</f>
        <v>2.14</v>
      </c>
      <c r="C451" s="1">
        <f ca="1">IFERROR(__xludf.DUMMYFUNCTION("""COMPUTED_VALUE"""),2.16)</f>
        <v>2.16</v>
      </c>
      <c r="D451" s="1">
        <f ca="1">IFERROR(__xludf.DUMMYFUNCTION("""COMPUTED_VALUE"""),2.13)</f>
        <v>2.13</v>
      </c>
      <c r="E451" s="1">
        <f ca="1">IFERROR(__xludf.DUMMYFUNCTION("""COMPUTED_VALUE"""),2.14)</f>
        <v>2.14</v>
      </c>
      <c r="F451" s="1">
        <f ca="1">IFERROR(__xludf.DUMMYFUNCTION("""COMPUTED_VALUE"""),131400)</f>
        <v>131400</v>
      </c>
      <c r="I451" s="1"/>
    </row>
    <row r="452" spans="1:9">
      <c r="A452" s="3">
        <f ca="1">IFERROR(__xludf.DUMMYFUNCTION("""COMPUTED_VALUE"""),29872.6666666666)</f>
        <v>29872.666666666599</v>
      </c>
      <c r="B452" s="1">
        <f ca="1">IFERROR(__xludf.DUMMYFUNCTION("""COMPUTED_VALUE"""),2.13)</f>
        <v>2.13</v>
      </c>
      <c r="C452" s="1">
        <f ca="1">IFERROR(__xludf.DUMMYFUNCTION("""COMPUTED_VALUE"""),2.16)</f>
        <v>2.16</v>
      </c>
      <c r="D452" s="1">
        <f ca="1">IFERROR(__xludf.DUMMYFUNCTION("""COMPUTED_VALUE"""),2.13)</f>
        <v>2.13</v>
      </c>
      <c r="E452" s="1">
        <f ca="1">IFERROR(__xludf.DUMMYFUNCTION("""COMPUTED_VALUE"""),2.13)</f>
        <v>2.13</v>
      </c>
      <c r="F452" s="1">
        <f ca="1">IFERROR(__xludf.DUMMYFUNCTION("""COMPUTED_VALUE"""),82600)</f>
        <v>82600</v>
      </c>
      <c r="I452" s="1"/>
    </row>
    <row r="453" spans="1:9">
      <c r="A453" s="3">
        <f ca="1">IFERROR(__xludf.DUMMYFUNCTION("""COMPUTED_VALUE"""),29873.6666666666)</f>
        <v>29873.666666666599</v>
      </c>
      <c r="B453" s="1">
        <f ca="1">IFERROR(__xludf.DUMMYFUNCTION("""COMPUTED_VALUE"""),2.09)</f>
        <v>2.09</v>
      </c>
      <c r="C453" s="1">
        <f ca="1">IFERROR(__xludf.DUMMYFUNCTION("""COMPUTED_VALUE"""),2.13)</f>
        <v>2.13</v>
      </c>
      <c r="D453" s="1">
        <f ca="1">IFERROR(__xludf.DUMMYFUNCTION("""COMPUTED_VALUE"""),2.09)</f>
        <v>2.09</v>
      </c>
      <c r="E453" s="1">
        <f ca="1">IFERROR(__xludf.DUMMYFUNCTION("""COMPUTED_VALUE"""),2.09)</f>
        <v>2.09</v>
      </c>
      <c r="F453" s="1">
        <f ca="1">IFERROR(__xludf.DUMMYFUNCTION("""COMPUTED_VALUE"""),95100)</f>
        <v>95100</v>
      </c>
      <c r="I453" s="1"/>
    </row>
    <row r="454" spans="1:9">
      <c r="A454" s="3">
        <f ca="1">IFERROR(__xludf.DUMMYFUNCTION("""COMPUTED_VALUE"""),29874.6666666666)</f>
        <v>29874.666666666599</v>
      </c>
      <c r="B454" s="1">
        <f ca="1">IFERROR(__xludf.DUMMYFUNCTION("""COMPUTED_VALUE"""),2.14)</f>
        <v>2.14</v>
      </c>
      <c r="C454" s="1">
        <f ca="1">IFERROR(__xludf.DUMMYFUNCTION("""COMPUTED_VALUE"""),2.14)</f>
        <v>2.14</v>
      </c>
      <c r="D454" s="1">
        <f ca="1">IFERROR(__xludf.DUMMYFUNCTION("""COMPUTED_VALUE"""),2.06)</f>
        <v>2.06</v>
      </c>
      <c r="E454" s="1">
        <f ca="1">IFERROR(__xludf.DUMMYFUNCTION("""COMPUTED_VALUE"""),2.14)</f>
        <v>2.14</v>
      </c>
      <c r="F454" s="1">
        <f ca="1">IFERROR(__xludf.DUMMYFUNCTION("""COMPUTED_VALUE"""),202700)</f>
        <v>202700</v>
      </c>
      <c r="I454" s="1"/>
    </row>
    <row r="455" spans="1:9">
      <c r="A455" s="3">
        <f ca="1">IFERROR(__xludf.DUMMYFUNCTION("""COMPUTED_VALUE"""),29875.6666666666)</f>
        <v>29875.666666666599</v>
      </c>
      <c r="B455" s="1">
        <f ca="1">IFERROR(__xludf.DUMMYFUNCTION("""COMPUTED_VALUE"""),2.13)</f>
        <v>2.13</v>
      </c>
      <c r="C455" s="1">
        <f ca="1">IFERROR(__xludf.DUMMYFUNCTION("""COMPUTED_VALUE"""),2.14)</f>
        <v>2.14</v>
      </c>
      <c r="D455" s="1">
        <f ca="1">IFERROR(__xludf.DUMMYFUNCTION("""COMPUTED_VALUE"""),2.09)</f>
        <v>2.09</v>
      </c>
      <c r="E455" s="1">
        <f ca="1">IFERROR(__xludf.DUMMYFUNCTION("""COMPUTED_VALUE"""),2.13)</f>
        <v>2.13</v>
      </c>
      <c r="F455" s="1">
        <f ca="1">IFERROR(__xludf.DUMMYFUNCTION("""COMPUTED_VALUE"""),152500)</f>
        <v>152500</v>
      </c>
      <c r="I455" s="1"/>
    </row>
    <row r="456" spans="1:9">
      <c r="A456" s="3">
        <f ca="1">IFERROR(__xludf.DUMMYFUNCTION("""COMPUTED_VALUE"""),29878.6666666666)</f>
        <v>29878.666666666599</v>
      </c>
      <c r="B456" s="1">
        <f ca="1">IFERROR(__xludf.DUMMYFUNCTION("""COMPUTED_VALUE"""),2.19)</f>
        <v>2.19</v>
      </c>
      <c r="C456" s="1">
        <f ca="1">IFERROR(__xludf.DUMMYFUNCTION("""COMPUTED_VALUE"""),2.2)</f>
        <v>2.2000000000000002</v>
      </c>
      <c r="D456" s="1">
        <f ca="1">IFERROR(__xludf.DUMMYFUNCTION("""COMPUTED_VALUE"""),2.12)</f>
        <v>2.12</v>
      </c>
      <c r="E456" s="1">
        <f ca="1">IFERROR(__xludf.DUMMYFUNCTION("""COMPUTED_VALUE"""),2.19)</f>
        <v>2.19</v>
      </c>
      <c r="F456" s="1">
        <f ca="1">IFERROR(__xludf.DUMMYFUNCTION("""COMPUTED_VALUE"""),166400)</f>
        <v>166400</v>
      </c>
      <c r="I456" s="1"/>
    </row>
    <row r="457" spans="1:9">
      <c r="A457" s="3">
        <f ca="1">IFERROR(__xludf.DUMMYFUNCTION("""COMPUTED_VALUE"""),29879.6666666666)</f>
        <v>29879.666666666599</v>
      </c>
      <c r="B457" s="1">
        <f ca="1">IFERROR(__xludf.DUMMYFUNCTION("""COMPUTED_VALUE"""),2.25)</f>
        <v>2.25</v>
      </c>
      <c r="C457" s="1">
        <f ca="1">IFERROR(__xludf.DUMMYFUNCTION("""COMPUTED_VALUE"""),2.27)</f>
        <v>2.27</v>
      </c>
      <c r="D457" s="1">
        <f ca="1">IFERROR(__xludf.DUMMYFUNCTION("""COMPUTED_VALUE"""),2.19)</f>
        <v>2.19</v>
      </c>
      <c r="E457" s="1">
        <f ca="1">IFERROR(__xludf.DUMMYFUNCTION("""COMPUTED_VALUE"""),2.25)</f>
        <v>2.25</v>
      </c>
      <c r="F457" s="1">
        <f ca="1">IFERROR(__xludf.DUMMYFUNCTION("""COMPUTED_VALUE"""),242100)</f>
        <v>242100</v>
      </c>
      <c r="I457" s="1"/>
    </row>
    <row r="458" spans="1:9">
      <c r="A458" s="3">
        <f ca="1">IFERROR(__xludf.DUMMYFUNCTION("""COMPUTED_VALUE"""),29880.6666666666)</f>
        <v>29880.666666666599</v>
      </c>
      <c r="B458" s="1">
        <f ca="1">IFERROR(__xludf.DUMMYFUNCTION("""COMPUTED_VALUE"""),2.19)</f>
        <v>2.19</v>
      </c>
      <c r="C458" s="1">
        <f ca="1">IFERROR(__xludf.DUMMYFUNCTION("""COMPUTED_VALUE"""),2.26)</f>
        <v>2.2599999999999998</v>
      </c>
      <c r="D458" s="1">
        <f ca="1">IFERROR(__xludf.DUMMYFUNCTION("""COMPUTED_VALUE"""),2.19)</f>
        <v>2.19</v>
      </c>
      <c r="E458" s="1">
        <f ca="1">IFERROR(__xludf.DUMMYFUNCTION("""COMPUTED_VALUE"""),2.19)</f>
        <v>2.19</v>
      </c>
      <c r="F458" s="1">
        <f ca="1">IFERROR(__xludf.DUMMYFUNCTION("""COMPUTED_VALUE"""),178700)</f>
        <v>178700</v>
      </c>
      <c r="I458" s="1"/>
    </row>
    <row r="459" spans="1:9">
      <c r="A459" s="3">
        <f ca="1">IFERROR(__xludf.DUMMYFUNCTION("""COMPUTED_VALUE"""),29881.6666666666)</f>
        <v>29881.666666666599</v>
      </c>
      <c r="B459" s="1">
        <f ca="1">IFERROR(__xludf.DUMMYFUNCTION("""COMPUTED_VALUE"""),2.29)</f>
        <v>2.29</v>
      </c>
      <c r="C459" s="1">
        <f ca="1">IFERROR(__xludf.DUMMYFUNCTION("""COMPUTED_VALUE"""),2.3)</f>
        <v>2.2999999999999998</v>
      </c>
      <c r="D459" s="1">
        <f ca="1">IFERROR(__xludf.DUMMYFUNCTION("""COMPUTED_VALUE"""),2.18)</f>
        <v>2.1800000000000002</v>
      </c>
      <c r="E459" s="1">
        <f ca="1">IFERROR(__xludf.DUMMYFUNCTION("""COMPUTED_VALUE"""),2.29)</f>
        <v>2.29</v>
      </c>
      <c r="F459" s="1">
        <f ca="1">IFERROR(__xludf.DUMMYFUNCTION("""COMPUTED_VALUE"""),238000)</f>
        <v>238000</v>
      </c>
      <c r="I459" s="1"/>
    </row>
    <row r="460" spans="1:9">
      <c r="A460" s="3">
        <f ca="1">IFERROR(__xludf.DUMMYFUNCTION("""COMPUTED_VALUE"""),29882.6666666666)</f>
        <v>29882.666666666599</v>
      </c>
      <c r="B460" s="1">
        <f ca="1">IFERROR(__xludf.DUMMYFUNCTION("""COMPUTED_VALUE"""),2.22)</f>
        <v>2.2200000000000002</v>
      </c>
      <c r="C460" s="1">
        <f ca="1">IFERROR(__xludf.DUMMYFUNCTION("""COMPUTED_VALUE"""),2.24)</f>
        <v>2.2400000000000002</v>
      </c>
      <c r="D460" s="1">
        <f ca="1">IFERROR(__xludf.DUMMYFUNCTION("""COMPUTED_VALUE"""),2.2)</f>
        <v>2.2000000000000002</v>
      </c>
      <c r="E460" s="1">
        <f ca="1">IFERROR(__xludf.DUMMYFUNCTION("""COMPUTED_VALUE"""),2.22)</f>
        <v>2.2200000000000002</v>
      </c>
      <c r="F460" s="1">
        <f ca="1">IFERROR(__xludf.DUMMYFUNCTION("""COMPUTED_VALUE"""),195000)</f>
        <v>195000</v>
      </c>
      <c r="I460" s="1"/>
    </row>
    <row r="461" spans="1:9">
      <c r="A461" s="3">
        <f ca="1">IFERROR(__xludf.DUMMYFUNCTION("""COMPUTED_VALUE"""),29885.6666666666)</f>
        <v>29885.666666666599</v>
      </c>
      <c r="B461" s="1">
        <f ca="1">IFERROR(__xludf.DUMMYFUNCTION("""COMPUTED_VALUE"""),2.22)</f>
        <v>2.2200000000000002</v>
      </c>
      <c r="C461" s="1">
        <f ca="1">IFERROR(__xludf.DUMMYFUNCTION("""COMPUTED_VALUE"""),2.23)</f>
        <v>2.23</v>
      </c>
      <c r="D461" s="1">
        <f ca="1">IFERROR(__xludf.DUMMYFUNCTION("""COMPUTED_VALUE"""),2.2)</f>
        <v>2.2000000000000002</v>
      </c>
      <c r="E461" s="1">
        <f ca="1">IFERROR(__xludf.DUMMYFUNCTION("""COMPUTED_VALUE"""),2.22)</f>
        <v>2.2200000000000002</v>
      </c>
      <c r="F461" s="1">
        <f ca="1">IFERROR(__xludf.DUMMYFUNCTION("""COMPUTED_VALUE"""),132800)</f>
        <v>132800</v>
      </c>
      <c r="I461" s="1"/>
    </row>
    <row r="462" spans="1:9">
      <c r="A462" s="3">
        <f ca="1">IFERROR(__xludf.DUMMYFUNCTION("""COMPUTED_VALUE"""),29886.6666666666)</f>
        <v>29886.666666666599</v>
      </c>
      <c r="B462" s="1">
        <f ca="1">IFERROR(__xludf.DUMMYFUNCTION("""COMPUTED_VALUE"""),2.23)</f>
        <v>2.23</v>
      </c>
      <c r="C462" s="1">
        <f ca="1">IFERROR(__xludf.DUMMYFUNCTION("""COMPUTED_VALUE"""),2.25)</f>
        <v>2.25</v>
      </c>
      <c r="D462" s="1">
        <f ca="1">IFERROR(__xludf.DUMMYFUNCTION("""COMPUTED_VALUE"""),2.21)</f>
        <v>2.21</v>
      </c>
      <c r="E462" s="1">
        <f ca="1">IFERROR(__xludf.DUMMYFUNCTION("""COMPUTED_VALUE"""),2.23)</f>
        <v>2.23</v>
      </c>
      <c r="F462" s="1">
        <f ca="1">IFERROR(__xludf.DUMMYFUNCTION("""COMPUTED_VALUE"""),186200)</f>
        <v>186200</v>
      </c>
      <c r="I462" s="1"/>
    </row>
    <row r="463" spans="1:9">
      <c r="A463" s="3">
        <f ca="1">IFERROR(__xludf.DUMMYFUNCTION("""COMPUTED_VALUE"""),29887.6666666666)</f>
        <v>29887.666666666599</v>
      </c>
      <c r="B463" s="1">
        <f ca="1">IFERROR(__xludf.DUMMYFUNCTION("""COMPUTED_VALUE"""),2.24)</f>
        <v>2.2400000000000002</v>
      </c>
      <c r="C463" s="1">
        <f ca="1">IFERROR(__xludf.DUMMYFUNCTION("""COMPUTED_VALUE"""),2.25)</f>
        <v>2.25</v>
      </c>
      <c r="D463" s="1">
        <f ca="1">IFERROR(__xludf.DUMMYFUNCTION("""COMPUTED_VALUE"""),2.23)</f>
        <v>2.23</v>
      </c>
      <c r="E463" s="1">
        <f ca="1">IFERROR(__xludf.DUMMYFUNCTION("""COMPUTED_VALUE"""),2.24)</f>
        <v>2.2400000000000002</v>
      </c>
      <c r="F463" s="1">
        <f ca="1">IFERROR(__xludf.DUMMYFUNCTION("""COMPUTED_VALUE"""),57600)</f>
        <v>57600</v>
      </c>
      <c r="I463" s="1"/>
    </row>
    <row r="464" spans="1:9">
      <c r="A464" s="3">
        <f ca="1">IFERROR(__xludf.DUMMYFUNCTION("""COMPUTED_VALUE"""),29888.6666666666)</f>
        <v>29888.666666666599</v>
      </c>
      <c r="B464" s="1">
        <f ca="1">IFERROR(__xludf.DUMMYFUNCTION("""COMPUTED_VALUE"""),2.24)</f>
        <v>2.2400000000000002</v>
      </c>
      <c r="C464" s="1">
        <f ca="1">IFERROR(__xludf.DUMMYFUNCTION("""COMPUTED_VALUE"""),2.24)</f>
        <v>2.2400000000000002</v>
      </c>
      <c r="D464" s="1">
        <f ca="1">IFERROR(__xludf.DUMMYFUNCTION("""COMPUTED_VALUE"""),2.21)</f>
        <v>2.21</v>
      </c>
      <c r="E464" s="1">
        <f ca="1">IFERROR(__xludf.DUMMYFUNCTION("""COMPUTED_VALUE"""),2.24)</f>
        <v>2.2400000000000002</v>
      </c>
      <c r="F464" s="1">
        <f ca="1">IFERROR(__xludf.DUMMYFUNCTION("""COMPUTED_VALUE"""),161900)</f>
        <v>161900</v>
      </c>
      <c r="I464" s="1"/>
    </row>
    <row r="465" spans="1:9">
      <c r="A465" s="3">
        <f ca="1">IFERROR(__xludf.DUMMYFUNCTION("""COMPUTED_VALUE"""),29889.6666666666)</f>
        <v>29889.666666666599</v>
      </c>
      <c r="B465" s="1">
        <f ca="1">IFERROR(__xludf.DUMMYFUNCTION("""COMPUTED_VALUE"""),2.27)</f>
        <v>2.27</v>
      </c>
      <c r="C465" s="1">
        <f ca="1">IFERROR(__xludf.DUMMYFUNCTION("""COMPUTED_VALUE"""),2.27)</f>
        <v>2.27</v>
      </c>
      <c r="D465" s="1">
        <f ca="1">IFERROR(__xludf.DUMMYFUNCTION("""COMPUTED_VALUE"""),2.24)</f>
        <v>2.2400000000000002</v>
      </c>
      <c r="E465" s="1">
        <f ca="1">IFERROR(__xludf.DUMMYFUNCTION("""COMPUTED_VALUE"""),2.27)</f>
        <v>2.27</v>
      </c>
      <c r="F465" s="1">
        <f ca="1">IFERROR(__xludf.DUMMYFUNCTION("""COMPUTED_VALUE"""),130600)</f>
        <v>130600</v>
      </c>
      <c r="I465" s="1"/>
    </row>
    <row r="466" spans="1:9">
      <c r="A466" s="3">
        <f ca="1">IFERROR(__xludf.DUMMYFUNCTION("""COMPUTED_VALUE"""),29892.6666666666)</f>
        <v>29892.666666666599</v>
      </c>
      <c r="B466" s="1">
        <f ca="1">IFERROR(__xludf.DUMMYFUNCTION("""COMPUTED_VALUE"""),2.32)</f>
        <v>2.3199999999999998</v>
      </c>
      <c r="C466" s="1">
        <f ca="1">IFERROR(__xludf.DUMMYFUNCTION("""COMPUTED_VALUE"""),2.32)</f>
        <v>2.3199999999999998</v>
      </c>
      <c r="D466" s="1">
        <f ca="1">IFERROR(__xludf.DUMMYFUNCTION("""COMPUTED_VALUE"""),2.29)</f>
        <v>2.29</v>
      </c>
      <c r="E466" s="1">
        <f ca="1">IFERROR(__xludf.DUMMYFUNCTION("""COMPUTED_VALUE"""),2.32)</f>
        <v>2.3199999999999998</v>
      </c>
      <c r="F466" s="1">
        <f ca="1">IFERROR(__xludf.DUMMYFUNCTION("""COMPUTED_VALUE"""),242800)</f>
        <v>242800</v>
      </c>
      <c r="I466" s="1"/>
    </row>
    <row r="467" spans="1:9">
      <c r="A467" s="3">
        <f ca="1">IFERROR(__xludf.DUMMYFUNCTION("""COMPUTED_VALUE"""),29893.6666666666)</f>
        <v>29893.666666666599</v>
      </c>
      <c r="B467" s="1">
        <f ca="1">IFERROR(__xludf.DUMMYFUNCTION("""COMPUTED_VALUE"""),2.32)</f>
        <v>2.3199999999999998</v>
      </c>
      <c r="C467" s="1">
        <f ca="1">IFERROR(__xludf.DUMMYFUNCTION("""COMPUTED_VALUE"""),2.34)</f>
        <v>2.34</v>
      </c>
      <c r="D467" s="1">
        <f ca="1">IFERROR(__xludf.DUMMYFUNCTION("""COMPUTED_VALUE"""),2.3)</f>
        <v>2.2999999999999998</v>
      </c>
      <c r="E467" s="1">
        <f ca="1">IFERROR(__xludf.DUMMYFUNCTION("""COMPUTED_VALUE"""),2.32)</f>
        <v>2.3199999999999998</v>
      </c>
      <c r="F467" s="1">
        <f ca="1">IFERROR(__xludf.DUMMYFUNCTION("""COMPUTED_VALUE"""),157200)</f>
        <v>157200</v>
      </c>
      <c r="I467" s="1"/>
    </row>
    <row r="468" spans="1:9">
      <c r="A468" s="3">
        <f ca="1">IFERROR(__xludf.DUMMYFUNCTION("""COMPUTED_VALUE"""),29894.6666666666)</f>
        <v>29894.666666666599</v>
      </c>
      <c r="B468" s="1">
        <f ca="1">IFERROR(__xludf.DUMMYFUNCTION("""COMPUTED_VALUE"""),2.3)</f>
        <v>2.2999999999999998</v>
      </c>
      <c r="C468" s="1">
        <f ca="1">IFERROR(__xludf.DUMMYFUNCTION("""COMPUTED_VALUE"""),2.31)</f>
        <v>2.31</v>
      </c>
      <c r="D468" s="1">
        <f ca="1">IFERROR(__xludf.DUMMYFUNCTION("""COMPUTED_VALUE"""),2.3)</f>
        <v>2.2999999999999998</v>
      </c>
      <c r="E468" s="1">
        <f ca="1">IFERROR(__xludf.DUMMYFUNCTION("""COMPUTED_VALUE"""),2.3)</f>
        <v>2.2999999999999998</v>
      </c>
      <c r="F468" s="1">
        <f ca="1">IFERROR(__xludf.DUMMYFUNCTION("""COMPUTED_VALUE"""),110100)</f>
        <v>110100</v>
      </c>
      <c r="I468" s="1"/>
    </row>
    <row r="469" spans="1:9">
      <c r="A469" s="3">
        <f ca="1">IFERROR(__xludf.DUMMYFUNCTION("""COMPUTED_VALUE"""),29895.6666666666)</f>
        <v>29895.666666666599</v>
      </c>
      <c r="B469" s="1">
        <f ca="1">IFERROR(__xludf.DUMMYFUNCTION("""COMPUTED_VALUE"""),2.28)</f>
        <v>2.2799999999999998</v>
      </c>
      <c r="C469" s="1">
        <f ca="1">IFERROR(__xludf.DUMMYFUNCTION("""COMPUTED_VALUE"""),2.32)</f>
        <v>2.3199999999999998</v>
      </c>
      <c r="D469" s="1">
        <f ca="1">IFERROR(__xludf.DUMMYFUNCTION("""COMPUTED_VALUE"""),2.27)</f>
        <v>2.27</v>
      </c>
      <c r="E469" s="1">
        <f ca="1">IFERROR(__xludf.DUMMYFUNCTION("""COMPUTED_VALUE"""),2.28)</f>
        <v>2.2799999999999998</v>
      </c>
      <c r="F469" s="1">
        <f ca="1">IFERROR(__xludf.DUMMYFUNCTION("""COMPUTED_VALUE"""),253900)</f>
        <v>253900</v>
      </c>
      <c r="I469" s="1"/>
    </row>
    <row r="470" spans="1:9">
      <c r="A470" s="3">
        <f ca="1">IFERROR(__xludf.DUMMYFUNCTION("""COMPUTED_VALUE"""),29896.6666666666)</f>
        <v>29896.666666666599</v>
      </c>
      <c r="B470" s="1">
        <f ca="1">IFERROR(__xludf.DUMMYFUNCTION("""COMPUTED_VALUE"""),2.23)</f>
        <v>2.23</v>
      </c>
      <c r="C470" s="1">
        <f ca="1">IFERROR(__xludf.DUMMYFUNCTION("""COMPUTED_VALUE"""),2.27)</f>
        <v>2.27</v>
      </c>
      <c r="D470" s="1">
        <f ca="1">IFERROR(__xludf.DUMMYFUNCTION("""COMPUTED_VALUE"""),2.23)</f>
        <v>2.23</v>
      </c>
      <c r="E470" s="1">
        <f ca="1">IFERROR(__xludf.DUMMYFUNCTION("""COMPUTED_VALUE"""),2.23)</f>
        <v>2.23</v>
      </c>
      <c r="F470" s="1">
        <f ca="1">IFERROR(__xludf.DUMMYFUNCTION("""COMPUTED_VALUE"""),101000)</f>
        <v>101000</v>
      </c>
      <c r="I470" s="1"/>
    </row>
    <row r="471" spans="1:9">
      <c r="A471" s="3">
        <f ca="1">IFERROR(__xludf.DUMMYFUNCTION("""COMPUTED_VALUE"""),29899.6666666666)</f>
        <v>29899.666666666599</v>
      </c>
      <c r="B471" s="1">
        <f ca="1">IFERROR(__xludf.DUMMYFUNCTION("""COMPUTED_VALUE"""),2.22)</f>
        <v>2.2200000000000002</v>
      </c>
      <c r="C471" s="1">
        <f ca="1">IFERROR(__xludf.DUMMYFUNCTION("""COMPUTED_VALUE"""),2.23)</f>
        <v>2.23</v>
      </c>
      <c r="D471" s="1">
        <f ca="1">IFERROR(__xludf.DUMMYFUNCTION("""COMPUTED_VALUE"""),2.21)</f>
        <v>2.21</v>
      </c>
      <c r="E471" s="1">
        <f ca="1">IFERROR(__xludf.DUMMYFUNCTION("""COMPUTED_VALUE"""),2.22)</f>
        <v>2.2200000000000002</v>
      </c>
      <c r="F471" s="1">
        <f ca="1">IFERROR(__xludf.DUMMYFUNCTION("""COMPUTED_VALUE"""),196200)</f>
        <v>196200</v>
      </c>
      <c r="I471" s="1"/>
    </row>
    <row r="472" spans="1:9">
      <c r="A472" s="3">
        <f ca="1">IFERROR(__xludf.DUMMYFUNCTION("""COMPUTED_VALUE"""),29900.6666666666)</f>
        <v>29900.666666666599</v>
      </c>
      <c r="B472" s="1">
        <f ca="1">IFERROR(__xludf.DUMMYFUNCTION("""COMPUTED_VALUE"""),2.2)</f>
        <v>2.2000000000000002</v>
      </c>
      <c r="C472" s="1">
        <f ca="1">IFERROR(__xludf.DUMMYFUNCTION("""COMPUTED_VALUE"""),2.23)</f>
        <v>2.23</v>
      </c>
      <c r="D472" s="1">
        <f ca="1">IFERROR(__xludf.DUMMYFUNCTION("""COMPUTED_VALUE"""),2.18)</f>
        <v>2.1800000000000002</v>
      </c>
      <c r="E472" s="1">
        <f ca="1">IFERROR(__xludf.DUMMYFUNCTION("""COMPUTED_VALUE"""),2.2)</f>
        <v>2.2000000000000002</v>
      </c>
      <c r="F472" s="1">
        <f ca="1">IFERROR(__xludf.DUMMYFUNCTION("""COMPUTED_VALUE"""),468200)</f>
        <v>468200</v>
      </c>
      <c r="I472" s="1"/>
    </row>
    <row r="473" spans="1:9">
      <c r="A473" s="3">
        <f ca="1">IFERROR(__xludf.DUMMYFUNCTION("""COMPUTED_VALUE"""),29901.6666666666)</f>
        <v>29901.666666666599</v>
      </c>
      <c r="B473" s="1">
        <f ca="1">IFERROR(__xludf.DUMMYFUNCTION("""COMPUTED_VALUE"""),2.2)</f>
        <v>2.2000000000000002</v>
      </c>
      <c r="C473" s="1">
        <f ca="1">IFERROR(__xludf.DUMMYFUNCTION("""COMPUTED_VALUE"""),2.21)</f>
        <v>2.21</v>
      </c>
      <c r="D473" s="1">
        <f ca="1">IFERROR(__xludf.DUMMYFUNCTION("""COMPUTED_VALUE"""),2.19)</f>
        <v>2.19</v>
      </c>
      <c r="E473" s="1">
        <f ca="1">IFERROR(__xludf.DUMMYFUNCTION("""COMPUTED_VALUE"""),2.2)</f>
        <v>2.2000000000000002</v>
      </c>
      <c r="F473" s="1">
        <f ca="1">IFERROR(__xludf.DUMMYFUNCTION("""COMPUTED_VALUE"""),101200)</f>
        <v>101200</v>
      </c>
      <c r="I473" s="1"/>
    </row>
    <row r="474" spans="1:9">
      <c r="A474" s="3">
        <f ca="1">IFERROR(__xludf.DUMMYFUNCTION("""COMPUTED_VALUE"""),29902.6666666666)</f>
        <v>29902.666666666599</v>
      </c>
      <c r="B474" s="1">
        <f ca="1">IFERROR(__xludf.DUMMYFUNCTION("""COMPUTED_VALUE"""),2.2)</f>
        <v>2.2000000000000002</v>
      </c>
      <c r="C474" s="1">
        <f ca="1">IFERROR(__xludf.DUMMYFUNCTION("""COMPUTED_VALUE"""),2.24)</f>
        <v>2.2400000000000002</v>
      </c>
      <c r="D474" s="1">
        <f ca="1">IFERROR(__xludf.DUMMYFUNCTION("""COMPUTED_VALUE"""),2.2)</f>
        <v>2.2000000000000002</v>
      </c>
      <c r="E474" s="1">
        <f ca="1">IFERROR(__xludf.DUMMYFUNCTION("""COMPUTED_VALUE"""),2.2)</f>
        <v>2.2000000000000002</v>
      </c>
      <c r="F474" s="1">
        <f ca="1">IFERROR(__xludf.DUMMYFUNCTION("""COMPUTED_VALUE"""),285300)</f>
        <v>285300</v>
      </c>
      <c r="I474" s="1"/>
    </row>
    <row r="475" spans="1:9">
      <c r="A475" s="3">
        <f ca="1">IFERROR(__xludf.DUMMYFUNCTION("""COMPUTED_VALUE"""),29903.6666666666)</f>
        <v>29903.666666666599</v>
      </c>
      <c r="B475" s="1">
        <f ca="1">IFERROR(__xludf.DUMMYFUNCTION("""COMPUTED_VALUE"""),2.19)</f>
        <v>2.19</v>
      </c>
      <c r="C475" s="1">
        <f ca="1">IFERROR(__xludf.DUMMYFUNCTION("""COMPUTED_VALUE"""),2.23)</f>
        <v>2.23</v>
      </c>
      <c r="D475" s="1">
        <f ca="1">IFERROR(__xludf.DUMMYFUNCTION("""COMPUTED_VALUE"""),2.18)</f>
        <v>2.1800000000000002</v>
      </c>
      <c r="E475" s="1">
        <f ca="1">IFERROR(__xludf.DUMMYFUNCTION("""COMPUTED_VALUE"""),2.19)</f>
        <v>2.19</v>
      </c>
      <c r="F475" s="1">
        <f ca="1">IFERROR(__xludf.DUMMYFUNCTION("""COMPUTED_VALUE"""),86200)</f>
        <v>86200</v>
      </c>
      <c r="I475" s="1"/>
    </row>
    <row r="476" spans="1:9">
      <c r="A476" s="3">
        <f ca="1">IFERROR(__xludf.DUMMYFUNCTION("""COMPUTED_VALUE"""),29906.6666666666)</f>
        <v>29906.666666666599</v>
      </c>
      <c r="B476" s="1">
        <f ca="1">IFERROR(__xludf.DUMMYFUNCTION("""COMPUTED_VALUE"""),2.13)</f>
        <v>2.13</v>
      </c>
      <c r="C476" s="1">
        <f ca="1">IFERROR(__xludf.DUMMYFUNCTION("""COMPUTED_VALUE"""),2.15)</f>
        <v>2.15</v>
      </c>
      <c r="D476" s="1">
        <f ca="1">IFERROR(__xludf.DUMMYFUNCTION("""COMPUTED_VALUE"""),2.11)</f>
        <v>2.11</v>
      </c>
      <c r="E476" s="1">
        <f ca="1">IFERROR(__xludf.DUMMYFUNCTION("""COMPUTED_VALUE"""),2.13)</f>
        <v>2.13</v>
      </c>
      <c r="F476" s="1">
        <f ca="1">IFERROR(__xludf.DUMMYFUNCTION("""COMPUTED_VALUE"""),102600)</f>
        <v>102600</v>
      </c>
      <c r="I476" s="1"/>
    </row>
    <row r="477" spans="1:9">
      <c r="A477" s="3">
        <f ca="1">IFERROR(__xludf.DUMMYFUNCTION("""COMPUTED_VALUE"""),29907.6666666666)</f>
        <v>29907.666666666599</v>
      </c>
      <c r="B477" s="1">
        <f ca="1">IFERROR(__xludf.DUMMYFUNCTION("""COMPUTED_VALUE"""),2.2)</f>
        <v>2.2000000000000002</v>
      </c>
      <c r="C477" s="1">
        <f ca="1">IFERROR(__xludf.DUMMYFUNCTION("""COMPUTED_VALUE"""),2.21)</f>
        <v>2.21</v>
      </c>
      <c r="D477" s="1">
        <f ca="1">IFERROR(__xludf.DUMMYFUNCTION("""COMPUTED_VALUE"""),2.14)</f>
        <v>2.14</v>
      </c>
      <c r="E477" s="1">
        <f ca="1">IFERROR(__xludf.DUMMYFUNCTION("""COMPUTED_VALUE"""),2.2)</f>
        <v>2.2000000000000002</v>
      </c>
      <c r="F477" s="1">
        <f ca="1">IFERROR(__xludf.DUMMYFUNCTION("""COMPUTED_VALUE"""),73400)</f>
        <v>73400</v>
      </c>
      <c r="I477" s="1"/>
    </row>
    <row r="478" spans="1:9">
      <c r="A478" s="3">
        <f ca="1">IFERROR(__xludf.DUMMYFUNCTION("""COMPUTED_VALUE"""),29908.6666666666)</f>
        <v>29908.666666666599</v>
      </c>
      <c r="B478" s="1">
        <f ca="1">IFERROR(__xludf.DUMMYFUNCTION("""COMPUTED_VALUE"""),2.2)</f>
        <v>2.2000000000000002</v>
      </c>
      <c r="C478" s="1">
        <f ca="1">IFERROR(__xludf.DUMMYFUNCTION("""COMPUTED_VALUE"""),2.23)</f>
        <v>2.23</v>
      </c>
      <c r="D478" s="1">
        <f ca="1">IFERROR(__xludf.DUMMYFUNCTION("""COMPUTED_VALUE"""),2.19)</f>
        <v>2.19</v>
      </c>
      <c r="E478" s="1">
        <f ca="1">IFERROR(__xludf.DUMMYFUNCTION("""COMPUTED_VALUE"""),2.2)</f>
        <v>2.2000000000000002</v>
      </c>
      <c r="F478" s="1">
        <f ca="1">IFERROR(__xludf.DUMMYFUNCTION("""COMPUTED_VALUE"""),260300)</f>
        <v>260300</v>
      </c>
      <c r="I478" s="1"/>
    </row>
    <row r="479" spans="1:9">
      <c r="A479" s="3">
        <f ca="1">IFERROR(__xludf.DUMMYFUNCTION("""COMPUTED_VALUE"""),29909.6666666666)</f>
        <v>29909.666666666599</v>
      </c>
      <c r="B479" s="1">
        <f ca="1">IFERROR(__xludf.DUMMYFUNCTION("""COMPUTED_VALUE"""),2.16)</f>
        <v>2.16</v>
      </c>
      <c r="C479" s="1">
        <f ca="1">IFERROR(__xludf.DUMMYFUNCTION("""COMPUTED_VALUE"""),2.2)</f>
        <v>2.2000000000000002</v>
      </c>
      <c r="D479" s="1">
        <f ca="1">IFERROR(__xludf.DUMMYFUNCTION("""COMPUTED_VALUE"""),2.14)</f>
        <v>2.14</v>
      </c>
      <c r="E479" s="1">
        <f ca="1">IFERROR(__xludf.DUMMYFUNCTION("""COMPUTED_VALUE"""),2.16)</f>
        <v>2.16</v>
      </c>
      <c r="F479" s="1">
        <f ca="1">IFERROR(__xludf.DUMMYFUNCTION("""COMPUTED_VALUE"""),94300)</f>
        <v>94300</v>
      </c>
      <c r="I479" s="1"/>
    </row>
    <row r="480" spans="1:9">
      <c r="A480" s="3">
        <f ca="1">IFERROR(__xludf.DUMMYFUNCTION("""COMPUTED_VALUE"""),29910.6666666666)</f>
        <v>29910.666666666599</v>
      </c>
      <c r="B480" s="1">
        <f ca="1">IFERROR(__xludf.DUMMYFUNCTION("""COMPUTED_VALUE"""),2.19)</f>
        <v>2.19</v>
      </c>
      <c r="C480" s="1">
        <f ca="1">IFERROR(__xludf.DUMMYFUNCTION("""COMPUTED_VALUE"""),2.2)</f>
        <v>2.2000000000000002</v>
      </c>
      <c r="D480" s="1">
        <f ca="1">IFERROR(__xludf.DUMMYFUNCTION("""COMPUTED_VALUE"""),2.15)</f>
        <v>2.15</v>
      </c>
      <c r="E480" s="1">
        <f ca="1">IFERROR(__xludf.DUMMYFUNCTION("""COMPUTED_VALUE"""),2.19)</f>
        <v>2.19</v>
      </c>
      <c r="F480" s="1">
        <f ca="1">IFERROR(__xludf.DUMMYFUNCTION("""COMPUTED_VALUE"""),116000)</f>
        <v>116000</v>
      </c>
      <c r="I480" s="1"/>
    </row>
    <row r="481" spans="1:9">
      <c r="A481" s="3">
        <f ca="1">IFERROR(__xludf.DUMMYFUNCTION("""COMPUTED_VALUE"""),29913.6666666666)</f>
        <v>29913.666666666599</v>
      </c>
      <c r="B481" s="1">
        <f ca="1">IFERROR(__xludf.DUMMYFUNCTION("""COMPUTED_VALUE"""),2.23)</f>
        <v>2.23</v>
      </c>
      <c r="C481" s="1">
        <f ca="1">IFERROR(__xludf.DUMMYFUNCTION("""COMPUTED_VALUE"""),2.26)</f>
        <v>2.2599999999999998</v>
      </c>
      <c r="D481" s="1">
        <f ca="1">IFERROR(__xludf.DUMMYFUNCTION("""COMPUTED_VALUE"""),2.21)</f>
        <v>2.21</v>
      </c>
      <c r="E481" s="1">
        <f ca="1">IFERROR(__xludf.DUMMYFUNCTION("""COMPUTED_VALUE"""),2.23)</f>
        <v>2.23</v>
      </c>
      <c r="F481" s="1">
        <f ca="1">IFERROR(__xludf.DUMMYFUNCTION("""COMPUTED_VALUE"""),202200)</f>
        <v>202200</v>
      </c>
      <c r="I481" s="1"/>
    </row>
    <row r="482" spans="1:9">
      <c r="A482" s="3">
        <f ca="1">IFERROR(__xludf.DUMMYFUNCTION("""COMPUTED_VALUE"""),29914.6666666666)</f>
        <v>29914.666666666599</v>
      </c>
      <c r="B482" s="1">
        <f ca="1">IFERROR(__xludf.DUMMYFUNCTION("""COMPUTED_VALUE"""),2.28)</f>
        <v>2.2799999999999998</v>
      </c>
      <c r="C482" s="1">
        <f ca="1">IFERROR(__xludf.DUMMYFUNCTION("""COMPUTED_VALUE"""),2.3)</f>
        <v>2.2999999999999998</v>
      </c>
      <c r="D482" s="1">
        <f ca="1">IFERROR(__xludf.DUMMYFUNCTION("""COMPUTED_VALUE"""),2.23)</f>
        <v>2.23</v>
      </c>
      <c r="E482" s="1">
        <f ca="1">IFERROR(__xludf.DUMMYFUNCTION("""COMPUTED_VALUE"""),2.28)</f>
        <v>2.2799999999999998</v>
      </c>
      <c r="F482" s="1">
        <f ca="1">IFERROR(__xludf.DUMMYFUNCTION("""COMPUTED_VALUE"""),149500)</f>
        <v>149500</v>
      </c>
      <c r="I482" s="1"/>
    </row>
    <row r="483" spans="1:9">
      <c r="A483" s="3">
        <f ca="1">IFERROR(__xludf.DUMMYFUNCTION("""COMPUTED_VALUE"""),29915.6666666666)</f>
        <v>29915.666666666599</v>
      </c>
      <c r="B483" s="1">
        <f ca="1">IFERROR(__xludf.DUMMYFUNCTION("""COMPUTED_VALUE"""),2.29)</f>
        <v>2.29</v>
      </c>
      <c r="C483" s="1">
        <f ca="1">IFERROR(__xludf.DUMMYFUNCTION("""COMPUTED_VALUE"""),2.33)</f>
        <v>2.33</v>
      </c>
      <c r="D483" s="1">
        <f ca="1">IFERROR(__xludf.DUMMYFUNCTION("""COMPUTED_VALUE"""),2.29)</f>
        <v>2.29</v>
      </c>
      <c r="E483" s="1">
        <f ca="1">IFERROR(__xludf.DUMMYFUNCTION("""COMPUTED_VALUE"""),2.29)</f>
        <v>2.29</v>
      </c>
      <c r="F483" s="1">
        <f ca="1">IFERROR(__xludf.DUMMYFUNCTION("""COMPUTED_VALUE"""),217900)</f>
        <v>217900</v>
      </c>
      <c r="I483" s="1"/>
    </row>
    <row r="484" spans="1:9">
      <c r="A484" s="3">
        <f ca="1">IFERROR(__xludf.DUMMYFUNCTION("""COMPUTED_VALUE"""),29917.6666666666)</f>
        <v>29917.666666666599</v>
      </c>
      <c r="B484" s="1">
        <f ca="1">IFERROR(__xludf.DUMMYFUNCTION("""COMPUTED_VALUE"""),2.3)</f>
        <v>2.2999999999999998</v>
      </c>
      <c r="C484" s="1">
        <f ca="1">IFERROR(__xludf.DUMMYFUNCTION("""COMPUTED_VALUE"""),2.3)</f>
        <v>2.2999999999999998</v>
      </c>
      <c r="D484" s="1">
        <f ca="1">IFERROR(__xludf.DUMMYFUNCTION("""COMPUTED_VALUE"""),2.28)</f>
        <v>2.2799999999999998</v>
      </c>
      <c r="E484" s="1">
        <f ca="1">IFERROR(__xludf.DUMMYFUNCTION("""COMPUTED_VALUE"""),2.3)</f>
        <v>2.2999999999999998</v>
      </c>
      <c r="F484" s="1">
        <f ca="1">IFERROR(__xludf.DUMMYFUNCTION("""COMPUTED_VALUE"""),85800)</f>
        <v>85800</v>
      </c>
      <c r="I484" s="1"/>
    </row>
    <row r="485" spans="1:9">
      <c r="A485" s="3">
        <f ca="1">IFERROR(__xludf.DUMMYFUNCTION("""COMPUTED_VALUE"""),29920.6666666666)</f>
        <v>29920.666666666599</v>
      </c>
      <c r="B485" s="1">
        <f ca="1">IFERROR(__xludf.DUMMYFUNCTION("""COMPUTED_VALUE"""),2.36)</f>
        <v>2.36</v>
      </c>
      <c r="C485" s="1">
        <f ca="1">IFERROR(__xludf.DUMMYFUNCTION("""COMPUTED_VALUE"""),2.38)</f>
        <v>2.38</v>
      </c>
      <c r="D485" s="1">
        <f ca="1">IFERROR(__xludf.DUMMYFUNCTION("""COMPUTED_VALUE"""),2.29)</f>
        <v>2.29</v>
      </c>
      <c r="E485" s="1">
        <f ca="1">IFERROR(__xludf.DUMMYFUNCTION("""COMPUTED_VALUE"""),2.36)</f>
        <v>2.36</v>
      </c>
      <c r="F485" s="1">
        <f ca="1">IFERROR(__xludf.DUMMYFUNCTION("""COMPUTED_VALUE"""),184900)</f>
        <v>184900</v>
      </c>
      <c r="I485" s="1"/>
    </row>
    <row r="486" spans="1:9">
      <c r="A486" s="3">
        <f ca="1">IFERROR(__xludf.DUMMYFUNCTION("""COMPUTED_VALUE"""),29921.6666666666)</f>
        <v>29921.666666666599</v>
      </c>
      <c r="B486" s="1">
        <f ca="1">IFERROR(__xludf.DUMMYFUNCTION("""COMPUTED_VALUE"""),2.34)</f>
        <v>2.34</v>
      </c>
      <c r="C486" s="1">
        <f ca="1">IFERROR(__xludf.DUMMYFUNCTION("""COMPUTED_VALUE"""),2.36)</f>
        <v>2.36</v>
      </c>
      <c r="D486" s="1">
        <f ca="1">IFERROR(__xludf.DUMMYFUNCTION("""COMPUTED_VALUE"""),2.33)</f>
        <v>2.33</v>
      </c>
      <c r="E486" s="1">
        <f ca="1">IFERROR(__xludf.DUMMYFUNCTION("""COMPUTED_VALUE"""),2.34)</f>
        <v>2.34</v>
      </c>
      <c r="F486" s="1">
        <f ca="1">IFERROR(__xludf.DUMMYFUNCTION("""COMPUTED_VALUE"""),209600)</f>
        <v>209600</v>
      </c>
      <c r="I486" s="1"/>
    </row>
    <row r="487" spans="1:9">
      <c r="A487" s="3">
        <f ca="1">IFERROR(__xludf.DUMMYFUNCTION("""COMPUTED_VALUE"""),29922.6666666666)</f>
        <v>29922.666666666599</v>
      </c>
      <c r="B487" s="1">
        <f ca="1">IFERROR(__xludf.DUMMYFUNCTION("""COMPUTED_VALUE"""),2.27)</f>
        <v>2.27</v>
      </c>
      <c r="C487" s="1">
        <f ca="1">IFERROR(__xludf.DUMMYFUNCTION("""COMPUTED_VALUE"""),2.34)</f>
        <v>2.34</v>
      </c>
      <c r="D487" s="1">
        <f ca="1">IFERROR(__xludf.DUMMYFUNCTION("""COMPUTED_VALUE"""),2.27)</f>
        <v>2.27</v>
      </c>
      <c r="E487" s="1">
        <f ca="1">IFERROR(__xludf.DUMMYFUNCTION("""COMPUTED_VALUE"""),2.27)</f>
        <v>2.27</v>
      </c>
      <c r="F487" s="1">
        <f ca="1">IFERROR(__xludf.DUMMYFUNCTION("""COMPUTED_VALUE"""),67800)</f>
        <v>67800</v>
      </c>
      <c r="I487" s="1"/>
    </row>
    <row r="488" spans="1:9">
      <c r="A488" s="3">
        <f ca="1">IFERROR(__xludf.DUMMYFUNCTION("""COMPUTED_VALUE"""),29923.6666666666)</f>
        <v>29923.666666666599</v>
      </c>
      <c r="B488" s="1">
        <f ca="1">IFERROR(__xludf.DUMMYFUNCTION("""COMPUTED_VALUE"""),2.27)</f>
        <v>2.27</v>
      </c>
      <c r="C488" s="1">
        <f ca="1">IFERROR(__xludf.DUMMYFUNCTION("""COMPUTED_VALUE"""),2.27)</f>
        <v>2.27</v>
      </c>
      <c r="D488" s="1">
        <f ca="1">IFERROR(__xludf.DUMMYFUNCTION("""COMPUTED_VALUE"""),2.25)</f>
        <v>2.25</v>
      </c>
      <c r="E488" s="1">
        <f ca="1">IFERROR(__xludf.DUMMYFUNCTION("""COMPUTED_VALUE"""),2.27)</f>
        <v>2.27</v>
      </c>
      <c r="F488" s="1">
        <f ca="1">IFERROR(__xludf.DUMMYFUNCTION("""COMPUTED_VALUE"""),103200)</f>
        <v>103200</v>
      </c>
      <c r="I488" s="1"/>
    </row>
    <row r="489" spans="1:9">
      <c r="A489" s="3">
        <f ca="1">IFERROR(__xludf.DUMMYFUNCTION("""COMPUTED_VALUE"""),29924.6666666666)</f>
        <v>29924.666666666599</v>
      </c>
      <c r="B489" s="1">
        <f ca="1">IFERROR(__xludf.DUMMYFUNCTION("""COMPUTED_VALUE"""),2.27)</f>
        <v>2.27</v>
      </c>
      <c r="C489" s="1">
        <f ca="1">IFERROR(__xludf.DUMMYFUNCTION("""COMPUTED_VALUE"""),2.28)</f>
        <v>2.2799999999999998</v>
      </c>
      <c r="D489" s="1">
        <f ca="1">IFERROR(__xludf.DUMMYFUNCTION("""COMPUTED_VALUE"""),2.25)</f>
        <v>2.25</v>
      </c>
      <c r="E489" s="1">
        <f ca="1">IFERROR(__xludf.DUMMYFUNCTION("""COMPUTED_VALUE"""),2.27)</f>
        <v>2.27</v>
      </c>
      <c r="F489" s="1">
        <f ca="1">IFERROR(__xludf.DUMMYFUNCTION("""COMPUTED_VALUE"""),146400)</f>
        <v>146400</v>
      </c>
      <c r="I489" s="1"/>
    </row>
    <row r="490" spans="1:9">
      <c r="A490" s="3">
        <f ca="1">IFERROR(__xludf.DUMMYFUNCTION("""COMPUTED_VALUE"""),29927.6666666666)</f>
        <v>29927.666666666599</v>
      </c>
      <c r="B490" s="1">
        <f ca="1">IFERROR(__xludf.DUMMYFUNCTION("""COMPUTED_VALUE"""),2.27)</f>
        <v>2.27</v>
      </c>
      <c r="C490" s="1">
        <f ca="1">IFERROR(__xludf.DUMMYFUNCTION("""COMPUTED_VALUE"""),2.3)</f>
        <v>2.2999999999999998</v>
      </c>
      <c r="D490" s="1">
        <f ca="1">IFERROR(__xludf.DUMMYFUNCTION("""COMPUTED_VALUE"""),2.27)</f>
        <v>2.27</v>
      </c>
      <c r="E490" s="1">
        <f ca="1">IFERROR(__xludf.DUMMYFUNCTION("""COMPUTED_VALUE"""),2.27)</f>
        <v>2.27</v>
      </c>
      <c r="F490" s="1">
        <f ca="1">IFERROR(__xludf.DUMMYFUNCTION("""COMPUTED_VALUE"""),134600)</f>
        <v>134600</v>
      </c>
      <c r="I490" s="1"/>
    </row>
    <row r="491" spans="1:9">
      <c r="A491" s="3">
        <f ca="1">IFERROR(__xludf.DUMMYFUNCTION("""COMPUTED_VALUE"""),29928.6666666666)</f>
        <v>29928.666666666599</v>
      </c>
      <c r="B491" s="1">
        <f ca="1">IFERROR(__xludf.DUMMYFUNCTION("""COMPUTED_VALUE"""),2.26)</f>
        <v>2.2599999999999998</v>
      </c>
      <c r="C491" s="1">
        <f ca="1">IFERROR(__xludf.DUMMYFUNCTION("""COMPUTED_VALUE"""),2.27)</f>
        <v>2.27</v>
      </c>
      <c r="D491" s="1">
        <f ca="1">IFERROR(__xludf.DUMMYFUNCTION("""COMPUTED_VALUE"""),2.23)</f>
        <v>2.23</v>
      </c>
      <c r="E491" s="1">
        <f ca="1">IFERROR(__xludf.DUMMYFUNCTION("""COMPUTED_VALUE"""),2.26)</f>
        <v>2.2599999999999998</v>
      </c>
      <c r="F491" s="1">
        <f ca="1">IFERROR(__xludf.DUMMYFUNCTION("""COMPUTED_VALUE"""),112800)</f>
        <v>112800</v>
      </c>
      <c r="I491" s="1"/>
    </row>
    <row r="492" spans="1:9">
      <c r="A492" s="3">
        <f ca="1">IFERROR(__xludf.DUMMYFUNCTION("""COMPUTED_VALUE"""),29929.6666666666)</f>
        <v>29929.666666666599</v>
      </c>
      <c r="B492" s="1">
        <f ca="1">IFERROR(__xludf.DUMMYFUNCTION("""COMPUTED_VALUE"""),2.25)</f>
        <v>2.25</v>
      </c>
      <c r="C492" s="1">
        <f ca="1">IFERROR(__xludf.DUMMYFUNCTION("""COMPUTED_VALUE"""),2.28)</f>
        <v>2.2799999999999998</v>
      </c>
      <c r="D492" s="1">
        <f ca="1">IFERROR(__xludf.DUMMYFUNCTION("""COMPUTED_VALUE"""),2.23)</f>
        <v>2.23</v>
      </c>
      <c r="E492" s="1">
        <f ca="1">IFERROR(__xludf.DUMMYFUNCTION("""COMPUTED_VALUE"""),2.25)</f>
        <v>2.25</v>
      </c>
      <c r="F492" s="1">
        <f ca="1">IFERROR(__xludf.DUMMYFUNCTION("""COMPUTED_VALUE"""),209100)</f>
        <v>209100</v>
      </c>
      <c r="I492" s="1"/>
    </row>
    <row r="493" spans="1:9">
      <c r="A493" s="3">
        <f ca="1">IFERROR(__xludf.DUMMYFUNCTION("""COMPUTED_VALUE"""),29930.6666666666)</f>
        <v>29930.666666666599</v>
      </c>
      <c r="B493" s="1">
        <f ca="1">IFERROR(__xludf.DUMMYFUNCTION("""COMPUTED_VALUE"""),2.25)</f>
        <v>2.25</v>
      </c>
      <c r="C493" s="1">
        <f ca="1">IFERROR(__xludf.DUMMYFUNCTION("""COMPUTED_VALUE"""),2.25)</f>
        <v>2.25</v>
      </c>
      <c r="D493" s="1">
        <f ca="1">IFERROR(__xludf.DUMMYFUNCTION("""COMPUTED_VALUE"""),2.23)</f>
        <v>2.23</v>
      </c>
      <c r="E493" s="1">
        <f ca="1">IFERROR(__xludf.DUMMYFUNCTION("""COMPUTED_VALUE"""),2.25)</f>
        <v>2.25</v>
      </c>
      <c r="F493" s="1">
        <f ca="1">IFERROR(__xludf.DUMMYFUNCTION("""COMPUTED_VALUE"""),190400)</f>
        <v>190400</v>
      </c>
      <c r="I493" s="1"/>
    </row>
    <row r="494" spans="1:9">
      <c r="A494" s="3">
        <f ca="1">IFERROR(__xludf.DUMMYFUNCTION("""COMPUTED_VALUE"""),29931.6666666666)</f>
        <v>29931.666666666599</v>
      </c>
      <c r="B494" s="1">
        <f ca="1">IFERROR(__xludf.DUMMYFUNCTION("""COMPUTED_VALUE"""),2.27)</f>
        <v>2.27</v>
      </c>
      <c r="C494" s="1">
        <f ca="1">IFERROR(__xludf.DUMMYFUNCTION("""COMPUTED_VALUE"""),2.27)</f>
        <v>2.27</v>
      </c>
      <c r="D494" s="1">
        <f ca="1">IFERROR(__xludf.DUMMYFUNCTION("""COMPUTED_VALUE"""),2.23)</f>
        <v>2.23</v>
      </c>
      <c r="E494" s="1">
        <f ca="1">IFERROR(__xludf.DUMMYFUNCTION("""COMPUTED_VALUE"""),2.27)</f>
        <v>2.27</v>
      </c>
      <c r="F494" s="1">
        <f ca="1">IFERROR(__xludf.DUMMYFUNCTION("""COMPUTED_VALUE"""),110900)</f>
        <v>110900</v>
      </c>
      <c r="I494" s="1"/>
    </row>
    <row r="495" spans="1:9">
      <c r="A495" s="3">
        <f ca="1">IFERROR(__xludf.DUMMYFUNCTION("""COMPUTED_VALUE"""),29934.6666666666)</f>
        <v>29934.666666666599</v>
      </c>
      <c r="B495" s="1">
        <f ca="1">IFERROR(__xludf.DUMMYFUNCTION("""COMPUTED_VALUE"""),2.2)</f>
        <v>2.2000000000000002</v>
      </c>
      <c r="C495" s="1">
        <f ca="1">IFERROR(__xludf.DUMMYFUNCTION("""COMPUTED_VALUE"""),2.27)</f>
        <v>2.27</v>
      </c>
      <c r="D495" s="1">
        <f ca="1">IFERROR(__xludf.DUMMYFUNCTION("""COMPUTED_VALUE"""),2.17)</f>
        <v>2.17</v>
      </c>
      <c r="E495" s="1">
        <f ca="1">IFERROR(__xludf.DUMMYFUNCTION("""COMPUTED_VALUE"""),2.2)</f>
        <v>2.2000000000000002</v>
      </c>
      <c r="F495" s="1">
        <f ca="1">IFERROR(__xludf.DUMMYFUNCTION("""COMPUTED_VALUE"""),213200)</f>
        <v>213200</v>
      </c>
      <c r="I495" s="1"/>
    </row>
    <row r="496" spans="1:9">
      <c r="A496" s="3">
        <f ca="1">IFERROR(__xludf.DUMMYFUNCTION("""COMPUTED_VALUE"""),29935.6666666666)</f>
        <v>29935.666666666599</v>
      </c>
      <c r="B496" s="1">
        <f ca="1">IFERROR(__xludf.DUMMYFUNCTION("""COMPUTED_VALUE"""),2.2)</f>
        <v>2.2000000000000002</v>
      </c>
      <c r="C496" s="1">
        <f ca="1">IFERROR(__xludf.DUMMYFUNCTION("""COMPUTED_VALUE"""),2.21)</f>
        <v>2.21</v>
      </c>
      <c r="D496" s="1">
        <f ca="1">IFERROR(__xludf.DUMMYFUNCTION("""COMPUTED_VALUE"""),2.16)</f>
        <v>2.16</v>
      </c>
      <c r="E496" s="1">
        <f ca="1">IFERROR(__xludf.DUMMYFUNCTION("""COMPUTED_VALUE"""),2.2)</f>
        <v>2.2000000000000002</v>
      </c>
      <c r="F496" s="1">
        <f ca="1">IFERROR(__xludf.DUMMYFUNCTION("""COMPUTED_VALUE"""),82100)</f>
        <v>82100</v>
      </c>
      <c r="I496" s="1"/>
    </row>
    <row r="497" spans="1:9">
      <c r="A497" s="3">
        <f ca="1">IFERROR(__xludf.DUMMYFUNCTION("""COMPUTED_VALUE"""),29936.6666666666)</f>
        <v>29936.666666666599</v>
      </c>
      <c r="B497" s="1">
        <f ca="1">IFERROR(__xludf.DUMMYFUNCTION("""COMPUTED_VALUE"""),2.18)</f>
        <v>2.1800000000000002</v>
      </c>
      <c r="C497" s="1">
        <f ca="1">IFERROR(__xludf.DUMMYFUNCTION("""COMPUTED_VALUE"""),2.21)</f>
        <v>2.21</v>
      </c>
      <c r="D497" s="1">
        <f ca="1">IFERROR(__xludf.DUMMYFUNCTION("""COMPUTED_VALUE"""),2.13)</f>
        <v>2.13</v>
      </c>
      <c r="E497" s="1">
        <f ca="1">IFERROR(__xludf.DUMMYFUNCTION("""COMPUTED_VALUE"""),2.18)</f>
        <v>2.1800000000000002</v>
      </c>
      <c r="F497" s="1">
        <f ca="1">IFERROR(__xludf.DUMMYFUNCTION("""COMPUTED_VALUE"""),37600)</f>
        <v>37600</v>
      </c>
      <c r="I497" s="1"/>
    </row>
    <row r="498" spans="1:9">
      <c r="A498" s="3">
        <f ca="1">IFERROR(__xludf.DUMMYFUNCTION("""COMPUTED_VALUE"""),29937.6666666666)</f>
        <v>29937.666666666599</v>
      </c>
      <c r="B498" s="1">
        <f ca="1">IFERROR(__xludf.DUMMYFUNCTION("""COMPUTED_VALUE"""),2.19)</f>
        <v>2.19</v>
      </c>
      <c r="C498" s="1">
        <f ca="1">IFERROR(__xludf.DUMMYFUNCTION("""COMPUTED_VALUE"""),2.2)</f>
        <v>2.2000000000000002</v>
      </c>
      <c r="D498" s="1">
        <f ca="1">IFERROR(__xludf.DUMMYFUNCTION("""COMPUTED_VALUE"""),2.17)</f>
        <v>2.17</v>
      </c>
      <c r="E498" s="1">
        <f ca="1">IFERROR(__xludf.DUMMYFUNCTION("""COMPUTED_VALUE"""),2.19)</f>
        <v>2.19</v>
      </c>
      <c r="F498" s="1">
        <f ca="1">IFERROR(__xludf.DUMMYFUNCTION("""COMPUTED_VALUE"""),91700)</f>
        <v>91700</v>
      </c>
      <c r="I498" s="1"/>
    </row>
    <row r="499" spans="1:9">
      <c r="A499" s="3">
        <f ca="1">IFERROR(__xludf.DUMMYFUNCTION("""COMPUTED_VALUE"""),29938.6666666666)</f>
        <v>29938.666666666599</v>
      </c>
      <c r="B499" s="1">
        <f ca="1">IFERROR(__xludf.DUMMYFUNCTION("""COMPUTED_VALUE"""),2.21)</f>
        <v>2.21</v>
      </c>
      <c r="C499" s="1">
        <f ca="1">IFERROR(__xludf.DUMMYFUNCTION("""COMPUTED_VALUE"""),2.23)</f>
        <v>2.23</v>
      </c>
      <c r="D499" s="1">
        <f ca="1">IFERROR(__xludf.DUMMYFUNCTION("""COMPUTED_VALUE"""),2.19)</f>
        <v>2.19</v>
      </c>
      <c r="E499" s="1">
        <f ca="1">IFERROR(__xludf.DUMMYFUNCTION("""COMPUTED_VALUE"""),2.21)</f>
        <v>2.21</v>
      </c>
      <c r="F499" s="1">
        <f ca="1">IFERROR(__xludf.DUMMYFUNCTION("""COMPUTED_VALUE"""),106100)</f>
        <v>106100</v>
      </c>
      <c r="I499" s="1"/>
    </row>
    <row r="500" spans="1:9">
      <c r="A500" s="3">
        <f ca="1">IFERROR(__xludf.DUMMYFUNCTION("""COMPUTED_VALUE"""),29941.6666666666)</f>
        <v>29941.666666666599</v>
      </c>
      <c r="B500" s="1">
        <f ca="1">IFERROR(__xludf.DUMMYFUNCTION("""COMPUTED_VALUE"""),2.23)</f>
        <v>2.23</v>
      </c>
      <c r="C500" s="1">
        <f ca="1">IFERROR(__xludf.DUMMYFUNCTION("""COMPUTED_VALUE"""),2.24)</f>
        <v>2.2400000000000002</v>
      </c>
      <c r="D500" s="1">
        <f ca="1">IFERROR(__xludf.DUMMYFUNCTION("""COMPUTED_VALUE"""),2.22)</f>
        <v>2.2200000000000002</v>
      </c>
      <c r="E500" s="1">
        <f ca="1">IFERROR(__xludf.DUMMYFUNCTION("""COMPUTED_VALUE"""),2.23)</f>
        <v>2.23</v>
      </c>
      <c r="F500" s="1">
        <f ca="1">IFERROR(__xludf.DUMMYFUNCTION("""COMPUTED_VALUE"""),78600)</f>
        <v>78600</v>
      </c>
      <c r="I500" s="1"/>
    </row>
    <row r="501" spans="1:9">
      <c r="A501" s="3">
        <f ca="1">IFERROR(__xludf.DUMMYFUNCTION("""COMPUTED_VALUE"""),29942.6666666666)</f>
        <v>29942.666666666599</v>
      </c>
      <c r="B501" s="1">
        <f ca="1">IFERROR(__xludf.DUMMYFUNCTION("""COMPUTED_VALUE"""),2.23)</f>
        <v>2.23</v>
      </c>
      <c r="C501" s="1">
        <f ca="1">IFERROR(__xludf.DUMMYFUNCTION("""COMPUTED_VALUE"""),2.24)</f>
        <v>2.2400000000000002</v>
      </c>
      <c r="D501" s="1">
        <f ca="1">IFERROR(__xludf.DUMMYFUNCTION("""COMPUTED_VALUE"""),2.22)</f>
        <v>2.2200000000000002</v>
      </c>
      <c r="E501" s="1">
        <f ca="1">IFERROR(__xludf.DUMMYFUNCTION("""COMPUTED_VALUE"""),2.23)</f>
        <v>2.23</v>
      </c>
      <c r="F501" s="1">
        <f ca="1">IFERROR(__xludf.DUMMYFUNCTION("""COMPUTED_VALUE"""),104000)</f>
        <v>104000</v>
      </c>
      <c r="I501" s="1"/>
    </row>
    <row r="502" spans="1:9">
      <c r="A502" s="3">
        <f ca="1">IFERROR(__xludf.DUMMYFUNCTION("""COMPUTED_VALUE"""),29943.6666666666)</f>
        <v>29943.666666666599</v>
      </c>
      <c r="B502" s="1">
        <f ca="1">IFERROR(__xludf.DUMMYFUNCTION("""COMPUTED_VALUE"""),2.24)</f>
        <v>2.2400000000000002</v>
      </c>
      <c r="C502" s="1">
        <f ca="1">IFERROR(__xludf.DUMMYFUNCTION("""COMPUTED_VALUE"""),2.26)</f>
        <v>2.2599999999999998</v>
      </c>
      <c r="D502" s="1">
        <f ca="1">IFERROR(__xludf.DUMMYFUNCTION("""COMPUTED_VALUE"""),2.21)</f>
        <v>2.21</v>
      </c>
      <c r="E502" s="1">
        <f ca="1">IFERROR(__xludf.DUMMYFUNCTION("""COMPUTED_VALUE"""),2.24)</f>
        <v>2.2400000000000002</v>
      </c>
      <c r="F502" s="1">
        <f ca="1">IFERROR(__xludf.DUMMYFUNCTION("""COMPUTED_VALUE"""),83300)</f>
        <v>83300</v>
      </c>
      <c r="I502" s="1"/>
    </row>
    <row r="503" spans="1:9">
      <c r="A503" s="3">
        <f ca="1">IFERROR(__xludf.DUMMYFUNCTION("""COMPUTED_VALUE"""),29944.6666666666)</f>
        <v>29944.666666666599</v>
      </c>
      <c r="B503" s="1">
        <f ca="1">IFERROR(__xludf.DUMMYFUNCTION("""COMPUTED_VALUE"""),2.27)</f>
        <v>2.27</v>
      </c>
      <c r="C503" s="1">
        <f ca="1">IFERROR(__xludf.DUMMYFUNCTION("""COMPUTED_VALUE"""),2.27)</f>
        <v>2.27</v>
      </c>
      <c r="D503" s="1">
        <f ca="1">IFERROR(__xludf.DUMMYFUNCTION("""COMPUTED_VALUE"""),2.24)</f>
        <v>2.2400000000000002</v>
      </c>
      <c r="E503" s="1">
        <f ca="1">IFERROR(__xludf.DUMMYFUNCTION("""COMPUTED_VALUE"""),2.27)</f>
        <v>2.27</v>
      </c>
      <c r="F503" s="1">
        <f ca="1">IFERROR(__xludf.DUMMYFUNCTION("""COMPUTED_VALUE"""),33200)</f>
        <v>33200</v>
      </c>
      <c r="I503" s="1"/>
    </row>
    <row r="504" spans="1:9">
      <c r="A504" s="3">
        <f ca="1">IFERROR(__xludf.DUMMYFUNCTION("""COMPUTED_VALUE"""),29948.6666666666)</f>
        <v>29948.666666666599</v>
      </c>
      <c r="B504" s="1">
        <f ca="1">IFERROR(__xludf.DUMMYFUNCTION("""COMPUTED_VALUE"""),2.27)</f>
        <v>2.27</v>
      </c>
      <c r="C504" s="1">
        <f ca="1">IFERROR(__xludf.DUMMYFUNCTION("""COMPUTED_VALUE"""),2.29)</f>
        <v>2.29</v>
      </c>
      <c r="D504" s="1">
        <f ca="1">IFERROR(__xludf.DUMMYFUNCTION("""COMPUTED_VALUE"""),2.26)</f>
        <v>2.2599999999999998</v>
      </c>
      <c r="E504" s="1">
        <f ca="1">IFERROR(__xludf.DUMMYFUNCTION("""COMPUTED_VALUE"""),2.27)</f>
        <v>2.27</v>
      </c>
      <c r="F504" s="1">
        <f ca="1">IFERROR(__xludf.DUMMYFUNCTION("""COMPUTED_VALUE"""),53700)</f>
        <v>53700</v>
      </c>
      <c r="I504" s="1"/>
    </row>
    <row r="505" spans="1:9">
      <c r="A505" s="3">
        <f ca="1">IFERROR(__xludf.DUMMYFUNCTION("""COMPUTED_VALUE"""),29949.6666666666)</f>
        <v>29949.666666666599</v>
      </c>
      <c r="B505" s="1">
        <f ca="1">IFERROR(__xludf.DUMMYFUNCTION("""COMPUTED_VALUE"""),2.27)</f>
        <v>2.27</v>
      </c>
      <c r="C505" s="1">
        <f ca="1">IFERROR(__xludf.DUMMYFUNCTION("""COMPUTED_VALUE"""),2.28)</f>
        <v>2.2799999999999998</v>
      </c>
      <c r="D505" s="1">
        <f ca="1">IFERROR(__xludf.DUMMYFUNCTION("""COMPUTED_VALUE"""),2.27)</f>
        <v>2.27</v>
      </c>
      <c r="E505" s="1">
        <f ca="1">IFERROR(__xludf.DUMMYFUNCTION("""COMPUTED_VALUE"""),2.27)</f>
        <v>2.27</v>
      </c>
      <c r="F505" s="1">
        <f ca="1">IFERROR(__xludf.DUMMYFUNCTION("""COMPUTED_VALUE"""),93300)</f>
        <v>93300</v>
      </c>
      <c r="I505" s="1"/>
    </row>
    <row r="506" spans="1:9">
      <c r="A506" s="3">
        <f ca="1">IFERROR(__xludf.DUMMYFUNCTION("""COMPUTED_VALUE"""),29950.6666666666)</f>
        <v>29950.666666666599</v>
      </c>
      <c r="B506" s="1">
        <f ca="1">IFERROR(__xludf.DUMMYFUNCTION("""COMPUTED_VALUE"""),2.3)</f>
        <v>2.2999999999999998</v>
      </c>
      <c r="C506" s="1">
        <f ca="1">IFERROR(__xludf.DUMMYFUNCTION("""COMPUTED_VALUE"""),2.3)</f>
        <v>2.2999999999999998</v>
      </c>
      <c r="D506" s="1">
        <f ca="1">IFERROR(__xludf.DUMMYFUNCTION("""COMPUTED_VALUE"""),2.27)</f>
        <v>2.27</v>
      </c>
      <c r="E506" s="1">
        <f ca="1">IFERROR(__xludf.DUMMYFUNCTION("""COMPUTED_VALUE"""),2.3)</f>
        <v>2.2999999999999998</v>
      </c>
      <c r="F506" s="1">
        <f ca="1">IFERROR(__xludf.DUMMYFUNCTION("""COMPUTED_VALUE"""),50100)</f>
        <v>50100</v>
      </c>
      <c r="I506" s="1"/>
    </row>
    <row r="507" spans="1:9">
      <c r="A507" s="3">
        <f ca="1">IFERROR(__xludf.DUMMYFUNCTION("""COMPUTED_VALUE"""),29951.6666666666)</f>
        <v>29951.666666666599</v>
      </c>
      <c r="B507" s="1">
        <f ca="1">IFERROR(__xludf.DUMMYFUNCTION("""COMPUTED_VALUE"""),2.32)</f>
        <v>2.3199999999999998</v>
      </c>
      <c r="C507" s="1">
        <f ca="1">IFERROR(__xludf.DUMMYFUNCTION("""COMPUTED_VALUE"""),2.34)</f>
        <v>2.34</v>
      </c>
      <c r="D507" s="1">
        <f ca="1">IFERROR(__xludf.DUMMYFUNCTION("""COMPUTED_VALUE"""),2.3)</f>
        <v>2.2999999999999998</v>
      </c>
      <c r="E507" s="1">
        <f ca="1">IFERROR(__xludf.DUMMYFUNCTION("""COMPUTED_VALUE"""),2.32)</f>
        <v>2.3199999999999998</v>
      </c>
      <c r="F507" s="1">
        <f ca="1">IFERROR(__xludf.DUMMYFUNCTION("""COMPUTED_VALUE"""),132800)</f>
        <v>132800</v>
      </c>
      <c r="I507" s="1"/>
    </row>
    <row r="508" spans="1:9">
      <c r="A508" s="3">
        <f ca="1">IFERROR(__xludf.DUMMYFUNCTION("""COMPUTED_VALUE"""),29955.6666666666)</f>
        <v>29955.666666666599</v>
      </c>
      <c r="B508" s="1">
        <f ca="1">IFERROR(__xludf.DUMMYFUNCTION("""COMPUTED_VALUE"""),2.29)</f>
        <v>2.29</v>
      </c>
      <c r="C508" s="1">
        <f ca="1">IFERROR(__xludf.DUMMYFUNCTION("""COMPUTED_VALUE"""),2.32)</f>
        <v>2.3199999999999998</v>
      </c>
      <c r="D508" s="1">
        <f ca="1">IFERROR(__xludf.DUMMYFUNCTION("""COMPUTED_VALUE"""),2.27)</f>
        <v>2.27</v>
      </c>
      <c r="E508" s="1">
        <f ca="1">IFERROR(__xludf.DUMMYFUNCTION("""COMPUTED_VALUE"""),2.29)</f>
        <v>2.29</v>
      </c>
      <c r="F508" s="1">
        <f ca="1">IFERROR(__xludf.DUMMYFUNCTION("""COMPUTED_VALUE"""),221700)</f>
        <v>221700</v>
      </c>
      <c r="I508" s="1"/>
    </row>
    <row r="509" spans="1:9">
      <c r="A509" s="3">
        <f ca="1">IFERROR(__xludf.DUMMYFUNCTION("""COMPUTED_VALUE"""),29956.6666666666)</f>
        <v>29956.666666666599</v>
      </c>
      <c r="B509" s="1">
        <f ca="1">IFERROR(__xludf.DUMMYFUNCTION("""COMPUTED_VALUE"""),2.22)</f>
        <v>2.2200000000000002</v>
      </c>
      <c r="C509" s="1">
        <f ca="1">IFERROR(__xludf.DUMMYFUNCTION("""COMPUTED_VALUE"""),2.28)</f>
        <v>2.2799999999999998</v>
      </c>
      <c r="D509" s="1">
        <f ca="1">IFERROR(__xludf.DUMMYFUNCTION("""COMPUTED_VALUE"""),2.19)</f>
        <v>2.19</v>
      </c>
      <c r="E509" s="1">
        <f ca="1">IFERROR(__xludf.DUMMYFUNCTION("""COMPUTED_VALUE"""),2.22)</f>
        <v>2.2200000000000002</v>
      </c>
      <c r="F509" s="1">
        <f ca="1">IFERROR(__xludf.DUMMYFUNCTION("""COMPUTED_VALUE"""),185100)</f>
        <v>185100</v>
      </c>
      <c r="I509" s="1"/>
    </row>
    <row r="510" spans="1:9">
      <c r="A510" s="3">
        <f ca="1">IFERROR(__xludf.DUMMYFUNCTION("""COMPUTED_VALUE"""),29957.6666666666)</f>
        <v>29957.666666666599</v>
      </c>
      <c r="B510" s="1">
        <f ca="1">IFERROR(__xludf.DUMMYFUNCTION("""COMPUTED_VALUE"""),2.19)</f>
        <v>2.19</v>
      </c>
      <c r="C510" s="1">
        <f ca="1">IFERROR(__xludf.DUMMYFUNCTION("""COMPUTED_VALUE"""),2.21)</f>
        <v>2.21</v>
      </c>
      <c r="D510" s="1">
        <f ca="1">IFERROR(__xludf.DUMMYFUNCTION("""COMPUTED_VALUE"""),2.17)</f>
        <v>2.17</v>
      </c>
      <c r="E510" s="1">
        <f ca="1">IFERROR(__xludf.DUMMYFUNCTION("""COMPUTED_VALUE"""),2.19)</f>
        <v>2.19</v>
      </c>
      <c r="F510" s="1">
        <f ca="1">IFERROR(__xludf.DUMMYFUNCTION("""COMPUTED_VALUE"""),169200)</f>
        <v>169200</v>
      </c>
      <c r="I510" s="1"/>
    </row>
    <row r="511" spans="1:9">
      <c r="A511" s="3">
        <f ca="1">IFERROR(__xludf.DUMMYFUNCTION("""COMPUTED_VALUE"""),29958.6666666666)</f>
        <v>29958.666666666599</v>
      </c>
      <c r="B511" s="1">
        <f ca="1">IFERROR(__xludf.DUMMYFUNCTION("""COMPUTED_VALUE"""),2.18)</f>
        <v>2.1800000000000002</v>
      </c>
      <c r="C511" s="1">
        <f ca="1">IFERROR(__xludf.DUMMYFUNCTION("""COMPUTED_VALUE"""),2.19)</f>
        <v>2.19</v>
      </c>
      <c r="D511" s="1">
        <f ca="1">IFERROR(__xludf.DUMMYFUNCTION("""COMPUTED_VALUE"""),2.13)</f>
        <v>2.13</v>
      </c>
      <c r="E511" s="1">
        <f ca="1">IFERROR(__xludf.DUMMYFUNCTION("""COMPUTED_VALUE"""),2.18)</f>
        <v>2.1800000000000002</v>
      </c>
      <c r="F511" s="1">
        <f ca="1">IFERROR(__xludf.DUMMYFUNCTION("""COMPUTED_VALUE"""),198300)</f>
        <v>198300</v>
      </c>
      <c r="I511" s="1"/>
    </row>
    <row r="512" spans="1:9">
      <c r="A512" s="3">
        <f ca="1">IFERROR(__xludf.DUMMYFUNCTION("""COMPUTED_VALUE"""),29959.6666666666)</f>
        <v>29959.666666666599</v>
      </c>
      <c r="B512" s="1">
        <f ca="1">IFERROR(__xludf.DUMMYFUNCTION("""COMPUTED_VALUE"""),2.16)</f>
        <v>2.16</v>
      </c>
      <c r="C512" s="1">
        <f ca="1">IFERROR(__xludf.DUMMYFUNCTION("""COMPUTED_VALUE"""),2.2)</f>
        <v>2.2000000000000002</v>
      </c>
      <c r="D512" s="1">
        <f ca="1">IFERROR(__xludf.DUMMYFUNCTION("""COMPUTED_VALUE"""),2.16)</f>
        <v>2.16</v>
      </c>
      <c r="E512" s="1">
        <f ca="1">IFERROR(__xludf.DUMMYFUNCTION("""COMPUTED_VALUE"""),2.16)</f>
        <v>2.16</v>
      </c>
      <c r="F512" s="1">
        <f ca="1">IFERROR(__xludf.DUMMYFUNCTION("""COMPUTED_VALUE"""),194200)</f>
        <v>194200</v>
      </c>
      <c r="I512" s="1"/>
    </row>
    <row r="513" spans="1:9">
      <c r="A513" s="3">
        <f ca="1">IFERROR(__xludf.DUMMYFUNCTION("""COMPUTED_VALUE"""),29962.6666666666)</f>
        <v>29962.666666666599</v>
      </c>
      <c r="B513" s="1">
        <f ca="1">IFERROR(__xludf.DUMMYFUNCTION("""COMPUTED_VALUE"""),2.12)</f>
        <v>2.12</v>
      </c>
      <c r="C513" s="1">
        <f ca="1">IFERROR(__xludf.DUMMYFUNCTION("""COMPUTED_VALUE"""),2.19)</f>
        <v>2.19</v>
      </c>
      <c r="D513" s="1">
        <f ca="1">IFERROR(__xludf.DUMMYFUNCTION("""COMPUTED_VALUE"""),2.11)</f>
        <v>2.11</v>
      </c>
      <c r="E513" s="1">
        <f ca="1">IFERROR(__xludf.DUMMYFUNCTION("""COMPUTED_VALUE"""),2.12)</f>
        <v>2.12</v>
      </c>
      <c r="F513" s="1">
        <f ca="1">IFERROR(__xludf.DUMMYFUNCTION("""COMPUTED_VALUE"""),128900)</f>
        <v>128900</v>
      </c>
      <c r="I513" s="1"/>
    </row>
    <row r="514" spans="1:9">
      <c r="A514" s="3">
        <f ca="1">IFERROR(__xludf.DUMMYFUNCTION("""COMPUTED_VALUE"""),29963.6666666666)</f>
        <v>29963.666666666599</v>
      </c>
      <c r="B514" s="1">
        <f ca="1">IFERROR(__xludf.DUMMYFUNCTION("""COMPUTED_VALUE"""),2.15)</f>
        <v>2.15</v>
      </c>
      <c r="C514" s="1">
        <f ca="1">IFERROR(__xludf.DUMMYFUNCTION("""COMPUTED_VALUE"""),2.15)</f>
        <v>2.15</v>
      </c>
      <c r="D514" s="1">
        <f ca="1">IFERROR(__xludf.DUMMYFUNCTION("""COMPUTED_VALUE"""),2.11)</f>
        <v>2.11</v>
      </c>
      <c r="E514" s="1">
        <f ca="1">IFERROR(__xludf.DUMMYFUNCTION("""COMPUTED_VALUE"""),2.15)</f>
        <v>2.15</v>
      </c>
      <c r="F514" s="1">
        <f ca="1">IFERROR(__xludf.DUMMYFUNCTION("""COMPUTED_VALUE"""),137200)</f>
        <v>137200</v>
      </c>
      <c r="I514" s="1"/>
    </row>
    <row r="515" spans="1:9">
      <c r="A515" s="3">
        <f ca="1">IFERROR(__xludf.DUMMYFUNCTION("""COMPUTED_VALUE"""),29964.6666666666)</f>
        <v>29964.666666666599</v>
      </c>
      <c r="B515" s="1">
        <f ca="1">IFERROR(__xludf.DUMMYFUNCTION("""COMPUTED_VALUE"""),2.11)</f>
        <v>2.11</v>
      </c>
      <c r="C515" s="1">
        <f ca="1">IFERROR(__xludf.DUMMYFUNCTION("""COMPUTED_VALUE"""),2.17)</f>
        <v>2.17</v>
      </c>
      <c r="D515" s="1">
        <f ca="1">IFERROR(__xludf.DUMMYFUNCTION("""COMPUTED_VALUE"""),2.11)</f>
        <v>2.11</v>
      </c>
      <c r="E515" s="1">
        <f ca="1">IFERROR(__xludf.DUMMYFUNCTION("""COMPUTED_VALUE"""),2.11)</f>
        <v>2.11</v>
      </c>
      <c r="F515" s="1">
        <f ca="1">IFERROR(__xludf.DUMMYFUNCTION("""COMPUTED_VALUE"""),127700)</f>
        <v>127700</v>
      </c>
      <c r="I515" s="1"/>
    </row>
    <row r="516" spans="1:9">
      <c r="A516" s="3">
        <f ca="1">IFERROR(__xludf.DUMMYFUNCTION("""COMPUTED_VALUE"""),29965.6666666666)</f>
        <v>29965.666666666599</v>
      </c>
      <c r="B516" s="1">
        <f ca="1">IFERROR(__xludf.DUMMYFUNCTION("""COMPUTED_VALUE"""),2.16)</f>
        <v>2.16</v>
      </c>
      <c r="C516" s="1">
        <f ca="1">IFERROR(__xludf.DUMMYFUNCTION("""COMPUTED_VALUE"""),2.16)</f>
        <v>2.16</v>
      </c>
      <c r="D516" s="1">
        <f ca="1">IFERROR(__xludf.DUMMYFUNCTION("""COMPUTED_VALUE"""),2.13)</f>
        <v>2.13</v>
      </c>
      <c r="E516" s="1">
        <f ca="1">IFERROR(__xludf.DUMMYFUNCTION("""COMPUTED_VALUE"""),2.16)</f>
        <v>2.16</v>
      </c>
      <c r="F516" s="1">
        <f ca="1">IFERROR(__xludf.DUMMYFUNCTION("""COMPUTED_VALUE"""),176300)</f>
        <v>176300</v>
      </c>
      <c r="I516" s="1"/>
    </row>
    <row r="517" spans="1:9">
      <c r="A517" s="3">
        <f ca="1">IFERROR(__xludf.DUMMYFUNCTION("""COMPUTED_VALUE"""),29966.6666666666)</f>
        <v>29966.666666666599</v>
      </c>
      <c r="B517" s="1">
        <f ca="1">IFERROR(__xludf.DUMMYFUNCTION("""COMPUTED_VALUE"""),2.17)</f>
        <v>2.17</v>
      </c>
      <c r="C517" s="1">
        <f ca="1">IFERROR(__xludf.DUMMYFUNCTION("""COMPUTED_VALUE"""),2.2)</f>
        <v>2.2000000000000002</v>
      </c>
      <c r="D517" s="1">
        <f ca="1">IFERROR(__xludf.DUMMYFUNCTION("""COMPUTED_VALUE"""),2.16)</f>
        <v>2.16</v>
      </c>
      <c r="E517" s="1">
        <f ca="1">IFERROR(__xludf.DUMMYFUNCTION("""COMPUTED_VALUE"""),2.17)</f>
        <v>2.17</v>
      </c>
      <c r="F517" s="1">
        <f ca="1">IFERROR(__xludf.DUMMYFUNCTION("""COMPUTED_VALUE"""),179400)</f>
        <v>179400</v>
      </c>
      <c r="I517" s="1"/>
    </row>
    <row r="518" spans="1:9">
      <c r="A518" s="3">
        <f ca="1">IFERROR(__xludf.DUMMYFUNCTION("""COMPUTED_VALUE"""),29969.6666666666)</f>
        <v>29969.666666666599</v>
      </c>
      <c r="B518" s="1">
        <f ca="1">IFERROR(__xludf.DUMMYFUNCTION("""COMPUTED_VALUE"""),2.26)</f>
        <v>2.2599999999999998</v>
      </c>
      <c r="C518" s="1">
        <f ca="1">IFERROR(__xludf.DUMMYFUNCTION("""COMPUTED_VALUE"""),2.26)</f>
        <v>2.2599999999999998</v>
      </c>
      <c r="D518" s="1">
        <f ca="1">IFERROR(__xludf.DUMMYFUNCTION("""COMPUTED_VALUE"""),2.16)</f>
        <v>2.16</v>
      </c>
      <c r="E518" s="1">
        <f ca="1">IFERROR(__xludf.DUMMYFUNCTION("""COMPUTED_VALUE"""),2.26)</f>
        <v>2.2599999999999998</v>
      </c>
      <c r="F518" s="1">
        <f ca="1">IFERROR(__xludf.DUMMYFUNCTION("""COMPUTED_VALUE"""),321500)</f>
        <v>321500</v>
      </c>
      <c r="I518" s="1"/>
    </row>
    <row r="519" spans="1:9">
      <c r="A519" s="3">
        <f ca="1">IFERROR(__xludf.DUMMYFUNCTION("""COMPUTED_VALUE"""),29970.6666666666)</f>
        <v>29970.666666666599</v>
      </c>
      <c r="B519" s="1">
        <f ca="1">IFERROR(__xludf.DUMMYFUNCTION("""COMPUTED_VALUE"""),2.24)</f>
        <v>2.2400000000000002</v>
      </c>
      <c r="C519" s="1">
        <f ca="1">IFERROR(__xludf.DUMMYFUNCTION("""COMPUTED_VALUE"""),2.27)</f>
        <v>2.27</v>
      </c>
      <c r="D519" s="1">
        <f ca="1">IFERROR(__xludf.DUMMYFUNCTION("""COMPUTED_VALUE"""),2.23)</f>
        <v>2.23</v>
      </c>
      <c r="E519" s="1">
        <f ca="1">IFERROR(__xludf.DUMMYFUNCTION("""COMPUTED_VALUE"""),2.24)</f>
        <v>2.2400000000000002</v>
      </c>
      <c r="F519" s="1">
        <f ca="1">IFERROR(__xludf.DUMMYFUNCTION("""COMPUTED_VALUE"""),200400)</f>
        <v>200400</v>
      </c>
      <c r="I519" s="1"/>
    </row>
    <row r="520" spans="1:9">
      <c r="A520" s="3">
        <f ca="1">IFERROR(__xludf.DUMMYFUNCTION("""COMPUTED_VALUE"""),29971.6666666666)</f>
        <v>29971.666666666599</v>
      </c>
      <c r="B520" s="1">
        <f ca="1">IFERROR(__xludf.DUMMYFUNCTION("""COMPUTED_VALUE"""),2.23)</f>
        <v>2.23</v>
      </c>
      <c r="C520" s="1">
        <f ca="1">IFERROR(__xludf.DUMMYFUNCTION("""COMPUTED_VALUE"""),2.26)</f>
        <v>2.2599999999999998</v>
      </c>
      <c r="D520" s="1">
        <f ca="1">IFERROR(__xludf.DUMMYFUNCTION("""COMPUTED_VALUE"""),2.23)</f>
        <v>2.23</v>
      </c>
      <c r="E520" s="1">
        <f ca="1">IFERROR(__xludf.DUMMYFUNCTION("""COMPUTED_VALUE"""),2.23)</f>
        <v>2.23</v>
      </c>
      <c r="F520" s="1">
        <f ca="1">IFERROR(__xludf.DUMMYFUNCTION("""COMPUTED_VALUE"""),117600)</f>
        <v>117600</v>
      </c>
      <c r="I520" s="1"/>
    </row>
    <row r="521" spans="1:9">
      <c r="A521" s="3">
        <f ca="1">IFERROR(__xludf.DUMMYFUNCTION("""COMPUTED_VALUE"""),29972.6666666666)</f>
        <v>29972.666666666599</v>
      </c>
      <c r="B521" s="1">
        <f ca="1">IFERROR(__xludf.DUMMYFUNCTION("""COMPUTED_VALUE"""),2.27)</f>
        <v>2.27</v>
      </c>
      <c r="C521" s="1">
        <f ca="1">IFERROR(__xludf.DUMMYFUNCTION("""COMPUTED_VALUE"""),2.29)</f>
        <v>2.29</v>
      </c>
      <c r="D521" s="1">
        <f ca="1">IFERROR(__xludf.DUMMYFUNCTION("""COMPUTED_VALUE"""),2.23)</f>
        <v>2.23</v>
      </c>
      <c r="E521" s="1">
        <f ca="1">IFERROR(__xludf.DUMMYFUNCTION("""COMPUTED_VALUE"""),2.27)</f>
        <v>2.27</v>
      </c>
      <c r="F521" s="1">
        <f ca="1">IFERROR(__xludf.DUMMYFUNCTION("""COMPUTED_VALUE"""),365200)</f>
        <v>365200</v>
      </c>
      <c r="I521" s="1"/>
    </row>
    <row r="522" spans="1:9">
      <c r="A522" s="3">
        <f ca="1">IFERROR(__xludf.DUMMYFUNCTION("""COMPUTED_VALUE"""),29973.6666666666)</f>
        <v>29973.666666666599</v>
      </c>
      <c r="B522" s="1">
        <f ca="1">IFERROR(__xludf.DUMMYFUNCTION("""COMPUTED_VALUE"""),2.28)</f>
        <v>2.2799999999999998</v>
      </c>
      <c r="C522" s="1">
        <f ca="1">IFERROR(__xludf.DUMMYFUNCTION("""COMPUTED_VALUE"""),2.3)</f>
        <v>2.2999999999999998</v>
      </c>
      <c r="D522" s="1">
        <f ca="1">IFERROR(__xludf.DUMMYFUNCTION("""COMPUTED_VALUE"""),2.27)</f>
        <v>2.27</v>
      </c>
      <c r="E522" s="1">
        <f ca="1">IFERROR(__xludf.DUMMYFUNCTION("""COMPUTED_VALUE"""),2.28)</f>
        <v>2.2799999999999998</v>
      </c>
      <c r="F522" s="1">
        <f ca="1">IFERROR(__xludf.DUMMYFUNCTION("""COMPUTED_VALUE"""),151400)</f>
        <v>151400</v>
      </c>
      <c r="I522" s="1"/>
    </row>
    <row r="523" spans="1:9">
      <c r="A523" s="3">
        <f ca="1">IFERROR(__xludf.DUMMYFUNCTION("""COMPUTED_VALUE"""),29976.6666666666)</f>
        <v>29976.666666666599</v>
      </c>
      <c r="B523" s="1">
        <f ca="1">IFERROR(__xludf.DUMMYFUNCTION("""COMPUTED_VALUE"""),2.31)</f>
        <v>2.31</v>
      </c>
      <c r="C523" s="1">
        <f ca="1">IFERROR(__xludf.DUMMYFUNCTION("""COMPUTED_VALUE"""),2.31)</f>
        <v>2.31</v>
      </c>
      <c r="D523" s="1">
        <f ca="1">IFERROR(__xludf.DUMMYFUNCTION("""COMPUTED_VALUE"""),2.23)</f>
        <v>2.23</v>
      </c>
      <c r="E523" s="1">
        <f ca="1">IFERROR(__xludf.DUMMYFUNCTION("""COMPUTED_VALUE"""),2.31)</f>
        <v>2.31</v>
      </c>
      <c r="F523" s="1">
        <f ca="1">IFERROR(__xludf.DUMMYFUNCTION("""COMPUTED_VALUE"""),264000)</f>
        <v>264000</v>
      </c>
      <c r="I523" s="1"/>
    </row>
    <row r="524" spans="1:9">
      <c r="A524" s="3">
        <f ca="1">IFERROR(__xludf.DUMMYFUNCTION("""COMPUTED_VALUE"""),29977.6666666666)</f>
        <v>29977.666666666599</v>
      </c>
      <c r="B524" s="1">
        <f ca="1">IFERROR(__xludf.DUMMYFUNCTION("""COMPUTED_VALUE"""),2.28)</f>
        <v>2.2799999999999998</v>
      </c>
      <c r="C524" s="1">
        <f ca="1">IFERROR(__xludf.DUMMYFUNCTION("""COMPUTED_VALUE"""),2.3)</f>
        <v>2.2999999999999998</v>
      </c>
      <c r="D524" s="1">
        <f ca="1">IFERROR(__xludf.DUMMYFUNCTION("""COMPUTED_VALUE"""),2.28)</f>
        <v>2.2799999999999998</v>
      </c>
      <c r="E524" s="1">
        <f ca="1">IFERROR(__xludf.DUMMYFUNCTION("""COMPUTED_VALUE"""),2.28)</f>
        <v>2.2799999999999998</v>
      </c>
      <c r="F524" s="1">
        <f ca="1">IFERROR(__xludf.DUMMYFUNCTION("""COMPUTED_VALUE"""),136000)</f>
        <v>136000</v>
      </c>
      <c r="I524" s="1"/>
    </row>
    <row r="525" spans="1:9">
      <c r="A525" s="3">
        <f ca="1">IFERROR(__xludf.DUMMYFUNCTION("""COMPUTED_VALUE"""),29978.6666666666)</f>
        <v>29978.666666666599</v>
      </c>
      <c r="B525" s="1">
        <f ca="1">IFERROR(__xludf.DUMMYFUNCTION("""COMPUTED_VALUE"""),2.28)</f>
        <v>2.2799999999999998</v>
      </c>
      <c r="C525" s="1">
        <f ca="1">IFERROR(__xludf.DUMMYFUNCTION("""COMPUTED_VALUE"""),2.3)</f>
        <v>2.2999999999999998</v>
      </c>
      <c r="D525" s="1">
        <f ca="1">IFERROR(__xludf.DUMMYFUNCTION("""COMPUTED_VALUE"""),2.26)</f>
        <v>2.2599999999999998</v>
      </c>
      <c r="E525" s="1">
        <f ca="1">IFERROR(__xludf.DUMMYFUNCTION("""COMPUTED_VALUE"""),2.28)</f>
        <v>2.2799999999999998</v>
      </c>
      <c r="F525" s="1">
        <f ca="1">IFERROR(__xludf.DUMMYFUNCTION("""COMPUTED_VALUE"""),192800)</f>
        <v>192800</v>
      </c>
      <c r="I525" s="1"/>
    </row>
    <row r="526" spans="1:9">
      <c r="A526" s="3">
        <f ca="1">IFERROR(__xludf.DUMMYFUNCTION("""COMPUTED_VALUE"""),29979.6666666666)</f>
        <v>29979.666666666599</v>
      </c>
      <c r="B526" s="1">
        <f ca="1">IFERROR(__xludf.DUMMYFUNCTION("""COMPUTED_VALUE"""),2.33)</f>
        <v>2.33</v>
      </c>
      <c r="C526" s="1">
        <f ca="1">IFERROR(__xludf.DUMMYFUNCTION("""COMPUTED_VALUE"""),2.34)</f>
        <v>2.34</v>
      </c>
      <c r="D526" s="1">
        <f ca="1">IFERROR(__xludf.DUMMYFUNCTION("""COMPUTED_VALUE"""),2.27)</f>
        <v>2.27</v>
      </c>
      <c r="E526" s="1">
        <f ca="1">IFERROR(__xludf.DUMMYFUNCTION("""COMPUTED_VALUE"""),2.33)</f>
        <v>2.33</v>
      </c>
      <c r="F526" s="1">
        <f ca="1">IFERROR(__xludf.DUMMYFUNCTION("""COMPUTED_VALUE"""),213400)</f>
        <v>213400</v>
      </c>
      <c r="I526" s="1"/>
    </row>
    <row r="527" spans="1:9">
      <c r="A527" s="3">
        <f ca="1">IFERROR(__xludf.DUMMYFUNCTION("""COMPUTED_VALUE"""),29980.6666666666)</f>
        <v>29980.666666666599</v>
      </c>
      <c r="B527" s="1">
        <f ca="1">IFERROR(__xludf.DUMMYFUNCTION("""COMPUTED_VALUE"""),2.37)</f>
        <v>2.37</v>
      </c>
      <c r="C527" s="1">
        <f ca="1">IFERROR(__xludf.DUMMYFUNCTION("""COMPUTED_VALUE"""),2.38)</f>
        <v>2.38</v>
      </c>
      <c r="D527" s="1">
        <f ca="1">IFERROR(__xludf.DUMMYFUNCTION("""COMPUTED_VALUE"""),2.34)</f>
        <v>2.34</v>
      </c>
      <c r="E527" s="1">
        <f ca="1">IFERROR(__xludf.DUMMYFUNCTION("""COMPUTED_VALUE"""),2.37)</f>
        <v>2.37</v>
      </c>
      <c r="F527" s="1">
        <f ca="1">IFERROR(__xludf.DUMMYFUNCTION("""COMPUTED_VALUE"""),266100)</f>
        <v>266100</v>
      </c>
      <c r="I527" s="1"/>
    </row>
    <row r="528" spans="1:9">
      <c r="A528" s="3">
        <f ca="1">IFERROR(__xludf.DUMMYFUNCTION("""COMPUTED_VALUE"""),29983.6666666666)</f>
        <v>29983.666666666599</v>
      </c>
      <c r="B528" s="1">
        <f ca="1">IFERROR(__xludf.DUMMYFUNCTION("""COMPUTED_VALUE"""),2.31)</f>
        <v>2.31</v>
      </c>
      <c r="C528" s="1">
        <f ca="1">IFERROR(__xludf.DUMMYFUNCTION("""COMPUTED_VALUE"""),2.34)</f>
        <v>2.34</v>
      </c>
      <c r="D528" s="1">
        <f ca="1">IFERROR(__xludf.DUMMYFUNCTION("""COMPUTED_VALUE"""),2.3)</f>
        <v>2.2999999999999998</v>
      </c>
      <c r="E528" s="1">
        <f ca="1">IFERROR(__xludf.DUMMYFUNCTION("""COMPUTED_VALUE"""),2.31)</f>
        <v>2.31</v>
      </c>
      <c r="F528" s="1">
        <f ca="1">IFERROR(__xludf.DUMMYFUNCTION("""COMPUTED_VALUE"""),228000)</f>
        <v>228000</v>
      </c>
      <c r="I528" s="1"/>
    </row>
    <row r="529" spans="1:9">
      <c r="A529" s="3">
        <f ca="1">IFERROR(__xludf.DUMMYFUNCTION("""COMPUTED_VALUE"""),29984.6666666666)</f>
        <v>29984.666666666599</v>
      </c>
      <c r="B529" s="1">
        <f ca="1">IFERROR(__xludf.DUMMYFUNCTION("""COMPUTED_VALUE"""),2.32)</f>
        <v>2.3199999999999998</v>
      </c>
      <c r="C529" s="1">
        <f ca="1">IFERROR(__xludf.DUMMYFUNCTION("""COMPUTED_VALUE"""),2.33)</f>
        <v>2.33</v>
      </c>
      <c r="D529" s="1">
        <f ca="1">IFERROR(__xludf.DUMMYFUNCTION("""COMPUTED_VALUE"""),2.29)</f>
        <v>2.29</v>
      </c>
      <c r="E529" s="1">
        <f ca="1">IFERROR(__xludf.DUMMYFUNCTION("""COMPUTED_VALUE"""),2.32)</f>
        <v>2.3199999999999998</v>
      </c>
      <c r="F529" s="1">
        <f ca="1">IFERROR(__xludf.DUMMYFUNCTION("""COMPUTED_VALUE"""),278300)</f>
        <v>278300</v>
      </c>
      <c r="I529" s="1"/>
    </row>
    <row r="530" spans="1:9">
      <c r="A530" s="3">
        <f ca="1">IFERROR(__xludf.DUMMYFUNCTION("""COMPUTED_VALUE"""),29985.6666666666)</f>
        <v>29985.666666666599</v>
      </c>
      <c r="B530" s="1">
        <f ca="1">IFERROR(__xludf.DUMMYFUNCTION("""COMPUTED_VALUE"""),2.3)</f>
        <v>2.2999999999999998</v>
      </c>
      <c r="C530" s="1">
        <f ca="1">IFERROR(__xludf.DUMMYFUNCTION("""COMPUTED_VALUE"""),2.32)</f>
        <v>2.3199999999999998</v>
      </c>
      <c r="D530" s="1">
        <f ca="1">IFERROR(__xludf.DUMMYFUNCTION("""COMPUTED_VALUE"""),2.29)</f>
        <v>2.29</v>
      </c>
      <c r="E530" s="1">
        <f ca="1">IFERROR(__xludf.DUMMYFUNCTION("""COMPUTED_VALUE"""),2.3)</f>
        <v>2.2999999999999998</v>
      </c>
      <c r="F530" s="1">
        <f ca="1">IFERROR(__xludf.DUMMYFUNCTION("""COMPUTED_VALUE"""),206900)</f>
        <v>206900</v>
      </c>
      <c r="I530" s="1"/>
    </row>
    <row r="531" spans="1:9">
      <c r="A531" s="3">
        <f ca="1">IFERROR(__xludf.DUMMYFUNCTION("""COMPUTED_VALUE"""),29986.6666666666)</f>
        <v>29986.666666666599</v>
      </c>
      <c r="B531" s="1">
        <f ca="1">IFERROR(__xludf.DUMMYFUNCTION("""COMPUTED_VALUE"""),2.31)</f>
        <v>2.31</v>
      </c>
      <c r="C531" s="1">
        <f ca="1">IFERROR(__xludf.DUMMYFUNCTION("""COMPUTED_VALUE"""),2.31)</f>
        <v>2.31</v>
      </c>
      <c r="D531" s="1">
        <f ca="1">IFERROR(__xludf.DUMMYFUNCTION("""COMPUTED_VALUE"""),2.29)</f>
        <v>2.29</v>
      </c>
      <c r="E531" s="1">
        <f ca="1">IFERROR(__xludf.DUMMYFUNCTION("""COMPUTED_VALUE"""),2.31)</f>
        <v>2.31</v>
      </c>
      <c r="F531" s="1">
        <f ca="1">IFERROR(__xludf.DUMMYFUNCTION("""COMPUTED_VALUE"""),88000)</f>
        <v>88000</v>
      </c>
      <c r="I531" s="1"/>
    </row>
    <row r="532" spans="1:9">
      <c r="A532" s="3">
        <f ca="1">IFERROR(__xludf.DUMMYFUNCTION("""COMPUTED_VALUE"""),29987.6666666666)</f>
        <v>29987.666666666599</v>
      </c>
      <c r="B532" s="1">
        <f ca="1">IFERROR(__xludf.DUMMYFUNCTION("""COMPUTED_VALUE"""),2.42)</f>
        <v>2.42</v>
      </c>
      <c r="C532" s="1">
        <f ca="1">IFERROR(__xludf.DUMMYFUNCTION("""COMPUTED_VALUE"""),2.45)</f>
        <v>2.4500000000000002</v>
      </c>
      <c r="D532" s="1">
        <f ca="1">IFERROR(__xludf.DUMMYFUNCTION("""COMPUTED_VALUE"""),2.31)</f>
        <v>2.31</v>
      </c>
      <c r="E532" s="1">
        <f ca="1">IFERROR(__xludf.DUMMYFUNCTION("""COMPUTED_VALUE"""),2.42)</f>
        <v>2.42</v>
      </c>
      <c r="F532" s="1">
        <f ca="1">IFERROR(__xludf.DUMMYFUNCTION("""COMPUTED_VALUE"""),387800)</f>
        <v>387800</v>
      </c>
      <c r="I532" s="1"/>
    </row>
    <row r="533" spans="1:9">
      <c r="A533" s="3">
        <f ca="1">IFERROR(__xludf.DUMMYFUNCTION("""COMPUTED_VALUE"""),29990.6666666666)</f>
        <v>29990.666666666599</v>
      </c>
      <c r="B533" s="1">
        <f ca="1">IFERROR(__xludf.DUMMYFUNCTION("""COMPUTED_VALUE"""),2.37)</f>
        <v>2.37</v>
      </c>
      <c r="C533" s="1">
        <f ca="1">IFERROR(__xludf.DUMMYFUNCTION("""COMPUTED_VALUE"""),2.38)</f>
        <v>2.38</v>
      </c>
      <c r="D533" s="1">
        <f ca="1">IFERROR(__xludf.DUMMYFUNCTION("""COMPUTED_VALUE"""),2.35)</f>
        <v>2.35</v>
      </c>
      <c r="E533" s="1">
        <f ca="1">IFERROR(__xludf.DUMMYFUNCTION("""COMPUTED_VALUE"""),2.37)</f>
        <v>2.37</v>
      </c>
      <c r="F533" s="1">
        <f ca="1">IFERROR(__xludf.DUMMYFUNCTION("""COMPUTED_VALUE"""),237700)</f>
        <v>237700</v>
      </c>
      <c r="I533" s="1"/>
    </row>
    <row r="534" spans="1:9">
      <c r="A534" s="3">
        <f ca="1">IFERROR(__xludf.DUMMYFUNCTION("""COMPUTED_VALUE"""),29991.6666666666)</f>
        <v>29991.666666666599</v>
      </c>
      <c r="B534" s="1">
        <f ca="1">IFERROR(__xludf.DUMMYFUNCTION("""COMPUTED_VALUE"""),2.27)</f>
        <v>2.27</v>
      </c>
      <c r="C534" s="1">
        <f ca="1">IFERROR(__xludf.DUMMYFUNCTION("""COMPUTED_VALUE"""),2.35)</f>
        <v>2.35</v>
      </c>
      <c r="D534" s="1">
        <f ca="1">IFERROR(__xludf.DUMMYFUNCTION("""COMPUTED_VALUE"""),2.27)</f>
        <v>2.27</v>
      </c>
      <c r="E534" s="1">
        <f ca="1">IFERROR(__xludf.DUMMYFUNCTION("""COMPUTED_VALUE"""),2.27)</f>
        <v>2.27</v>
      </c>
      <c r="F534" s="1">
        <f ca="1">IFERROR(__xludf.DUMMYFUNCTION("""COMPUTED_VALUE"""),241700)</f>
        <v>241700</v>
      </c>
      <c r="I534" s="1"/>
    </row>
    <row r="535" spans="1:9">
      <c r="A535" s="3">
        <f ca="1">IFERROR(__xludf.DUMMYFUNCTION("""COMPUTED_VALUE"""),29992.6666666666)</f>
        <v>29992.666666666599</v>
      </c>
      <c r="B535" s="1">
        <f ca="1">IFERROR(__xludf.DUMMYFUNCTION("""COMPUTED_VALUE"""),2.29)</f>
        <v>2.29</v>
      </c>
      <c r="C535" s="1">
        <f ca="1">IFERROR(__xludf.DUMMYFUNCTION("""COMPUTED_VALUE"""),2.31)</f>
        <v>2.31</v>
      </c>
      <c r="D535" s="1">
        <f ca="1">IFERROR(__xludf.DUMMYFUNCTION("""COMPUTED_VALUE"""),2.27)</f>
        <v>2.27</v>
      </c>
      <c r="E535" s="1">
        <f ca="1">IFERROR(__xludf.DUMMYFUNCTION("""COMPUTED_VALUE"""),2.29)</f>
        <v>2.29</v>
      </c>
      <c r="F535" s="1">
        <f ca="1">IFERROR(__xludf.DUMMYFUNCTION("""COMPUTED_VALUE"""),176900)</f>
        <v>176900</v>
      </c>
      <c r="I535" s="1"/>
    </row>
    <row r="536" spans="1:9">
      <c r="A536" s="3">
        <f ca="1">IFERROR(__xludf.DUMMYFUNCTION("""COMPUTED_VALUE"""),29993.6666666666)</f>
        <v>29993.666666666599</v>
      </c>
      <c r="B536" s="1">
        <f ca="1">IFERROR(__xludf.DUMMYFUNCTION("""COMPUTED_VALUE"""),2.27)</f>
        <v>2.27</v>
      </c>
      <c r="C536" s="1">
        <f ca="1">IFERROR(__xludf.DUMMYFUNCTION("""COMPUTED_VALUE"""),2.3)</f>
        <v>2.2999999999999998</v>
      </c>
      <c r="D536" s="1">
        <f ca="1">IFERROR(__xludf.DUMMYFUNCTION("""COMPUTED_VALUE"""),2.25)</f>
        <v>2.25</v>
      </c>
      <c r="E536" s="1">
        <f ca="1">IFERROR(__xludf.DUMMYFUNCTION("""COMPUTED_VALUE"""),2.27)</f>
        <v>2.27</v>
      </c>
      <c r="F536" s="1">
        <f ca="1">IFERROR(__xludf.DUMMYFUNCTION("""COMPUTED_VALUE"""),266300)</f>
        <v>266300</v>
      </c>
      <c r="I536" s="1"/>
    </row>
    <row r="537" spans="1:9">
      <c r="A537" s="3">
        <f ca="1">IFERROR(__xludf.DUMMYFUNCTION("""COMPUTED_VALUE"""),29994.6666666666)</f>
        <v>29994.666666666599</v>
      </c>
      <c r="B537" s="1">
        <f ca="1">IFERROR(__xludf.DUMMYFUNCTION("""COMPUTED_VALUE"""),2.37)</f>
        <v>2.37</v>
      </c>
      <c r="C537" s="1">
        <f ca="1">IFERROR(__xludf.DUMMYFUNCTION("""COMPUTED_VALUE"""),2.41)</f>
        <v>2.41</v>
      </c>
      <c r="D537" s="1">
        <f ca="1">IFERROR(__xludf.DUMMYFUNCTION("""COMPUTED_VALUE"""),2.27)</f>
        <v>2.27</v>
      </c>
      <c r="E537" s="1">
        <f ca="1">IFERROR(__xludf.DUMMYFUNCTION("""COMPUTED_VALUE"""),2.37)</f>
        <v>2.37</v>
      </c>
      <c r="F537" s="1">
        <f ca="1">IFERROR(__xludf.DUMMYFUNCTION("""COMPUTED_VALUE"""),301900)</f>
        <v>301900</v>
      </c>
      <c r="I537" s="1"/>
    </row>
    <row r="538" spans="1:9">
      <c r="A538" s="3">
        <f ca="1">IFERROR(__xludf.DUMMYFUNCTION("""COMPUTED_VALUE"""),29998.6666666666)</f>
        <v>29998.666666666599</v>
      </c>
      <c r="B538" s="1">
        <f ca="1">IFERROR(__xludf.DUMMYFUNCTION("""COMPUTED_VALUE"""),2.38)</f>
        <v>2.38</v>
      </c>
      <c r="C538" s="1">
        <f ca="1">IFERROR(__xludf.DUMMYFUNCTION("""COMPUTED_VALUE"""),2.4)</f>
        <v>2.4</v>
      </c>
      <c r="D538" s="1">
        <f ca="1">IFERROR(__xludf.DUMMYFUNCTION("""COMPUTED_VALUE"""),2.3)</f>
        <v>2.2999999999999998</v>
      </c>
      <c r="E538" s="1">
        <f ca="1">IFERROR(__xludf.DUMMYFUNCTION("""COMPUTED_VALUE"""),2.38)</f>
        <v>2.38</v>
      </c>
      <c r="F538" s="1">
        <f ca="1">IFERROR(__xludf.DUMMYFUNCTION("""COMPUTED_VALUE"""),250200)</f>
        <v>250200</v>
      </c>
      <c r="I538" s="1"/>
    </row>
    <row r="539" spans="1:9">
      <c r="A539" s="3">
        <f ca="1">IFERROR(__xludf.DUMMYFUNCTION("""COMPUTED_VALUE"""),29999.6666666666)</f>
        <v>29999.666666666599</v>
      </c>
      <c r="B539" s="1">
        <f ca="1">IFERROR(__xludf.DUMMYFUNCTION("""COMPUTED_VALUE"""),2.39)</f>
        <v>2.39</v>
      </c>
      <c r="C539" s="1">
        <f ca="1">IFERROR(__xludf.DUMMYFUNCTION("""COMPUTED_VALUE"""),2.43)</f>
        <v>2.4300000000000002</v>
      </c>
      <c r="D539" s="1">
        <f ca="1">IFERROR(__xludf.DUMMYFUNCTION("""COMPUTED_VALUE"""),2.38)</f>
        <v>2.38</v>
      </c>
      <c r="E539" s="1">
        <f ca="1">IFERROR(__xludf.DUMMYFUNCTION("""COMPUTED_VALUE"""),2.39)</f>
        <v>2.39</v>
      </c>
      <c r="F539" s="1">
        <f ca="1">IFERROR(__xludf.DUMMYFUNCTION("""COMPUTED_VALUE"""),245000)</f>
        <v>245000</v>
      </c>
      <c r="I539" s="1"/>
    </row>
    <row r="540" spans="1:9">
      <c r="A540" s="3">
        <f ca="1">IFERROR(__xludf.DUMMYFUNCTION("""COMPUTED_VALUE"""),30000.6666666666)</f>
        <v>30000.666666666599</v>
      </c>
      <c r="B540" s="1">
        <f ca="1">IFERROR(__xludf.DUMMYFUNCTION("""COMPUTED_VALUE"""),2.43)</f>
        <v>2.4300000000000002</v>
      </c>
      <c r="C540" s="1">
        <f ca="1">IFERROR(__xludf.DUMMYFUNCTION("""COMPUTED_VALUE"""),2.43)</f>
        <v>2.4300000000000002</v>
      </c>
      <c r="D540" s="1">
        <f ca="1">IFERROR(__xludf.DUMMYFUNCTION("""COMPUTED_VALUE"""),2.4)</f>
        <v>2.4</v>
      </c>
      <c r="E540" s="1">
        <f ca="1">IFERROR(__xludf.DUMMYFUNCTION("""COMPUTED_VALUE"""),2.43)</f>
        <v>2.4300000000000002</v>
      </c>
      <c r="F540" s="1">
        <f ca="1">IFERROR(__xludf.DUMMYFUNCTION("""COMPUTED_VALUE"""),217900)</f>
        <v>217900</v>
      </c>
      <c r="I540" s="1"/>
    </row>
    <row r="541" spans="1:9">
      <c r="A541" s="3">
        <f ca="1">IFERROR(__xludf.DUMMYFUNCTION("""COMPUTED_VALUE"""),30001.6666666666)</f>
        <v>30001.666666666599</v>
      </c>
      <c r="B541" s="1">
        <f ca="1">IFERROR(__xludf.DUMMYFUNCTION("""COMPUTED_VALUE"""),2.4)</f>
        <v>2.4</v>
      </c>
      <c r="C541" s="1">
        <f ca="1">IFERROR(__xludf.DUMMYFUNCTION("""COMPUTED_VALUE"""),2.43)</f>
        <v>2.4300000000000002</v>
      </c>
      <c r="D541" s="1">
        <f ca="1">IFERROR(__xludf.DUMMYFUNCTION("""COMPUTED_VALUE"""),2.37)</f>
        <v>2.37</v>
      </c>
      <c r="E541" s="1">
        <f ca="1">IFERROR(__xludf.DUMMYFUNCTION("""COMPUTED_VALUE"""),2.4)</f>
        <v>2.4</v>
      </c>
      <c r="F541" s="1">
        <f ca="1">IFERROR(__xludf.DUMMYFUNCTION("""COMPUTED_VALUE"""),186400)</f>
        <v>186400</v>
      </c>
      <c r="I541" s="1"/>
    </row>
    <row r="542" spans="1:9">
      <c r="A542" s="3">
        <f ca="1">IFERROR(__xludf.DUMMYFUNCTION("""COMPUTED_VALUE"""),30004.6666666666)</f>
        <v>30004.666666666599</v>
      </c>
      <c r="B542" s="1">
        <f ca="1">IFERROR(__xludf.DUMMYFUNCTION("""COMPUTED_VALUE"""),2.34)</f>
        <v>2.34</v>
      </c>
      <c r="C542" s="1">
        <f ca="1">IFERROR(__xludf.DUMMYFUNCTION("""COMPUTED_VALUE"""),2.42)</f>
        <v>2.42</v>
      </c>
      <c r="D542" s="1">
        <f ca="1">IFERROR(__xludf.DUMMYFUNCTION("""COMPUTED_VALUE"""),2.34)</f>
        <v>2.34</v>
      </c>
      <c r="E542" s="1">
        <f ca="1">IFERROR(__xludf.DUMMYFUNCTION("""COMPUTED_VALUE"""),2.34)</f>
        <v>2.34</v>
      </c>
      <c r="F542" s="1">
        <f ca="1">IFERROR(__xludf.DUMMYFUNCTION("""COMPUTED_VALUE"""),340100)</f>
        <v>340100</v>
      </c>
      <c r="I542" s="1"/>
    </row>
    <row r="543" spans="1:9">
      <c r="A543" s="3">
        <f ca="1">IFERROR(__xludf.DUMMYFUNCTION("""COMPUTED_VALUE"""),30005.6666666666)</f>
        <v>30005.666666666599</v>
      </c>
      <c r="B543" s="1">
        <f ca="1">IFERROR(__xludf.DUMMYFUNCTION("""COMPUTED_VALUE"""),2.34)</f>
        <v>2.34</v>
      </c>
      <c r="C543" s="1">
        <f ca="1">IFERROR(__xludf.DUMMYFUNCTION("""COMPUTED_VALUE"""),2.38)</f>
        <v>2.38</v>
      </c>
      <c r="D543" s="1">
        <f ca="1">IFERROR(__xludf.DUMMYFUNCTION("""COMPUTED_VALUE"""),2.34)</f>
        <v>2.34</v>
      </c>
      <c r="E543" s="1">
        <f ca="1">IFERROR(__xludf.DUMMYFUNCTION("""COMPUTED_VALUE"""),2.34)</f>
        <v>2.34</v>
      </c>
      <c r="F543" s="1">
        <f ca="1">IFERROR(__xludf.DUMMYFUNCTION("""COMPUTED_VALUE"""),185500)</f>
        <v>185500</v>
      </c>
      <c r="I543" s="1"/>
    </row>
    <row r="544" spans="1:9">
      <c r="A544" s="3">
        <f ca="1">IFERROR(__xludf.DUMMYFUNCTION("""COMPUTED_VALUE"""),30006.6666666666)</f>
        <v>30006.666666666599</v>
      </c>
      <c r="B544" s="1">
        <f ca="1">IFERROR(__xludf.DUMMYFUNCTION("""COMPUTED_VALUE"""),2.35)</f>
        <v>2.35</v>
      </c>
      <c r="C544" s="1">
        <f ca="1">IFERROR(__xludf.DUMMYFUNCTION("""COMPUTED_VALUE"""),2.35)</f>
        <v>2.35</v>
      </c>
      <c r="D544" s="1">
        <f ca="1">IFERROR(__xludf.DUMMYFUNCTION("""COMPUTED_VALUE"""),2.3)</f>
        <v>2.2999999999999998</v>
      </c>
      <c r="E544" s="1">
        <f ca="1">IFERROR(__xludf.DUMMYFUNCTION("""COMPUTED_VALUE"""),2.35)</f>
        <v>2.35</v>
      </c>
      <c r="F544" s="1">
        <f ca="1">IFERROR(__xludf.DUMMYFUNCTION("""COMPUTED_VALUE"""),163300)</f>
        <v>163300</v>
      </c>
      <c r="I544" s="1"/>
    </row>
    <row r="545" spans="1:9">
      <c r="A545" s="3">
        <f ca="1">IFERROR(__xludf.DUMMYFUNCTION("""COMPUTED_VALUE"""),30007.6666666666)</f>
        <v>30007.666666666599</v>
      </c>
      <c r="B545" s="1">
        <f ca="1">IFERROR(__xludf.DUMMYFUNCTION("""COMPUTED_VALUE"""),2.34)</f>
        <v>2.34</v>
      </c>
      <c r="C545" s="1">
        <f ca="1">IFERROR(__xludf.DUMMYFUNCTION("""COMPUTED_VALUE"""),2.38)</f>
        <v>2.38</v>
      </c>
      <c r="D545" s="1">
        <f ca="1">IFERROR(__xludf.DUMMYFUNCTION("""COMPUTED_VALUE"""),2.34)</f>
        <v>2.34</v>
      </c>
      <c r="E545" s="1">
        <f ca="1">IFERROR(__xludf.DUMMYFUNCTION("""COMPUTED_VALUE"""),2.34)</f>
        <v>2.34</v>
      </c>
      <c r="F545" s="1">
        <f ca="1">IFERROR(__xludf.DUMMYFUNCTION("""COMPUTED_VALUE"""),173500)</f>
        <v>173500</v>
      </c>
      <c r="I545" s="1"/>
    </row>
    <row r="546" spans="1:9">
      <c r="A546" s="3">
        <f ca="1">IFERROR(__xludf.DUMMYFUNCTION("""COMPUTED_VALUE"""),30008.6666666666)</f>
        <v>30008.666666666599</v>
      </c>
      <c r="B546" s="1">
        <f ca="1">IFERROR(__xludf.DUMMYFUNCTION("""COMPUTED_VALUE"""),2.31)</f>
        <v>2.31</v>
      </c>
      <c r="C546" s="1">
        <f ca="1">IFERROR(__xludf.DUMMYFUNCTION("""COMPUTED_VALUE"""),2.33)</f>
        <v>2.33</v>
      </c>
      <c r="D546" s="1">
        <f ca="1">IFERROR(__xludf.DUMMYFUNCTION("""COMPUTED_VALUE"""),2.27)</f>
        <v>2.27</v>
      </c>
      <c r="E546" s="1">
        <f ca="1">IFERROR(__xludf.DUMMYFUNCTION("""COMPUTED_VALUE"""),2.31)</f>
        <v>2.31</v>
      </c>
      <c r="F546" s="1">
        <f ca="1">IFERROR(__xludf.DUMMYFUNCTION("""COMPUTED_VALUE"""),118500)</f>
        <v>118500</v>
      </c>
      <c r="I546" s="1"/>
    </row>
    <row r="547" spans="1:9">
      <c r="A547" s="3">
        <f ca="1">IFERROR(__xludf.DUMMYFUNCTION("""COMPUTED_VALUE"""),30011.6666666666)</f>
        <v>30011.666666666599</v>
      </c>
      <c r="B547" s="1">
        <f ca="1">IFERROR(__xludf.DUMMYFUNCTION("""COMPUTED_VALUE"""),2.34)</f>
        <v>2.34</v>
      </c>
      <c r="C547" s="1">
        <f ca="1">IFERROR(__xludf.DUMMYFUNCTION("""COMPUTED_VALUE"""),2.35)</f>
        <v>2.35</v>
      </c>
      <c r="D547" s="1">
        <f ca="1">IFERROR(__xludf.DUMMYFUNCTION("""COMPUTED_VALUE"""),2.31)</f>
        <v>2.31</v>
      </c>
      <c r="E547" s="1">
        <f ca="1">IFERROR(__xludf.DUMMYFUNCTION("""COMPUTED_VALUE"""),2.34)</f>
        <v>2.34</v>
      </c>
      <c r="F547" s="1">
        <f ca="1">IFERROR(__xludf.DUMMYFUNCTION("""COMPUTED_VALUE"""),161000)</f>
        <v>161000</v>
      </c>
      <c r="I547" s="1"/>
    </row>
    <row r="548" spans="1:9">
      <c r="A548" s="3">
        <f ca="1">IFERROR(__xludf.DUMMYFUNCTION("""COMPUTED_VALUE"""),30012.6666666666)</f>
        <v>30012.666666666599</v>
      </c>
      <c r="B548" s="1">
        <f ca="1">IFERROR(__xludf.DUMMYFUNCTION("""COMPUTED_VALUE"""),2.34)</f>
        <v>2.34</v>
      </c>
      <c r="C548" s="1">
        <f ca="1">IFERROR(__xludf.DUMMYFUNCTION("""COMPUTED_VALUE"""),2.37)</f>
        <v>2.37</v>
      </c>
      <c r="D548" s="1">
        <f ca="1">IFERROR(__xludf.DUMMYFUNCTION("""COMPUTED_VALUE"""),2.34)</f>
        <v>2.34</v>
      </c>
      <c r="E548" s="1">
        <f ca="1">IFERROR(__xludf.DUMMYFUNCTION("""COMPUTED_VALUE"""),2.34)</f>
        <v>2.34</v>
      </c>
      <c r="F548" s="1">
        <f ca="1">IFERROR(__xludf.DUMMYFUNCTION("""COMPUTED_VALUE"""),133600)</f>
        <v>133600</v>
      </c>
      <c r="I548" s="1"/>
    </row>
    <row r="549" spans="1:9">
      <c r="A549" s="3">
        <f ca="1">IFERROR(__xludf.DUMMYFUNCTION("""COMPUTED_VALUE"""),30013.6666666666)</f>
        <v>30013.666666666599</v>
      </c>
      <c r="B549" s="1">
        <f ca="1">IFERROR(__xludf.DUMMYFUNCTION("""COMPUTED_VALUE"""),2.31)</f>
        <v>2.31</v>
      </c>
      <c r="C549" s="1">
        <f ca="1">IFERROR(__xludf.DUMMYFUNCTION("""COMPUTED_VALUE"""),2.31)</f>
        <v>2.31</v>
      </c>
      <c r="D549" s="1">
        <f ca="1">IFERROR(__xludf.DUMMYFUNCTION("""COMPUTED_VALUE"""),2.29)</f>
        <v>2.29</v>
      </c>
      <c r="E549" s="1">
        <f ca="1">IFERROR(__xludf.DUMMYFUNCTION("""COMPUTED_VALUE"""),2.31)</f>
        <v>2.31</v>
      </c>
      <c r="F549" s="1">
        <f ca="1">IFERROR(__xludf.DUMMYFUNCTION("""COMPUTED_VALUE"""),253600)</f>
        <v>253600</v>
      </c>
      <c r="I549" s="1"/>
    </row>
    <row r="550" spans="1:9">
      <c r="A550" s="3">
        <f ca="1">IFERROR(__xludf.DUMMYFUNCTION("""COMPUTED_VALUE"""),30014.6666666666)</f>
        <v>30014.666666666599</v>
      </c>
      <c r="B550" s="1">
        <f ca="1">IFERROR(__xludf.DUMMYFUNCTION("""COMPUTED_VALUE"""),2.22)</f>
        <v>2.2200000000000002</v>
      </c>
      <c r="C550" s="1">
        <f ca="1">IFERROR(__xludf.DUMMYFUNCTION("""COMPUTED_VALUE"""),2.3)</f>
        <v>2.2999999999999998</v>
      </c>
      <c r="D550" s="1">
        <f ca="1">IFERROR(__xludf.DUMMYFUNCTION("""COMPUTED_VALUE"""),2.21)</f>
        <v>2.21</v>
      </c>
      <c r="E550" s="1">
        <f ca="1">IFERROR(__xludf.DUMMYFUNCTION("""COMPUTED_VALUE"""),2.22)</f>
        <v>2.2200000000000002</v>
      </c>
      <c r="F550" s="1">
        <f ca="1">IFERROR(__xludf.DUMMYFUNCTION("""COMPUTED_VALUE"""),438200)</f>
        <v>438200</v>
      </c>
      <c r="I550" s="1"/>
    </row>
    <row r="551" spans="1:9">
      <c r="A551" s="3">
        <f ca="1">IFERROR(__xludf.DUMMYFUNCTION("""COMPUTED_VALUE"""),30015.6666666666)</f>
        <v>30015.666666666599</v>
      </c>
      <c r="B551" s="1">
        <f ca="1">IFERROR(__xludf.DUMMYFUNCTION("""COMPUTED_VALUE"""),2.12)</f>
        <v>2.12</v>
      </c>
      <c r="C551" s="1">
        <f ca="1">IFERROR(__xludf.DUMMYFUNCTION("""COMPUTED_VALUE"""),2.22)</f>
        <v>2.2200000000000002</v>
      </c>
      <c r="D551" s="1">
        <f ca="1">IFERROR(__xludf.DUMMYFUNCTION("""COMPUTED_VALUE"""),2.12)</f>
        <v>2.12</v>
      </c>
      <c r="E551" s="1">
        <f ca="1">IFERROR(__xludf.DUMMYFUNCTION("""COMPUTED_VALUE"""),2.12)</f>
        <v>2.12</v>
      </c>
      <c r="F551" s="1">
        <f ca="1">IFERROR(__xludf.DUMMYFUNCTION("""COMPUTED_VALUE"""),529300)</f>
        <v>529300</v>
      </c>
      <c r="I551" s="1"/>
    </row>
    <row r="552" spans="1:9">
      <c r="A552" s="3">
        <f ca="1">IFERROR(__xludf.DUMMYFUNCTION("""COMPUTED_VALUE"""),30018.6666666666)</f>
        <v>30018.666666666599</v>
      </c>
      <c r="B552" s="1">
        <f ca="1">IFERROR(__xludf.DUMMYFUNCTION("""COMPUTED_VALUE"""),2.03)</f>
        <v>2.0299999999999998</v>
      </c>
      <c r="C552" s="1">
        <f ca="1">IFERROR(__xludf.DUMMYFUNCTION("""COMPUTED_VALUE"""),2.19)</f>
        <v>2.19</v>
      </c>
      <c r="D552" s="1">
        <f ca="1">IFERROR(__xludf.DUMMYFUNCTION("""COMPUTED_VALUE"""),2.03)</f>
        <v>2.0299999999999998</v>
      </c>
      <c r="E552" s="1">
        <f ca="1">IFERROR(__xludf.DUMMYFUNCTION("""COMPUTED_VALUE"""),2.03)</f>
        <v>2.0299999999999998</v>
      </c>
      <c r="F552" s="1">
        <f ca="1">IFERROR(__xludf.DUMMYFUNCTION("""COMPUTED_VALUE"""),475700)</f>
        <v>475700</v>
      </c>
      <c r="I552" s="1"/>
    </row>
    <row r="553" spans="1:9">
      <c r="A553" s="3">
        <f ca="1">IFERROR(__xludf.DUMMYFUNCTION("""COMPUTED_VALUE"""),30019.6666666666)</f>
        <v>30019.666666666599</v>
      </c>
      <c r="B553" s="1">
        <f ca="1">IFERROR(__xludf.DUMMYFUNCTION("""COMPUTED_VALUE"""),2.16)</f>
        <v>2.16</v>
      </c>
      <c r="C553" s="1">
        <f ca="1">IFERROR(__xludf.DUMMYFUNCTION("""COMPUTED_VALUE"""),2.19)</f>
        <v>2.19</v>
      </c>
      <c r="D553" s="1">
        <f ca="1">IFERROR(__xludf.DUMMYFUNCTION("""COMPUTED_VALUE"""),2.05)</f>
        <v>2.0499999999999998</v>
      </c>
      <c r="E553" s="1">
        <f ca="1">IFERROR(__xludf.DUMMYFUNCTION("""COMPUTED_VALUE"""),2.16)</f>
        <v>2.16</v>
      </c>
      <c r="F553" s="1">
        <f ca="1">IFERROR(__xludf.DUMMYFUNCTION("""COMPUTED_VALUE"""),445100)</f>
        <v>445100</v>
      </c>
      <c r="I553" s="1"/>
    </row>
    <row r="554" spans="1:9">
      <c r="A554" s="3">
        <f ca="1">IFERROR(__xludf.DUMMYFUNCTION("""COMPUTED_VALUE"""),30020.6666666666)</f>
        <v>30020.666666666599</v>
      </c>
      <c r="B554" s="1">
        <f ca="1">IFERROR(__xludf.DUMMYFUNCTION("""COMPUTED_VALUE"""),2.11)</f>
        <v>2.11</v>
      </c>
      <c r="C554" s="1">
        <f ca="1">IFERROR(__xludf.DUMMYFUNCTION("""COMPUTED_VALUE"""),2.18)</f>
        <v>2.1800000000000002</v>
      </c>
      <c r="D554" s="1">
        <f ca="1">IFERROR(__xludf.DUMMYFUNCTION("""COMPUTED_VALUE"""),2.11)</f>
        <v>2.11</v>
      </c>
      <c r="E554" s="1">
        <f ca="1">IFERROR(__xludf.DUMMYFUNCTION("""COMPUTED_VALUE"""),2.11)</f>
        <v>2.11</v>
      </c>
      <c r="F554" s="1">
        <f ca="1">IFERROR(__xludf.DUMMYFUNCTION("""COMPUTED_VALUE"""),247000)</f>
        <v>247000</v>
      </c>
      <c r="I554" s="1"/>
    </row>
    <row r="555" spans="1:9">
      <c r="A555" s="3">
        <f ca="1">IFERROR(__xludf.DUMMYFUNCTION("""COMPUTED_VALUE"""),30021.6666666666)</f>
        <v>30021.666666666599</v>
      </c>
      <c r="B555" s="1">
        <f ca="1">IFERROR(__xludf.DUMMYFUNCTION("""COMPUTED_VALUE"""),2.1)</f>
        <v>2.1</v>
      </c>
      <c r="C555" s="1">
        <f ca="1">IFERROR(__xludf.DUMMYFUNCTION("""COMPUTED_VALUE"""),2.16)</f>
        <v>2.16</v>
      </c>
      <c r="D555" s="1">
        <f ca="1">IFERROR(__xludf.DUMMYFUNCTION("""COMPUTED_VALUE"""),2.09)</f>
        <v>2.09</v>
      </c>
      <c r="E555" s="1">
        <f ca="1">IFERROR(__xludf.DUMMYFUNCTION("""COMPUTED_VALUE"""),2.1)</f>
        <v>2.1</v>
      </c>
      <c r="F555" s="1">
        <f ca="1">IFERROR(__xludf.DUMMYFUNCTION("""COMPUTED_VALUE"""),392600)</f>
        <v>392600</v>
      </c>
      <c r="I555" s="1"/>
    </row>
    <row r="556" spans="1:9">
      <c r="A556" s="3">
        <f ca="1">IFERROR(__xludf.DUMMYFUNCTION("""COMPUTED_VALUE"""),30022.6666666666)</f>
        <v>30022.666666666599</v>
      </c>
      <c r="B556" s="1">
        <f ca="1">IFERROR(__xludf.DUMMYFUNCTION("""COMPUTED_VALUE"""),2.11)</f>
        <v>2.11</v>
      </c>
      <c r="C556" s="1">
        <f ca="1">IFERROR(__xludf.DUMMYFUNCTION("""COMPUTED_VALUE"""),2.11)</f>
        <v>2.11</v>
      </c>
      <c r="D556" s="1">
        <f ca="1">IFERROR(__xludf.DUMMYFUNCTION("""COMPUTED_VALUE"""),2.06)</f>
        <v>2.06</v>
      </c>
      <c r="E556" s="1">
        <f ca="1">IFERROR(__xludf.DUMMYFUNCTION("""COMPUTED_VALUE"""),2.11)</f>
        <v>2.11</v>
      </c>
      <c r="F556" s="1">
        <f ca="1">IFERROR(__xludf.DUMMYFUNCTION("""COMPUTED_VALUE"""),164100)</f>
        <v>164100</v>
      </c>
      <c r="I556" s="1"/>
    </row>
    <row r="557" spans="1:9">
      <c r="A557" s="3">
        <f ca="1">IFERROR(__xludf.DUMMYFUNCTION("""COMPUTED_VALUE"""),30025.6666666666)</f>
        <v>30025.666666666599</v>
      </c>
      <c r="B557" s="1">
        <f ca="1">IFERROR(__xludf.DUMMYFUNCTION("""COMPUTED_VALUE"""),2.16)</f>
        <v>2.16</v>
      </c>
      <c r="C557" s="1">
        <f ca="1">IFERROR(__xludf.DUMMYFUNCTION("""COMPUTED_VALUE"""),2.16)</f>
        <v>2.16</v>
      </c>
      <c r="D557" s="1">
        <f ca="1">IFERROR(__xludf.DUMMYFUNCTION("""COMPUTED_VALUE"""),2.08)</f>
        <v>2.08</v>
      </c>
      <c r="E557" s="1">
        <f ca="1">IFERROR(__xludf.DUMMYFUNCTION("""COMPUTED_VALUE"""),2.16)</f>
        <v>2.16</v>
      </c>
      <c r="F557" s="1">
        <f ca="1">IFERROR(__xludf.DUMMYFUNCTION("""COMPUTED_VALUE"""),125300)</f>
        <v>125300</v>
      </c>
      <c r="I557" s="1"/>
    </row>
    <row r="558" spans="1:9">
      <c r="A558" s="3">
        <f ca="1">IFERROR(__xludf.DUMMYFUNCTION("""COMPUTED_VALUE"""),30026.6666666666)</f>
        <v>30026.666666666599</v>
      </c>
      <c r="B558" s="1">
        <f ca="1">IFERROR(__xludf.DUMMYFUNCTION("""COMPUTED_VALUE"""),2.13)</f>
        <v>2.13</v>
      </c>
      <c r="C558" s="1">
        <f ca="1">IFERROR(__xludf.DUMMYFUNCTION("""COMPUTED_VALUE"""),2.17)</f>
        <v>2.17</v>
      </c>
      <c r="D558" s="1">
        <f ca="1">IFERROR(__xludf.DUMMYFUNCTION("""COMPUTED_VALUE"""),2.12)</f>
        <v>2.12</v>
      </c>
      <c r="E558" s="1">
        <f ca="1">IFERROR(__xludf.DUMMYFUNCTION("""COMPUTED_VALUE"""),2.13)</f>
        <v>2.13</v>
      </c>
      <c r="F558" s="1">
        <f ca="1">IFERROR(__xludf.DUMMYFUNCTION("""COMPUTED_VALUE"""),203900)</f>
        <v>203900</v>
      </c>
      <c r="I558" s="1"/>
    </row>
    <row r="559" spans="1:9">
      <c r="A559" s="3">
        <f ca="1">IFERROR(__xludf.DUMMYFUNCTION("""COMPUTED_VALUE"""),30027.6666666666)</f>
        <v>30027.666666666599</v>
      </c>
      <c r="B559" s="1">
        <f ca="1">IFERROR(__xludf.DUMMYFUNCTION("""COMPUTED_VALUE"""),2.14)</f>
        <v>2.14</v>
      </c>
      <c r="C559" s="1">
        <f ca="1">IFERROR(__xludf.DUMMYFUNCTION("""COMPUTED_VALUE"""),2.16)</f>
        <v>2.16</v>
      </c>
      <c r="D559" s="1">
        <f ca="1">IFERROR(__xludf.DUMMYFUNCTION("""COMPUTED_VALUE"""),2.11)</f>
        <v>2.11</v>
      </c>
      <c r="E559" s="1">
        <f ca="1">IFERROR(__xludf.DUMMYFUNCTION("""COMPUTED_VALUE"""),2.14)</f>
        <v>2.14</v>
      </c>
      <c r="F559" s="1">
        <f ca="1">IFERROR(__xludf.DUMMYFUNCTION("""COMPUTED_VALUE"""),186000)</f>
        <v>186000</v>
      </c>
      <c r="I559" s="1"/>
    </row>
    <row r="560" spans="1:9">
      <c r="A560" s="3">
        <f ca="1">IFERROR(__xludf.DUMMYFUNCTION("""COMPUTED_VALUE"""),30028.6666666666)</f>
        <v>30028.666666666599</v>
      </c>
      <c r="B560" s="1">
        <f ca="1">IFERROR(__xludf.DUMMYFUNCTION("""COMPUTED_VALUE"""),2.21)</f>
        <v>2.21</v>
      </c>
      <c r="C560" s="1">
        <f ca="1">IFERROR(__xludf.DUMMYFUNCTION("""COMPUTED_VALUE"""),2.21)</f>
        <v>2.21</v>
      </c>
      <c r="D560" s="1">
        <f ca="1">IFERROR(__xludf.DUMMYFUNCTION("""COMPUTED_VALUE"""),2.16)</f>
        <v>2.16</v>
      </c>
      <c r="E560" s="1">
        <f ca="1">IFERROR(__xludf.DUMMYFUNCTION("""COMPUTED_VALUE"""),2.21)</f>
        <v>2.21</v>
      </c>
      <c r="F560" s="1">
        <f ca="1">IFERROR(__xludf.DUMMYFUNCTION("""COMPUTED_VALUE"""),192100)</f>
        <v>192100</v>
      </c>
      <c r="I560" s="1"/>
    </row>
    <row r="561" spans="1:9">
      <c r="A561" s="3">
        <f ca="1">IFERROR(__xludf.DUMMYFUNCTION("""COMPUTED_VALUE"""),30029.6666666666)</f>
        <v>30029.666666666599</v>
      </c>
      <c r="B561" s="1">
        <f ca="1">IFERROR(__xludf.DUMMYFUNCTION("""COMPUTED_VALUE"""),2.22)</f>
        <v>2.2200000000000002</v>
      </c>
      <c r="C561" s="1">
        <f ca="1">IFERROR(__xludf.DUMMYFUNCTION("""COMPUTED_VALUE"""),2.23)</f>
        <v>2.23</v>
      </c>
      <c r="D561" s="1">
        <f ca="1">IFERROR(__xludf.DUMMYFUNCTION("""COMPUTED_VALUE"""),2.2)</f>
        <v>2.2000000000000002</v>
      </c>
      <c r="E561" s="1">
        <f ca="1">IFERROR(__xludf.DUMMYFUNCTION("""COMPUTED_VALUE"""),2.22)</f>
        <v>2.2200000000000002</v>
      </c>
      <c r="F561" s="1">
        <f ca="1">IFERROR(__xludf.DUMMYFUNCTION("""COMPUTED_VALUE"""),113400)</f>
        <v>113400</v>
      </c>
      <c r="I561" s="1"/>
    </row>
    <row r="562" spans="1:9">
      <c r="A562" s="3">
        <f ca="1">IFERROR(__xludf.DUMMYFUNCTION("""COMPUTED_VALUE"""),30032.6666666666)</f>
        <v>30032.666666666599</v>
      </c>
      <c r="B562" s="1">
        <f ca="1">IFERROR(__xludf.DUMMYFUNCTION("""COMPUTED_VALUE"""),2.3)</f>
        <v>2.2999999999999998</v>
      </c>
      <c r="C562" s="1">
        <f ca="1">IFERROR(__xludf.DUMMYFUNCTION("""COMPUTED_VALUE"""),2.3)</f>
        <v>2.2999999999999998</v>
      </c>
      <c r="D562" s="1">
        <f ca="1">IFERROR(__xludf.DUMMYFUNCTION("""COMPUTED_VALUE"""),2.23)</f>
        <v>2.23</v>
      </c>
      <c r="E562" s="1">
        <f ca="1">IFERROR(__xludf.DUMMYFUNCTION("""COMPUTED_VALUE"""),2.3)</f>
        <v>2.2999999999999998</v>
      </c>
      <c r="F562" s="1">
        <f ca="1">IFERROR(__xludf.DUMMYFUNCTION("""COMPUTED_VALUE"""),192000)</f>
        <v>192000</v>
      </c>
      <c r="I562" s="1"/>
    </row>
    <row r="563" spans="1:9">
      <c r="A563" s="3">
        <f ca="1">IFERROR(__xludf.DUMMYFUNCTION("""COMPUTED_VALUE"""),30033.6666666666)</f>
        <v>30033.666666666599</v>
      </c>
      <c r="B563" s="1">
        <f ca="1">IFERROR(__xludf.DUMMYFUNCTION("""COMPUTED_VALUE"""),2.28)</f>
        <v>2.2799999999999998</v>
      </c>
      <c r="C563" s="1">
        <f ca="1">IFERROR(__xludf.DUMMYFUNCTION("""COMPUTED_VALUE"""),2.3)</f>
        <v>2.2999999999999998</v>
      </c>
      <c r="D563" s="1">
        <f ca="1">IFERROR(__xludf.DUMMYFUNCTION("""COMPUTED_VALUE"""),2.25)</f>
        <v>2.25</v>
      </c>
      <c r="E563" s="1">
        <f ca="1">IFERROR(__xludf.DUMMYFUNCTION("""COMPUTED_VALUE"""),2.28)</f>
        <v>2.2799999999999998</v>
      </c>
      <c r="F563" s="1">
        <f ca="1">IFERROR(__xludf.DUMMYFUNCTION("""COMPUTED_VALUE"""),153100)</f>
        <v>153100</v>
      </c>
      <c r="I563" s="1"/>
    </row>
    <row r="564" spans="1:9">
      <c r="A564" s="3">
        <f ca="1">IFERROR(__xludf.DUMMYFUNCTION("""COMPUTED_VALUE"""),30034.6666666666)</f>
        <v>30034.666666666599</v>
      </c>
      <c r="B564" s="1">
        <f ca="1">IFERROR(__xludf.DUMMYFUNCTION("""COMPUTED_VALUE"""),2.29)</f>
        <v>2.29</v>
      </c>
      <c r="C564" s="1">
        <f ca="1">IFERROR(__xludf.DUMMYFUNCTION("""COMPUTED_VALUE"""),2.31)</f>
        <v>2.31</v>
      </c>
      <c r="D564" s="1">
        <f ca="1">IFERROR(__xludf.DUMMYFUNCTION("""COMPUTED_VALUE"""),2.27)</f>
        <v>2.27</v>
      </c>
      <c r="E564" s="1">
        <f ca="1">IFERROR(__xludf.DUMMYFUNCTION("""COMPUTED_VALUE"""),2.29)</f>
        <v>2.29</v>
      </c>
      <c r="F564" s="1">
        <f ca="1">IFERROR(__xludf.DUMMYFUNCTION("""COMPUTED_VALUE"""),173500)</f>
        <v>173500</v>
      </c>
      <c r="I564" s="1"/>
    </row>
    <row r="565" spans="1:9">
      <c r="A565" s="3">
        <f ca="1">IFERROR(__xludf.DUMMYFUNCTION("""COMPUTED_VALUE"""),30035.6666666666)</f>
        <v>30035.666666666599</v>
      </c>
      <c r="B565" s="1">
        <f ca="1">IFERROR(__xludf.DUMMYFUNCTION("""COMPUTED_VALUE"""),2.3)</f>
        <v>2.2999999999999998</v>
      </c>
      <c r="C565" s="1">
        <f ca="1">IFERROR(__xludf.DUMMYFUNCTION("""COMPUTED_VALUE"""),2.32)</f>
        <v>2.3199999999999998</v>
      </c>
      <c r="D565" s="1">
        <f ca="1">IFERROR(__xludf.DUMMYFUNCTION("""COMPUTED_VALUE"""),2.29)</f>
        <v>2.29</v>
      </c>
      <c r="E565" s="1">
        <f ca="1">IFERROR(__xludf.DUMMYFUNCTION("""COMPUTED_VALUE"""),2.3)</f>
        <v>2.2999999999999998</v>
      </c>
      <c r="F565" s="1">
        <f ca="1">IFERROR(__xludf.DUMMYFUNCTION("""COMPUTED_VALUE"""),102200)</f>
        <v>102200</v>
      </c>
      <c r="I565" s="1"/>
    </row>
    <row r="566" spans="1:9">
      <c r="A566" s="3">
        <f ca="1">IFERROR(__xludf.DUMMYFUNCTION("""COMPUTED_VALUE"""),30036.6666666666)</f>
        <v>30036.666666666599</v>
      </c>
      <c r="B566" s="1">
        <f ca="1">IFERROR(__xludf.DUMMYFUNCTION("""COMPUTED_VALUE"""),2.29)</f>
        <v>2.29</v>
      </c>
      <c r="C566" s="1">
        <f ca="1">IFERROR(__xludf.DUMMYFUNCTION("""COMPUTED_VALUE"""),2.3)</f>
        <v>2.2999999999999998</v>
      </c>
      <c r="D566" s="1">
        <f ca="1">IFERROR(__xludf.DUMMYFUNCTION("""COMPUTED_VALUE"""),2.27)</f>
        <v>2.27</v>
      </c>
      <c r="E566" s="1">
        <f ca="1">IFERROR(__xludf.DUMMYFUNCTION("""COMPUTED_VALUE"""),2.29)</f>
        <v>2.29</v>
      </c>
      <c r="F566" s="1">
        <f ca="1">IFERROR(__xludf.DUMMYFUNCTION("""COMPUTED_VALUE"""),98300)</f>
        <v>98300</v>
      </c>
      <c r="I566" s="1"/>
    </row>
    <row r="567" spans="1:9">
      <c r="A567" s="3">
        <f ca="1">IFERROR(__xludf.DUMMYFUNCTION("""COMPUTED_VALUE"""),30039.6666666666)</f>
        <v>30039.666666666599</v>
      </c>
      <c r="B567" s="1">
        <f ca="1">IFERROR(__xludf.DUMMYFUNCTION("""COMPUTED_VALUE"""),2.27)</f>
        <v>2.27</v>
      </c>
      <c r="C567" s="1">
        <f ca="1">IFERROR(__xludf.DUMMYFUNCTION("""COMPUTED_VALUE"""),2.28)</f>
        <v>2.2799999999999998</v>
      </c>
      <c r="D567" s="1">
        <f ca="1">IFERROR(__xludf.DUMMYFUNCTION("""COMPUTED_VALUE"""),2.25)</f>
        <v>2.25</v>
      </c>
      <c r="E567" s="1">
        <f ca="1">IFERROR(__xludf.DUMMYFUNCTION("""COMPUTED_VALUE"""),2.27)</f>
        <v>2.27</v>
      </c>
      <c r="F567" s="1">
        <f ca="1">IFERROR(__xludf.DUMMYFUNCTION("""COMPUTED_VALUE"""),70300)</f>
        <v>70300</v>
      </c>
      <c r="I567" s="1"/>
    </row>
    <row r="568" spans="1:9">
      <c r="A568" s="3">
        <f ca="1">IFERROR(__xludf.DUMMYFUNCTION("""COMPUTED_VALUE"""),30040.6666666666)</f>
        <v>30040.666666666599</v>
      </c>
      <c r="B568" s="1">
        <f ca="1">IFERROR(__xludf.DUMMYFUNCTION("""COMPUTED_VALUE"""),2.3)</f>
        <v>2.2999999999999998</v>
      </c>
      <c r="C568" s="1">
        <f ca="1">IFERROR(__xludf.DUMMYFUNCTION("""COMPUTED_VALUE"""),2.3)</f>
        <v>2.2999999999999998</v>
      </c>
      <c r="D568" s="1">
        <f ca="1">IFERROR(__xludf.DUMMYFUNCTION("""COMPUTED_VALUE"""),2.27)</f>
        <v>2.27</v>
      </c>
      <c r="E568" s="1">
        <f ca="1">IFERROR(__xludf.DUMMYFUNCTION("""COMPUTED_VALUE"""),2.3)</f>
        <v>2.2999999999999998</v>
      </c>
      <c r="F568" s="1">
        <f ca="1">IFERROR(__xludf.DUMMYFUNCTION("""COMPUTED_VALUE"""),133900)</f>
        <v>133900</v>
      </c>
      <c r="I568" s="1"/>
    </row>
    <row r="569" spans="1:9">
      <c r="A569" s="3">
        <f ca="1">IFERROR(__xludf.DUMMYFUNCTION("""COMPUTED_VALUE"""),30041.6666666666)</f>
        <v>30041.666666666599</v>
      </c>
      <c r="B569" s="1">
        <f ca="1">IFERROR(__xludf.DUMMYFUNCTION("""COMPUTED_VALUE"""),2.31)</f>
        <v>2.31</v>
      </c>
      <c r="C569" s="1">
        <f ca="1">IFERROR(__xludf.DUMMYFUNCTION("""COMPUTED_VALUE"""),2.31)</f>
        <v>2.31</v>
      </c>
      <c r="D569" s="1">
        <f ca="1">IFERROR(__xludf.DUMMYFUNCTION("""COMPUTED_VALUE"""),2.28)</f>
        <v>2.2799999999999998</v>
      </c>
      <c r="E569" s="1">
        <f ca="1">IFERROR(__xludf.DUMMYFUNCTION("""COMPUTED_VALUE"""),2.31)</f>
        <v>2.31</v>
      </c>
      <c r="F569" s="1">
        <f ca="1">IFERROR(__xludf.DUMMYFUNCTION("""COMPUTED_VALUE"""),121500)</f>
        <v>121500</v>
      </c>
      <c r="I569" s="1"/>
    </row>
    <row r="570" spans="1:9">
      <c r="A570" s="3">
        <f ca="1">IFERROR(__xludf.DUMMYFUNCTION("""COMPUTED_VALUE"""),30042.6666666666)</f>
        <v>30042.666666666599</v>
      </c>
      <c r="B570" s="1">
        <f ca="1">IFERROR(__xludf.DUMMYFUNCTION("""COMPUTED_VALUE"""),2.34)</f>
        <v>2.34</v>
      </c>
      <c r="C570" s="1">
        <f ca="1">IFERROR(__xludf.DUMMYFUNCTION("""COMPUTED_VALUE"""),2.34)</f>
        <v>2.34</v>
      </c>
      <c r="D570" s="1">
        <f ca="1">IFERROR(__xludf.DUMMYFUNCTION("""COMPUTED_VALUE"""),2.29)</f>
        <v>2.29</v>
      </c>
      <c r="E570" s="1">
        <f ca="1">IFERROR(__xludf.DUMMYFUNCTION("""COMPUTED_VALUE"""),2.34)</f>
        <v>2.34</v>
      </c>
      <c r="F570" s="1">
        <f ca="1">IFERROR(__xludf.DUMMYFUNCTION("""COMPUTED_VALUE"""),183400)</f>
        <v>183400</v>
      </c>
      <c r="I570" s="1"/>
    </row>
    <row r="571" spans="1:9">
      <c r="A571" s="3">
        <f ca="1">IFERROR(__xludf.DUMMYFUNCTION("""COMPUTED_VALUE"""),30043.6666666666)</f>
        <v>30043.666666666599</v>
      </c>
      <c r="B571" s="1">
        <f ca="1">IFERROR(__xludf.DUMMYFUNCTION("""COMPUTED_VALUE"""),2.4)</f>
        <v>2.4</v>
      </c>
      <c r="C571" s="1">
        <f ca="1">IFERROR(__xludf.DUMMYFUNCTION("""COMPUTED_VALUE"""),2.41)</f>
        <v>2.41</v>
      </c>
      <c r="D571" s="1">
        <f ca="1">IFERROR(__xludf.DUMMYFUNCTION("""COMPUTED_VALUE"""),2.37)</f>
        <v>2.37</v>
      </c>
      <c r="E571" s="1">
        <f ca="1">IFERROR(__xludf.DUMMYFUNCTION("""COMPUTED_VALUE"""),2.4)</f>
        <v>2.4</v>
      </c>
      <c r="F571" s="1">
        <f ca="1">IFERROR(__xludf.DUMMYFUNCTION("""COMPUTED_VALUE"""),310900)</f>
        <v>310900</v>
      </c>
      <c r="I571" s="1"/>
    </row>
    <row r="572" spans="1:9">
      <c r="A572" s="3">
        <f ca="1">IFERROR(__xludf.DUMMYFUNCTION("""COMPUTED_VALUE"""),30046.6666666666)</f>
        <v>30046.666666666599</v>
      </c>
      <c r="B572" s="1">
        <f ca="1">IFERROR(__xludf.DUMMYFUNCTION("""COMPUTED_VALUE"""),2.39)</f>
        <v>2.39</v>
      </c>
      <c r="C572" s="1">
        <f ca="1">IFERROR(__xludf.DUMMYFUNCTION("""COMPUTED_VALUE"""),2.41)</f>
        <v>2.41</v>
      </c>
      <c r="D572" s="1">
        <f ca="1">IFERROR(__xludf.DUMMYFUNCTION("""COMPUTED_VALUE"""),2.38)</f>
        <v>2.38</v>
      </c>
      <c r="E572" s="1">
        <f ca="1">IFERROR(__xludf.DUMMYFUNCTION("""COMPUTED_VALUE"""),2.39)</f>
        <v>2.39</v>
      </c>
      <c r="F572" s="1">
        <f ca="1">IFERROR(__xludf.DUMMYFUNCTION("""COMPUTED_VALUE"""),221000)</f>
        <v>221000</v>
      </c>
      <c r="I572" s="1"/>
    </row>
    <row r="573" spans="1:9">
      <c r="A573" s="3">
        <f ca="1">IFERROR(__xludf.DUMMYFUNCTION("""COMPUTED_VALUE"""),30047.6666666666)</f>
        <v>30047.666666666599</v>
      </c>
      <c r="B573" s="1">
        <f ca="1">IFERROR(__xludf.DUMMYFUNCTION("""COMPUTED_VALUE"""),2.38)</f>
        <v>2.38</v>
      </c>
      <c r="C573" s="1">
        <f ca="1">IFERROR(__xludf.DUMMYFUNCTION("""COMPUTED_VALUE"""),2.39)</f>
        <v>2.39</v>
      </c>
      <c r="D573" s="1">
        <f ca="1">IFERROR(__xludf.DUMMYFUNCTION("""COMPUTED_VALUE"""),2.37)</f>
        <v>2.37</v>
      </c>
      <c r="E573" s="1">
        <f ca="1">IFERROR(__xludf.DUMMYFUNCTION("""COMPUTED_VALUE"""),2.38)</f>
        <v>2.38</v>
      </c>
      <c r="F573" s="1">
        <f ca="1">IFERROR(__xludf.DUMMYFUNCTION("""COMPUTED_VALUE"""),91500)</f>
        <v>91500</v>
      </c>
      <c r="I573" s="1"/>
    </row>
    <row r="574" spans="1:9">
      <c r="A574" s="3">
        <f ca="1">IFERROR(__xludf.DUMMYFUNCTION("""COMPUTED_VALUE"""),30048.6666666666)</f>
        <v>30048.666666666599</v>
      </c>
      <c r="B574" s="1">
        <f ca="1">IFERROR(__xludf.DUMMYFUNCTION("""COMPUTED_VALUE"""),2.38)</f>
        <v>2.38</v>
      </c>
      <c r="C574" s="1">
        <f ca="1">IFERROR(__xludf.DUMMYFUNCTION("""COMPUTED_VALUE"""),2.39)</f>
        <v>2.39</v>
      </c>
      <c r="D574" s="1">
        <f ca="1">IFERROR(__xludf.DUMMYFUNCTION("""COMPUTED_VALUE"""),2.35)</f>
        <v>2.35</v>
      </c>
      <c r="E574" s="1">
        <f ca="1">IFERROR(__xludf.DUMMYFUNCTION("""COMPUTED_VALUE"""),2.38)</f>
        <v>2.38</v>
      </c>
      <c r="F574" s="1">
        <f ca="1">IFERROR(__xludf.DUMMYFUNCTION("""COMPUTED_VALUE"""),193900)</f>
        <v>193900</v>
      </c>
      <c r="I574" s="1"/>
    </row>
    <row r="575" spans="1:9">
      <c r="A575" s="3">
        <f ca="1">IFERROR(__xludf.DUMMYFUNCTION("""COMPUTED_VALUE"""),30049.6666666666)</f>
        <v>30049.666666666599</v>
      </c>
      <c r="B575" s="1">
        <f ca="1">IFERROR(__xludf.DUMMYFUNCTION("""COMPUTED_VALUE"""),2.38)</f>
        <v>2.38</v>
      </c>
      <c r="C575" s="1">
        <f ca="1">IFERROR(__xludf.DUMMYFUNCTION("""COMPUTED_VALUE"""),2.4)</f>
        <v>2.4</v>
      </c>
      <c r="D575" s="1">
        <f ca="1">IFERROR(__xludf.DUMMYFUNCTION("""COMPUTED_VALUE"""),2.34)</f>
        <v>2.34</v>
      </c>
      <c r="E575" s="1">
        <f ca="1">IFERROR(__xludf.DUMMYFUNCTION("""COMPUTED_VALUE"""),2.38)</f>
        <v>2.38</v>
      </c>
      <c r="F575" s="1">
        <f ca="1">IFERROR(__xludf.DUMMYFUNCTION("""COMPUTED_VALUE"""),274100)</f>
        <v>274100</v>
      </c>
      <c r="I575" s="1"/>
    </row>
    <row r="576" spans="1:9">
      <c r="A576" s="3">
        <f ca="1">IFERROR(__xludf.DUMMYFUNCTION("""COMPUTED_VALUE"""),30053.6666666666)</f>
        <v>30053.666666666599</v>
      </c>
      <c r="B576" s="1">
        <f ca="1">IFERROR(__xludf.DUMMYFUNCTION("""COMPUTED_VALUE"""),2.45)</f>
        <v>2.4500000000000002</v>
      </c>
      <c r="C576" s="1">
        <f ca="1">IFERROR(__xludf.DUMMYFUNCTION("""COMPUTED_VALUE"""),2.45)</f>
        <v>2.4500000000000002</v>
      </c>
      <c r="D576" s="1">
        <f ca="1">IFERROR(__xludf.DUMMYFUNCTION("""COMPUTED_VALUE"""),2.37)</f>
        <v>2.37</v>
      </c>
      <c r="E576" s="1">
        <f ca="1">IFERROR(__xludf.DUMMYFUNCTION("""COMPUTED_VALUE"""),2.45)</f>
        <v>2.4500000000000002</v>
      </c>
      <c r="F576" s="1">
        <f ca="1">IFERROR(__xludf.DUMMYFUNCTION("""COMPUTED_VALUE"""),226800)</f>
        <v>226800</v>
      </c>
      <c r="I576" s="1"/>
    </row>
    <row r="577" spans="1:9">
      <c r="A577" s="3">
        <f ca="1">IFERROR(__xludf.DUMMYFUNCTION("""COMPUTED_VALUE"""),30054.6666666666)</f>
        <v>30054.666666666599</v>
      </c>
      <c r="B577" s="1">
        <f ca="1">IFERROR(__xludf.DUMMYFUNCTION("""COMPUTED_VALUE"""),2.41)</f>
        <v>2.41</v>
      </c>
      <c r="C577" s="1">
        <f ca="1">IFERROR(__xludf.DUMMYFUNCTION("""COMPUTED_VALUE"""),2.45)</f>
        <v>2.4500000000000002</v>
      </c>
      <c r="D577" s="1">
        <f ca="1">IFERROR(__xludf.DUMMYFUNCTION("""COMPUTED_VALUE"""),2.4)</f>
        <v>2.4</v>
      </c>
      <c r="E577" s="1">
        <f ca="1">IFERROR(__xludf.DUMMYFUNCTION("""COMPUTED_VALUE"""),2.41)</f>
        <v>2.41</v>
      </c>
      <c r="F577" s="1">
        <f ca="1">IFERROR(__xludf.DUMMYFUNCTION("""COMPUTED_VALUE"""),231900)</f>
        <v>231900</v>
      </c>
      <c r="I577" s="1"/>
    </row>
    <row r="578" spans="1:9">
      <c r="A578" s="3">
        <f ca="1">IFERROR(__xludf.DUMMYFUNCTION("""COMPUTED_VALUE"""),30055.6666666666)</f>
        <v>30055.666666666599</v>
      </c>
      <c r="B578" s="1">
        <f ca="1">IFERROR(__xludf.DUMMYFUNCTION("""COMPUTED_VALUE"""),2.38)</f>
        <v>2.38</v>
      </c>
      <c r="C578" s="1">
        <f ca="1">IFERROR(__xludf.DUMMYFUNCTION("""COMPUTED_VALUE"""),2.43)</f>
        <v>2.4300000000000002</v>
      </c>
      <c r="D578" s="1">
        <f ca="1">IFERROR(__xludf.DUMMYFUNCTION("""COMPUTED_VALUE"""),2.38)</f>
        <v>2.38</v>
      </c>
      <c r="E578" s="1">
        <f ca="1">IFERROR(__xludf.DUMMYFUNCTION("""COMPUTED_VALUE"""),2.38)</f>
        <v>2.38</v>
      </c>
      <c r="F578" s="1">
        <f ca="1">IFERROR(__xludf.DUMMYFUNCTION("""COMPUTED_VALUE"""),192000)</f>
        <v>192000</v>
      </c>
      <c r="I578" s="1"/>
    </row>
    <row r="579" spans="1:9">
      <c r="A579" s="3">
        <f ca="1">IFERROR(__xludf.DUMMYFUNCTION("""COMPUTED_VALUE"""),30056.6666666666)</f>
        <v>30056.666666666599</v>
      </c>
      <c r="B579" s="1">
        <f ca="1">IFERROR(__xludf.DUMMYFUNCTION("""COMPUTED_VALUE"""),2.38)</f>
        <v>2.38</v>
      </c>
      <c r="C579" s="1">
        <f ca="1">IFERROR(__xludf.DUMMYFUNCTION("""COMPUTED_VALUE"""),2.41)</f>
        <v>2.41</v>
      </c>
      <c r="D579" s="1">
        <f ca="1">IFERROR(__xludf.DUMMYFUNCTION("""COMPUTED_VALUE"""),2.38)</f>
        <v>2.38</v>
      </c>
      <c r="E579" s="1">
        <f ca="1">IFERROR(__xludf.DUMMYFUNCTION("""COMPUTED_VALUE"""),2.38)</f>
        <v>2.38</v>
      </c>
      <c r="F579" s="1">
        <f ca="1">IFERROR(__xludf.DUMMYFUNCTION("""COMPUTED_VALUE"""),97700)</f>
        <v>97700</v>
      </c>
      <c r="I579" s="1"/>
    </row>
    <row r="580" spans="1:9">
      <c r="A580" s="3">
        <f ca="1">IFERROR(__xludf.DUMMYFUNCTION("""COMPUTED_VALUE"""),30057.6666666666)</f>
        <v>30057.666666666599</v>
      </c>
      <c r="B580" s="1">
        <f ca="1">IFERROR(__xludf.DUMMYFUNCTION("""COMPUTED_VALUE"""),2.39)</f>
        <v>2.39</v>
      </c>
      <c r="C580" s="1">
        <f ca="1">IFERROR(__xludf.DUMMYFUNCTION("""COMPUTED_VALUE"""),2.41)</f>
        <v>2.41</v>
      </c>
      <c r="D580" s="1">
        <f ca="1">IFERROR(__xludf.DUMMYFUNCTION("""COMPUTED_VALUE"""),2.37)</f>
        <v>2.37</v>
      </c>
      <c r="E580" s="1">
        <f ca="1">IFERROR(__xludf.DUMMYFUNCTION("""COMPUTED_VALUE"""),2.39)</f>
        <v>2.39</v>
      </c>
      <c r="F580" s="1">
        <f ca="1">IFERROR(__xludf.DUMMYFUNCTION("""COMPUTED_VALUE"""),104100)</f>
        <v>104100</v>
      </c>
      <c r="I580" s="1"/>
    </row>
    <row r="581" spans="1:9">
      <c r="A581" s="3">
        <f ca="1">IFERROR(__xludf.DUMMYFUNCTION("""COMPUTED_VALUE"""),30060.6666666666)</f>
        <v>30060.666666666599</v>
      </c>
      <c r="B581" s="1">
        <f ca="1">IFERROR(__xludf.DUMMYFUNCTION("""COMPUTED_VALUE"""),2.4)</f>
        <v>2.4</v>
      </c>
      <c r="C581" s="1">
        <f ca="1">IFERROR(__xludf.DUMMYFUNCTION("""COMPUTED_VALUE"""),2.43)</f>
        <v>2.4300000000000002</v>
      </c>
      <c r="D581" s="1">
        <f ca="1">IFERROR(__xludf.DUMMYFUNCTION("""COMPUTED_VALUE"""),2.38)</f>
        <v>2.38</v>
      </c>
      <c r="E581" s="1">
        <f ca="1">IFERROR(__xludf.DUMMYFUNCTION("""COMPUTED_VALUE"""),2.4)</f>
        <v>2.4</v>
      </c>
      <c r="F581" s="1">
        <f ca="1">IFERROR(__xludf.DUMMYFUNCTION("""COMPUTED_VALUE"""),115900)</f>
        <v>115900</v>
      </c>
      <c r="I581" s="1"/>
    </row>
    <row r="582" spans="1:9">
      <c r="A582" s="3">
        <f ca="1">IFERROR(__xludf.DUMMYFUNCTION("""COMPUTED_VALUE"""),30061.6666666666)</f>
        <v>30061.666666666599</v>
      </c>
      <c r="B582" s="1">
        <f ca="1">IFERROR(__xludf.DUMMYFUNCTION("""COMPUTED_VALUE"""),2.37)</f>
        <v>2.37</v>
      </c>
      <c r="C582" s="1">
        <f ca="1">IFERROR(__xludf.DUMMYFUNCTION("""COMPUTED_VALUE"""),2.41)</f>
        <v>2.41</v>
      </c>
      <c r="D582" s="1">
        <f ca="1">IFERROR(__xludf.DUMMYFUNCTION("""COMPUTED_VALUE"""),2.36)</f>
        <v>2.36</v>
      </c>
      <c r="E582" s="1">
        <f ca="1">IFERROR(__xludf.DUMMYFUNCTION("""COMPUTED_VALUE"""),2.37)</f>
        <v>2.37</v>
      </c>
      <c r="F582" s="1">
        <f ca="1">IFERROR(__xludf.DUMMYFUNCTION("""COMPUTED_VALUE"""),219500)</f>
        <v>219500</v>
      </c>
      <c r="I582" s="1"/>
    </row>
    <row r="583" spans="1:9">
      <c r="A583" s="3">
        <f ca="1">IFERROR(__xludf.DUMMYFUNCTION("""COMPUTED_VALUE"""),30062.6666666666)</f>
        <v>30062.666666666599</v>
      </c>
      <c r="B583" s="1">
        <f ca="1">IFERROR(__xludf.DUMMYFUNCTION("""COMPUTED_VALUE"""),2.32)</f>
        <v>2.3199999999999998</v>
      </c>
      <c r="C583" s="1">
        <f ca="1">IFERROR(__xludf.DUMMYFUNCTION("""COMPUTED_VALUE"""),2.37)</f>
        <v>2.37</v>
      </c>
      <c r="D583" s="1">
        <f ca="1">IFERROR(__xludf.DUMMYFUNCTION("""COMPUTED_VALUE"""),2.3)</f>
        <v>2.2999999999999998</v>
      </c>
      <c r="E583" s="1">
        <f ca="1">IFERROR(__xludf.DUMMYFUNCTION("""COMPUTED_VALUE"""),2.32)</f>
        <v>2.3199999999999998</v>
      </c>
      <c r="F583" s="1">
        <f ca="1">IFERROR(__xludf.DUMMYFUNCTION("""COMPUTED_VALUE"""),179100)</f>
        <v>179100</v>
      </c>
      <c r="I583" s="1"/>
    </row>
    <row r="584" spans="1:9">
      <c r="A584" s="3">
        <f ca="1">IFERROR(__xludf.DUMMYFUNCTION("""COMPUTED_VALUE"""),30063.6666666666)</f>
        <v>30063.666666666599</v>
      </c>
      <c r="B584" s="1">
        <f ca="1">IFERROR(__xludf.DUMMYFUNCTION("""COMPUTED_VALUE"""),2.37)</f>
        <v>2.37</v>
      </c>
      <c r="C584" s="1">
        <f ca="1">IFERROR(__xludf.DUMMYFUNCTION("""COMPUTED_VALUE"""),2.39)</f>
        <v>2.39</v>
      </c>
      <c r="D584" s="1">
        <f ca="1">IFERROR(__xludf.DUMMYFUNCTION("""COMPUTED_VALUE"""),2.32)</f>
        <v>2.3199999999999998</v>
      </c>
      <c r="E584" s="1">
        <f ca="1">IFERROR(__xludf.DUMMYFUNCTION("""COMPUTED_VALUE"""),2.37)</f>
        <v>2.37</v>
      </c>
      <c r="F584" s="1">
        <f ca="1">IFERROR(__xludf.DUMMYFUNCTION("""COMPUTED_VALUE"""),203300)</f>
        <v>203300</v>
      </c>
      <c r="I584" s="1"/>
    </row>
    <row r="585" spans="1:9">
      <c r="A585" s="3">
        <f ca="1">IFERROR(__xludf.DUMMYFUNCTION("""COMPUTED_VALUE"""),30064.6666666666)</f>
        <v>30064.666666666599</v>
      </c>
      <c r="B585" s="1">
        <f ca="1">IFERROR(__xludf.DUMMYFUNCTION("""COMPUTED_VALUE"""),2.47)</f>
        <v>2.4700000000000002</v>
      </c>
      <c r="C585" s="1">
        <f ca="1">IFERROR(__xludf.DUMMYFUNCTION("""COMPUTED_VALUE"""),2.48)</f>
        <v>2.48</v>
      </c>
      <c r="D585" s="1">
        <f ca="1">IFERROR(__xludf.DUMMYFUNCTION("""COMPUTED_VALUE"""),2.38)</f>
        <v>2.38</v>
      </c>
      <c r="E585" s="1">
        <f ca="1">IFERROR(__xludf.DUMMYFUNCTION("""COMPUTED_VALUE"""),2.47)</f>
        <v>2.4700000000000002</v>
      </c>
      <c r="F585" s="1">
        <f ca="1">IFERROR(__xludf.DUMMYFUNCTION("""COMPUTED_VALUE"""),351600)</f>
        <v>351600</v>
      </c>
      <c r="I585" s="1"/>
    </row>
    <row r="586" spans="1:9">
      <c r="A586" s="3">
        <f ca="1">IFERROR(__xludf.DUMMYFUNCTION("""COMPUTED_VALUE"""),30067.6666666666)</f>
        <v>30067.666666666599</v>
      </c>
      <c r="B586" s="1">
        <f ca="1">IFERROR(__xludf.DUMMYFUNCTION("""COMPUTED_VALUE"""),2.49)</f>
        <v>2.4900000000000002</v>
      </c>
      <c r="C586" s="1">
        <f ca="1">IFERROR(__xludf.DUMMYFUNCTION("""COMPUTED_VALUE"""),2.5)</f>
        <v>2.5</v>
      </c>
      <c r="D586" s="1">
        <f ca="1">IFERROR(__xludf.DUMMYFUNCTION("""COMPUTED_VALUE"""),2.45)</f>
        <v>2.4500000000000002</v>
      </c>
      <c r="E586" s="1">
        <f ca="1">IFERROR(__xludf.DUMMYFUNCTION("""COMPUTED_VALUE"""),2.49)</f>
        <v>2.4900000000000002</v>
      </c>
      <c r="F586" s="1">
        <f ca="1">IFERROR(__xludf.DUMMYFUNCTION("""COMPUTED_VALUE"""),188900)</f>
        <v>188900</v>
      </c>
      <c r="I586" s="1"/>
    </row>
    <row r="587" spans="1:9">
      <c r="A587" s="3">
        <f ca="1">IFERROR(__xludf.DUMMYFUNCTION("""COMPUTED_VALUE"""),30068.6666666666)</f>
        <v>30068.666666666599</v>
      </c>
      <c r="B587" s="1">
        <f ca="1">IFERROR(__xludf.DUMMYFUNCTION("""COMPUTED_VALUE"""),2.45)</f>
        <v>2.4500000000000002</v>
      </c>
      <c r="C587" s="1">
        <f ca="1">IFERROR(__xludf.DUMMYFUNCTION("""COMPUTED_VALUE"""),2.51)</f>
        <v>2.5099999999999998</v>
      </c>
      <c r="D587" s="1">
        <f ca="1">IFERROR(__xludf.DUMMYFUNCTION("""COMPUTED_VALUE"""),2.43)</f>
        <v>2.4300000000000002</v>
      </c>
      <c r="E587" s="1">
        <f ca="1">IFERROR(__xludf.DUMMYFUNCTION("""COMPUTED_VALUE"""),2.45)</f>
        <v>2.4500000000000002</v>
      </c>
      <c r="F587" s="1">
        <f ca="1">IFERROR(__xludf.DUMMYFUNCTION("""COMPUTED_VALUE"""),319900)</f>
        <v>319900</v>
      </c>
      <c r="I587" s="1"/>
    </row>
    <row r="588" spans="1:9">
      <c r="A588" s="3">
        <f ca="1">IFERROR(__xludf.DUMMYFUNCTION("""COMPUTED_VALUE"""),30069.6666666666)</f>
        <v>30069.666666666599</v>
      </c>
      <c r="B588" s="1">
        <f ca="1">IFERROR(__xludf.DUMMYFUNCTION("""COMPUTED_VALUE"""),2.45)</f>
        <v>2.4500000000000002</v>
      </c>
      <c r="C588" s="1">
        <f ca="1">IFERROR(__xludf.DUMMYFUNCTION("""COMPUTED_VALUE"""),2.46)</f>
        <v>2.46</v>
      </c>
      <c r="D588" s="1">
        <f ca="1">IFERROR(__xludf.DUMMYFUNCTION("""COMPUTED_VALUE"""),2.43)</f>
        <v>2.4300000000000002</v>
      </c>
      <c r="E588" s="1">
        <f ca="1">IFERROR(__xludf.DUMMYFUNCTION("""COMPUTED_VALUE"""),2.45)</f>
        <v>2.4500000000000002</v>
      </c>
      <c r="F588" s="1">
        <f ca="1">IFERROR(__xludf.DUMMYFUNCTION("""COMPUTED_VALUE"""),163800)</f>
        <v>163800</v>
      </c>
      <c r="I588" s="1"/>
    </row>
    <row r="589" spans="1:9">
      <c r="A589" s="3">
        <f ca="1">IFERROR(__xludf.DUMMYFUNCTION("""COMPUTED_VALUE"""),30070.6666666666)</f>
        <v>30070.666666666599</v>
      </c>
      <c r="B589" s="1">
        <f ca="1">IFERROR(__xludf.DUMMYFUNCTION("""COMPUTED_VALUE"""),2.44)</f>
        <v>2.44</v>
      </c>
      <c r="C589" s="1">
        <f ca="1">IFERROR(__xludf.DUMMYFUNCTION("""COMPUTED_VALUE"""),2.48)</f>
        <v>2.48</v>
      </c>
      <c r="D589" s="1">
        <f ca="1">IFERROR(__xludf.DUMMYFUNCTION("""COMPUTED_VALUE"""),2.41)</f>
        <v>2.41</v>
      </c>
      <c r="E589" s="1">
        <f ca="1">IFERROR(__xludf.DUMMYFUNCTION("""COMPUTED_VALUE"""),2.44)</f>
        <v>2.44</v>
      </c>
      <c r="F589" s="1">
        <f ca="1">IFERROR(__xludf.DUMMYFUNCTION("""COMPUTED_VALUE"""),137600)</f>
        <v>137600</v>
      </c>
      <c r="I589" s="1"/>
    </row>
    <row r="590" spans="1:9">
      <c r="A590" s="3">
        <f ca="1">IFERROR(__xludf.DUMMYFUNCTION("""COMPUTED_VALUE"""),30071.6666666666)</f>
        <v>30071.666666666599</v>
      </c>
      <c r="B590" s="1">
        <f ca="1">IFERROR(__xludf.DUMMYFUNCTION("""COMPUTED_VALUE"""),2.5)</f>
        <v>2.5</v>
      </c>
      <c r="C590" s="1">
        <f ca="1">IFERROR(__xludf.DUMMYFUNCTION("""COMPUTED_VALUE"""),2.52)</f>
        <v>2.52</v>
      </c>
      <c r="D590" s="1">
        <f ca="1">IFERROR(__xludf.DUMMYFUNCTION("""COMPUTED_VALUE"""),2.45)</f>
        <v>2.4500000000000002</v>
      </c>
      <c r="E590" s="1">
        <f ca="1">IFERROR(__xludf.DUMMYFUNCTION("""COMPUTED_VALUE"""),2.5)</f>
        <v>2.5</v>
      </c>
      <c r="F590" s="1">
        <f ca="1">IFERROR(__xludf.DUMMYFUNCTION("""COMPUTED_VALUE"""),314100)</f>
        <v>314100</v>
      </c>
      <c r="I590" s="1"/>
    </row>
    <row r="591" spans="1:9">
      <c r="A591" s="3">
        <f ca="1">IFERROR(__xludf.DUMMYFUNCTION("""COMPUTED_VALUE"""),30074.6666666666)</f>
        <v>30074.666666666599</v>
      </c>
      <c r="B591" s="1">
        <f ca="1">IFERROR(__xludf.DUMMYFUNCTION("""COMPUTED_VALUE"""),2.55)</f>
        <v>2.5499999999999998</v>
      </c>
      <c r="C591" s="1">
        <f ca="1">IFERROR(__xludf.DUMMYFUNCTION("""COMPUTED_VALUE"""),2.55)</f>
        <v>2.5499999999999998</v>
      </c>
      <c r="D591" s="1">
        <f ca="1">IFERROR(__xludf.DUMMYFUNCTION("""COMPUTED_VALUE"""),2.49)</f>
        <v>2.4900000000000002</v>
      </c>
      <c r="E591" s="1">
        <f ca="1">IFERROR(__xludf.DUMMYFUNCTION("""COMPUTED_VALUE"""),2.55)</f>
        <v>2.5499999999999998</v>
      </c>
      <c r="F591" s="1">
        <f ca="1">IFERROR(__xludf.DUMMYFUNCTION("""COMPUTED_VALUE"""),147900)</f>
        <v>147900</v>
      </c>
      <c r="I591" s="1"/>
    </row>
    <row r="592" spans="1:9">
      <c r="A592" s="3">
        <f ca="1">IFERROR(__xludf.DUMMYFUNCTION("""COMPUTED_VALUE"""),30075.6666666666)</f>
        <v>30075.666666666599</v>
      </c>
      <c r="B592" s="1">
        <f ca="1">IFERROR(__xludf.DUMMYFUNCTION("""COMPUTED_VALUE"""),2.58)</f>
        <v>2.58</v>
      </c>
      <c r="C592" s="1">
        <f ca="1">IFERROR(__xludf.DUMMYFUNCTION("""COMPUTED_VALUE"""),2.6)</f>
        <v>2.6</v>
      </c>
      <c r="D592" s="1">
        <f ca="1">IFERROR(__xludf.DUMMYFUNCTION("""COMPUTED_VALUE"""),2.55)</f>
        <v>2.5499999999999998</v>
      </c>
      <c r="E592" s="1">
        <f ca="1">IFERROR(__xludf.DUMMYFUNCTION("""COMPUTED_VALUE"""),2.58)</f>
        <v>2.58</v>
      </c>
      <c r="F592" s="1">
        <f ca="1">IFERROR(__xludf.DUMMYFUNCTION("""COMPUTED_VALUE"""),279100)</f>
        <v>279100</v>
      </c>
      <c r="I592" s="1"/>
    </row>
    <row r="593" spans="1:9">
      <c r="A593" s="3">
        <f ca="1">IFERROR(__xludf.DUMMYFUNCTION("""COMPUTED_VALUE"""),30076.6666666666)</f>
        <v>30076.666666666599</v>
      </c>
      <c r="B593" s="1">
        <f ca="1">IFERROR(__xludf.DUMMYFUNCTION("""COMPUTED_VALUE"""),2.6)</f>
        <v>2.6</v>
      </c>
      <c r="C593" s="1">
        <f ca="1">IFERROR(__xludf.DUMMYFUNCTION("""COMPUTED_VALUE"""),2.63)</f>
        <v>2.63</v>
      </c>
      <c r="D593" s="1">
        <f ca="1">IFERROR(__xludf.DUMMYFUNCTION("""COMPUTED_VALUE"""),2.59)</f>
        <v>2.59</v>
      </c>
      <c r="E593" s="1">
        <f ca="1">IFERROR(__xludf.DUMMYFUNCTION("""COMPUTED_VALUE"""),2.6)</f>
        <v>2.6</v>
      </c>
      <c r="F593" s="1">
        <f ca="1">IFERROR(__xludf.DUMMYFUNCTION("""COMPUTED_VALUE"""),254400)</f>
        <v>254400</v>
      </c>
      <c r="I593" s="1"/>
    </row>
    <row r="594" spans="1:9">
      <c r="A594" s="3">
        <f ca="1">IFERROR(__xludf.DUMMYFUNCTION("""COMPUTED_VALUE"""),30077.6666666666)</f>
        <v>30077.666666666599</v>
      </c>
      <c r="B594" s="1">
        <f ca="1">IFERROR(__xludf.DUMMYFUNCTION("""COMPUTED_VALUE"""),2.61)</f>
        <v>2.61</v>
      </c>
      <c r="C594" s="1">
        <f ca="1">IFERROR(__xludf.DUMMYFUNCTION("""COMPUTED_VALUE"""),2.63)</f>
        <v>2.63</v>
      </c>
      <c r="D594" s="1">
        <f ca="1">IFERROR(__xludf.DUMMYFUNCTION("""COMPUTED_VALUE"""),2.6)</f>
        <v>2.6</v>
      </c>
      <c r="E594" s="1">
        <f ca="1">IFERROR(__xludf.DUMMYFUNCTION("""COMPUTED_VALUE"""),2.61)</f>
        <v>2.61</v>
      </c>
      <c r="F594" s="1">
        <f ca="1">IFERROR(__xludf.DUMMYFUNCTION("""COMPUTED_VALUE"""),306800)</f>
        <v>306800</v>
      </c>
      <c r="I594" s="1"/>
    </row>
    <row r="595" spans="1:9">
      <c r="A595" s="3">
        <f ca="1">IFERROR(__xludf.DUMMYFUNCTION("""COMPUTED_VALUE"""),30078.6666666666)</f>
        <v>30078.666666666599</v>
      </c>
      <c r="B595" s="1">
        <f ca="1">IFERROR(__xludf.DUMMYFUNCTION("""COMPUTED_VALUE"""),2.56)</f>
        <v>2.56</v>
      </c>
      <c r="C595" s="1">
        <f ca="1">IFERROR(__xludf.DUMMYFUNCTION("""COMPUTED_VALUE"""),2.63)</f>
        <v>2.63</v>
      </c>
      <c r="D595" s="1">
        <f ca="1">IFERROR(__xludf.DUMMYFUNCTION("""COMPUTED_VALUE"""),2.54)</f>
        <v>2.54</v>
      </c>
      <c r="E595" s="1">
        <f ca="1">IFERROR(__xludf.DUMMYFUNCTION("""COMPUTED_VALUE"""),2.56)</f>
        <v>2.56</v>
      </c>
      <c r="F595" s="1">
        <f ca="1">IFERROR(__xludf.DUMMYFUNCTION("""COMPUTED_VALUE"""),206900)</f>
        <v>206900</v>
      </c>
      <c r="I595" s="1"/>
    </row>
    <row r="596" spans="1:9">
      <c r="A596" s="3">
        <f ca="1">IFERROR(__xludf.DUMMYFUNCTION("""COMPUTED_VALUE"""),30081.6666666666)</f>
        <v>30081.666666666599</v>
      </c>
      <c r="B596" s="1">
        <f ca="1">IFERROR(__xludf.DUMMYFUNCTION("""COMPUTED_VALUE"""),2.52)</f>
        <v>2.52</v>
      </c>
      <c r="C596" s="1">
        <f ca="1">IFERROR(__xludf.DUMMYFUNCTION("""COMPUTED_VALUE"""),2.55)</f>
        <v>2.5499999999999998</v>
      </c>
      <c r="D596" s="1">
        <f ca="1">IFERROR(__xludf.DUMMYFUNCTION("""COMPUTED_VALUE"""),2.52)</f>
        <v>2.52</v>
      </c>
      <c r="E596" s="1">
        <f ca="1">IFERROR(__xludf.DUMMYFUNCTION("""COMPUTED_VALUE"""),2.52)</f>
        <v>2.52</v>
      </c>
      <c r="F596" s="1">
        <f ca="1">IFERROR(__xludf.DUMMYFUNCTION("""COMPUTED_VALUE"""),229700)</f>
        <v>229700</v>
      </c>
      <c r="I596" s="1"/>
    </row>
    <row r="597" spans="1:9">
      <c r="A597" s="3">
        <f ca="1">IFERROR(__xludf.DUMMYFUNCTION("""COMPUTED_VALUE"""),30082.6666666666)</f>
        <v>30082.666666666599</v>
      </c>
      <c r="B597" s="1">
        <f ca="1">IFERROR(__xludf.DUMMYFUNCTION("""COMPUTED_VALUE"""),2.54)</f>
        <v>2.54</v>
      </c>
      <c r="C597" s="1">
        <f ca="1">IFERROR(__xludf.DUMMYFUNCTION("""COMPUTED_VALUE"""),2.55)</f>
        <v>2.5499999999999998</v>
      </c>
      <c r="D597" s="1">
        <f ca="1">IFERROR(__xludf.DUMMYFUNCTION("""COMPUTED_VALUE"""),2.52)</f>
        <v>2.52</v>
      </c>
      <c r="E597" s="1">
        <f ca="1">IFERROR(__xludf.DUMMYFUNCTION("""COMPUTED_VALUE"""),2.54)</f>
        <v>2.54</v>
      </c>
      <c r="F597" s="1">
        <f ca="1">IFERROR(__xludf.DUMMYFUNCTION("""COMPUTED_VALUE"""),188000)</f>
        <v>188000</v>
      </c>
      <c r="I597" s="1"/>
    </row>
    <row r="598" spans="1:9">
      <c r="A598" s="3">
        <f ca="1">IFERROR(__xludf.DUMMYFUNCTION("""COMPUTED_VALUE"""),30083.6666666666)</f>
        <v>30083.666666666599</v>
      </c>
      <c r="B598" s="1">
        <f ca="1">IFERROR(__xludf.DUMMYFUNCTION("""COMPUTED_VALUE"""),2.55)</f>
        <v>2.5499999999999998</v>
      </c>
      <c r="C598" s="1">
        <f ca="1">IFERROR(__xludf.DUMMYFUNCTION("""COMPUTED_VALUE"""),2.59)</f>
        <v>2.59</v>
      </c>
      <c r="D598" s="1">
        <f ca="1">IFERROR(__xludf.DUMMYFUNCTION("""COMPUTED_VALUE"""),2.55)</f>
        <v>2.5499999999999998</v>
      </c>
      <c r="E598" s="1">
        <f ca="1">IFERROR(__xludf.DUMMYFUNCTION("""COMPUTED_VALUE"""),2.55)</f>
        <v>2.5499999999999998</v>
      </c>
      <c r="F598" s="1">
        <f ca="1">IFERROR(__xludf.DUMMYFUNCTION("""COMPUTED_VALUE"""),300600)</f>
        <v>300600</v>
      </c>
      <c r="I598" s="1"/>
    </row>
    <row r="599" spans="1:9">
      <c r="A599" s="3">
        <f ca="1">IFERROR(__xludf.DUMMYFUNCTION("""COMPUTED_VALUE"""),30084.6666666666)</f>
        <v>30084.666666666599</v>
      </c>
      <c r="B599" s="1">
        <f ca="1">IFERROR(__xludf.DUMMYFUNCTION("""COMPUTED_VALUE"""),2.52)</f>
        <v>2.52</v>
      </c>
      <c r="C599" s="1">
        <f ca="1">IFERROR(__xludf.DUMMYFUNCTION("""COMPUTED_VALUE"""),2.55)</f>
        <v>2.5499999999999998</v>
      </c>
      <c r="D599" s="1">
        <f ca="1">IFERROR(__xludf.DUMMYFUNCTION("""COMPUTED_VALUE"""),2.51)</f>
        <v>2.5099999999999998</v>
      </c>
      <c r="E599" s="1">
        <f ca="1">IFERROR(__xludf.DUMMYFUNCTION("""COMPUTED_VALUE"""),2.52)</f>
        <v>2.52</v>
      </c>
      <c r="F599" s="1">
        <f ca="1">IFERROR(__xludf.DUMMYFUNCTION("""COMPUTED_VALUE"""),74400)</f>
        <v>74400</v>
      </c>
      <c r="I599" s="1"/>
    </row>
    <row r="600" spans="1:9">
      <c r="A600" s="3">
        <f ca="1">IFERROR(__xludf.DUMMYFUNCTION("""COMPUTED_VALUE"""),30085.6666666666)</f>
        <v>30085.666666666599</v>
      </c>
      <c r="B600" s="1">
        <f ca="1">IFERROR(__xludf.DUMMYFUNCTION("""COMPUTED_VALUE"""),2.55)</f>
        <v>2.5499999999999998</v>
      </c>
      <c r="C600" s="1">
        <f ca="1">IFERROR(__xludf.DUMMYFUNCTION("""COMPUTED_VALUE"""),2.56)</f>
        <v>2.56</v>
      </c>
      <c r="D600" s="1">
        <f ca="1">IFERROR(__xludf.DUMMYFUNCTION("""COMPUTED_VALUE"""),2.53)</f>
        <v>2.5299999999999998</v>
      </c>
      <c r="E600" s="1">
        <f ca="1">IFERROR(__xludf.DUMMYFUNCTION("""COMPUTED_VALUE"""),2.55)</f>
        <v>2.5499999999999998</v>
      </c>
      <c r="F600" s="1">
        <f ca="1">IFERROR(__xludf.DUMMYFUNCTION("""COMPUTED_VALUE"""),90400)</f>
        <v>90400</v>
      </c>
      <c r="I600" s="1"/>
    </row>
    <row r="601" spans="1:9">
      <c r="A601" s="3">
        <f ca="1">IFERROR(__xludf.DUMMYFUNCTION("""COMPUTED_VALUE"""),30088.6666666666)</f>
        <v>30088.666666666599</v>
      </c>
      <c r="B601" s="1">
        <f ca="1">IFERROR(__xludf.DUMMYFUNCTION("""COMPUTED_VALUE"""),2.52)</f>
        <v>2.52</v>
      </c>
      <c r="C601" s="1">
        <f ca="1">IFERROR(__xludf.DUMMYFUNCTION("""COMPUTED_VALUE"""),2.54)</f>
        <v>2.54</v>
      </c>
      <c r="D601" s="1">
        <f ca="1">IFERROR(__xludf.DUMMYFUNCTION("""COMPUTED_VALUE"""),2.51)</f>
        <v>2.5099999999999998</v>
      </c>
      <c r="E601" s="1">
        <f ca="1">IFERROR(__xludf.DUMMYFUNCTION("""COMPUTED_VALUE"""),2.52)</f>
        <v>2.52</v>
      </c>
      <c r="F601" s="1">
        <f ca="1">IFERROR(__xludf.DUMMYFUNCTION("""COMPUTED_VALUE"""),87400)</f>
        <v>87400</v>
      </c>
      <c r="I601" s="1"/>
    </row>
    <row r="602" spans="1:9">
      <c r="A602" s="3">
        <f ca="1">IFERROR(__xludf.DUMMYFUNCTION("""COMPUTED_VALUE"""),30089.6666666666)</f>
        <v>30089.666666666599</v>
      </c>
      <c r="B602" s="1">
        <f ca="1">IFERROR(__xludf.DUMMYFUNCTION("""COMPUTED_VALUE"""),2.45)</f>
        <v>2.4500000000000002</v>
      </c>
      <c r="C602" s="1">
        <f ca="1">IFERROR(__xludf.DUMMYFUNCTION("""COMPUTED_VALUE"""),2.52)</f>
        <v>2.52</v>
      </c>
      <c r="D602" s="1">
        <f ca="1">IFERROR(__xludf.DUMMYFUNCTION("""COMPUTED_VALUE"""),2.44)</f>
        <v>2.44</v>
      </c>
      <c r="E602" s="1">
        <f ca="1">IFERROR(__xludf.DUMMYFUNCTION("""COMPUTED_VALUE"""),2.45)</f>
        <v>2.4500000000000002</v>
      </c>
      <c r="F602" s="1">
        <f ca="1">IFERROR(__xludf.DUMMYFUNCTION("""COMPUTED_VALUE"""),337000)</f>
        <v>337000</v>
      </c>
      <c r="I602" s="1"/>
    </row>
    <row r="603" spans="1:9">
      <c r="A603" s="3">
        <f ca="1">IFERROR(__xludf.DUMMYFUNCTION("""COMPUTED_VALUE"""),30090.6666666666)</f>
        <v>30090.666666666599</v>
      </c>
      <c r="B603" s="1">
        <f ca="1">IFERROR(__xludf.DUMMYFUNCTION("""COMPUTED_VALUE"""),2.44)</f>
        <v>2.44</v>
      </c>
      <c r="C603" s="1">
        <f ca="1">IFERROR(__xludf.DUMMYFUNCTION("""COMPUTED_VALUE"""),2.45)</f>
        <v>2.4500000000000002</v>
      </c>
      <c r="D603" s="1">
        <f ca="1">IFERROR(__xludf.DUMMYFUNCTION("""COMPUTED_VALUE"""),2.42)</f>
        <v>2.42</v>
      </c>
      <c r="E603" s="1">
        <f ca="1">IFERROR(__xludf.DUMMYFUNCTION("""COMPUTED_VALUE"""),2.44)</f>
        <v>2.44</v>
      </c>
      <c r="F603" s="1">
        <f ca="1">IFERROR(__xludf.DUMMYFUNCTION("""COMPUTED_VALUE"""),126700)</f>
        <v>126700</v>
      </c>
      <c r="I603" s="1"/>
    </row>
    <row r="604" spans="1:9">
      <c r="A604" s="3">
        <f ca="1">IFERROR(__xludf.DUMMYFUNCTION("""COMPUTED_VALUE"""),30091.6666666666)</f>
        <v>30091.666666666599</v>
      </c>
      <c r="B604" s="1">
        <f ca="1">IFERROR(__xludf.DUMMYFUNCTION("""COMPUTED_VALUE"""),2.38)</f>
        <v>2.38</v>
      </c>
      <c r="C604" s="1">
        <f ca="1">IFERROR(__xludf.DUMMYFUNCTION("""COMPUTED_VALUE"""),2.44)</f>
        <v>2.44</v>
      </c>
      <c r="D604" s="1">
        <f ca="1">IFERROR(__xludf.DUMMYFUNCTION("""COMPUTED_VALUE"""),2.38)</f>
        <v>2.38</v>
      </c>
      <c r="E604" s="1">
        <f ca="1">IFERROR(__xludf.DUMMYFUNCTION("""COMPUTED_VALUE"""),2.38)</f>
        <v>2.38</v>
      </c>
      <c r="F604" s="1">
        <f ca="1">IFERROR(__xludf.DUMMYFUNCTION("""COMPUTED_VALUE"""),164700)</f>
        <v>164700</v>
      </c>
      <c r="I604" s="1"/>
    </row>
    <row r="605" spans="1:9">
      <c r="A605" s="3">
        <f ca="1">IFERROR(__xludf.DUMMYFUNCTION("""COMPUTED_VALUE"""),30092.6666666666)</f>
        <v>30092.666666666599</v>
      </c>
      <c r="B605" s="1">
        <f ca="1">IFERROR(__xludf.DUMMYFUNCTION("""COMPUTED_VALUE"""),2.44)</f>
        <v>2.44</v>
      </c>
      <c r="C605" s="1">
        <f ca="1">IFERROR(__xludf.DUMMYFUNCTION("""COMPUTED_VALUE"""),2.44)</f>
        <v>2.44</v>
      </c>
      <c r="D605" s="1">
        <f ca="1">IFERROR(__xludf.DUMMYFUNCTION("""COMPUTED_VALUE"""),2.39)</f>
        <v>2.39</v>
      </c>
      <c r="E605" s="1">
        <f ca="1">IFERROR(__xludf.DUMMYFUNCTION("""COMPUTED_VALUE"""),2.44)</f>
        <v>2.44</v>
      </c>
      <c r="F605" s="1">
        <f ca="1">IFERROR(__xludf.DUMMYFUNCTION("""COMPUTED_VALUE"""),133200)</f>
        <v>133200</v>
      </c>
      <c r="I605" s="1"/>
    </row>
    <row r="606" spans="1:9">
      <c r="A606" s="3">
        <f ca="1">IFERROR(__xludf.DUMMYFUNCTION("""COMPUTED_VALUE"""),30095.6666666666)</f>
        <v>30095.666666666599</v>
      </c>
      <c r="B606" s="1">
        <f ca="1">IFERROR(__xludf.DUMMYFUNCTION("""COMPUTED_VALUE"""),2.4)</f>
        <v>2.4</v>
      </c>
      <c r="C606" s="1">
        <f ca="1">IFERROR(__xludf.DUMMYFUNCTION("""COMPUTED_VALUE"""),2.44)</f>
        <v>2.44</v>
      </c>
      <c r="D606" s="1">
        <f ca="1">IFERROR(__xludf.DUMMYFUNCTION("""COMPUTED_VALUE"""),2.38)</f>
        <v>2.38</v>
      </c>
      <c r="E606" s="1">
        <f ca="1">IFERROR(__xludf.DUMMYFUNCTION("""COMPUTED_VALUE"""),2.4)</f>
        <v>2.4</v>
      </c>
      <c r="F606" s="1">
        <f ca="1">IFERROR(__xludf.DUMMYFUNCTION("""COMPUTED_VALUE"""),125400)</f>
        <v>125400</v>
      </c>
      <c r="I606" s="1"/>
    </row>
    <row r="607" spans="1:9">
      <c r="A607" s="3">
        <f ca="1">IFERROR(__xludf.DUMMYFUNCTION("""COMPUTED_VALUE"""),30096.6666666666)</f>
        <v>30096.666666666599</v>
      </c>
      <c r="B607" s="1">
        <f ca="1">IFERROR(__xludf.DUMMYFUNCTION("""COMPUTED_VALUE"""),2.39)</f>
        <v>2.39</v>
      </c>
      <c r="C607" s="1">
        <f ca="1">IFERROR(__xludf.DUMMYFUNCTION("""COMPUTED_VALUE"""),2.45)</f>
        <v>2.4500000000000002</v>
      </c>
      <c r="D607" s="1">
        <f ca="1">IFERROR(__xludf.DUMMYFUNCTION("""COMPUTED_VALUE"""),2.39)</f>
        <v>2.39</v>
      </c>
      <c r="E607" s="1">
        <f ca="1">IFERROR(__xludf.DUMMYFUNCTION("""COMPUTED_VALUE"""),2.39)</f>
        <v>2.39</v>
      </c>
      <c r="F607" s="1">
        <f ca="1">IFERROR(__xludf.DUMMYFUNCTION("""COMPUTED_VALUE"""),207100)</f>
        <v>207100</v>
      </c>
      <c r="I607" s="1"/>
    </row>
    <row r="608" spans="1:9">
      <c r="A608" s="3">
        <f ca="1">IFERROR(__xludf.DUMMYFUNCTION("""COMPUTED_VALUE"""),30097.6666666666)</f>
        <v>30097.666666666599</v>
      </c>
      <c r="B608" s="1">
        <f ca="1">IFERROR(__xludf.DUMMYFUNCTION("""COMPUTED_VALUE"""),2.43)</f>
        <v>2.4300000000000002</v>
      </c>
      <c r="C608" s="1">
        <f ca="1">IFERROR(__xludf.DUMMYFUNCTION("""COMPUTED_VALUE"""),2.43)</f>
        <v>2.4300000000000002</v>
      </c>
      <c r="D608" s="1">
        <f ca="1">IFERROR(__xludf.DUMMYFUNCTION("""COMPUTED_VALUE"""),2.39)</f>
        <v>2.39</v>
      </c>
      <c r="E608" s="1">
        <f ca="1">IFERROR(__xludf.DUMMYFUNCTION("""COMPUTED_VALUE"""),2.43)</f>
        <v>2.4300000000000002</v>
      </c>
      <c r="F608" s="1">
        <f ca="1">IFERROR(__xludf.DUMMYFUNCTION("""COMPUTED_VALUE"""),195700)</f>
        <v>195700</v>
      </c>
      <c r="I608" s="1"/>
    </row>
    <row r="609" spans="1:9">
      <c r="A609" s="3">
        <f ca="1">IFERROR(__xludf.DUMMYFUNCTION("""COMPUTED_VALUE"""),30098.6666666666)</f>
        <v>30098.666666666599</v>
      </c>
      <c r="B609" s="1">
        <f ca="1">IFERROR(__xludf.DUMMYFUNCTION("""COMPUTED_VALUE"""),2.47)</f>
        <v>2.4700000000000002</v>
      </c>
      <c r="C609" s="1">
        <f ca="1">IFERROR(__xludf.DUMMYFUNCTION("""COMPUTED_VALUE"""),2.48)</f>
        <v>2.48</v>
      </c>
      <c r="D609" s="1">
        <f ca="1">IFERROR(__xludf.DUMMYFUNCTION("""COMPUTED_VALUE"""),2.44)</f>
        <v>2.44</v>
      </c>
      <c r="E609" s="1">
        <f ca="1">IFERROR(__xludf.DUMMYFUNCTION("""COMPUTED_VALUE"""),2.47)</f>
        <v>2.4700000000000002</v>
      </c>
      <c r="F609" s="1">
        <f ca="1">IFERROR(__xludf.DUMMYFUNCTION("""COMPUTED_VALUE"""),118800)</f>
        <v>118800</v>
      </c>
      <c r="I609" s="1"/>
    </row>
    <row r="610" spans="1:9">
      <c r="A610" s="3">
        <f ca="1">IFERROR(__xludf.DUMMYFUNCTION("""COMPUTED_VALUE"""),30099.6666666666)</f>
        <v>30099.666666666599</v>
      </c>
      <c r="B610" s="1">
        <f ca="1">IFERROR(__xludf.DUMMYFUNCTION("""COMPUTED_VALUE"""),2.45)</f>
        <v>2.4500000000000002</v>
      </c>
      <c r="C610" s="1">
        <f ca="1">IFERROR(__xludf.DUMMYFUNCTION("""COMPUTED_VALUE"""),2.48)</f>
        <v>2.48</v>
      </c>
      <c r="D610" s="1">
        <f ca="1">IFERROR(__xludf.DUMMYFUNCTION("""COMPUTED_VALUE"""),2.44)</f>
        <v>2.44</v>
      </c>
      <c r="E610" s="1">
        <f ca="1">IFERROR(__xludf.DUMMYFUNCTION("""COMPUTED_VALUE"""),2.45)</f>
        <v>2.4500000000000002</v>
      </c>
      <c r="F610" s="1">
        <f ca="1">IFERROR(__xludf.DUMMYFUNCTION("""COMPUTED_VALUE"""),112800)</f>
        <v>112800</v>
      </c>
      <c r="I610" s="1"/>
    </row>
    <row r="611" spans="1:9">
      <c r="A611" s="3">
        <f ca="1">IFERROR(__xludf.DUMMYFUNCTION("""COMPUTED_VALUE"""),30103.6666666666)</f>
        <v>30103.666666666599</v>
      </c>
      <c r="B611" s="1">
        <f ca="1">IFERROR(__xludf.DUMMYFUNCTION("""COMPUTED_VALUE"""),2.49)</f>
        <v>2.4900000000000002</v>
      </c>
      <c r="C611" s="1">
        <f ca="1">IFERROR(__xludf.DUMMYFUNCTION("""COMPUTED_VALUE"""),2.49)</f>
        <v>2.4900000000000002</v>
      </c>
      <c r="D611" s="1">
        <f ca="1">IFERROR(__xludf.DUMMYFUNCTION("""COMPUTED_VALUE"""),2.46)</f>
        <v>2.46</v>
      </c>
      <c r="E611" s="1">
        <f ca="1">IFERROR(__xludf.DUMMYFUNCTION("""COMPUTED_VALUE"""),2.49)</f>
        <v>2.4900000000000002</v>
      </c>
      <c r="F611" s="1">
        <f ca="1">IFERROR(__xludf.DUMMYFUNCTION("""COMPUTED_VALUE"""),126000)</f>
        <v>126000</v>
      </c>
      <c r="I611" s="1"/>
    </row>
    <row r="612" spans="1:9">
      <c r="A612" s="3">
        <f ca="1">IFERROR(__xludf.DUMMYFUNCTION("""COMPUTED_VALUE"""),30104.6666666666)</f>
        <v>30104.666666666599</v>
      </c>
      <c r="B612" s="1">
        <f ca="1">IFERROR(__xludf.DUMMYFUNCTION("""COMPUTED_VALUE"""),2.52)</f>
        <v>2.52</v>
      </c>
      <c r="C612" s="1">
        <f ca="1">IFERROR(__xludf.DUMMYFUNCTION("""COMPUTED_VALUE"""),2.53)</f>
        <v>2.5299999999999998</v>
      </c>
      <c r="D612" s="1">
        <f ca="1">IFERROR(__xludf.DUMMYFUNCTION("""COMPUTED_VALUE"""),2.49)</f>
        <v>2.4900000000000002</v>
      </c>
      <c r="E612" s="1">
        <f ca="1">IFERROR(__xludf.DUMMYFUNCTION("""COMPUTED_VALUE"""),2.52)</f>
        <v>2.52</v>
      </c>
      <c r="F612" s="1">
        <f ca="1">IFERROR(__xludf.DUMMYFUNCTION("""COMPUTED_VALUE"""),125900)</f>
        <v>125900</v>
      </c>
      <c r="I612" s="1"/>
    </row>
    <row r="613" spans="1:9">
      <c r="A613" s="3">
        <f ca="1">IFERROR(__xludf.DUMMYFUNCTION("""COMPUTED_VALUE"""),30105.6666666666)</f>
        <v>30105.666666666599</v>
      </c>
      <c r="B613" s="1">
        <f ca="1">IFERROR(__xludf.DUMMYFUNCTION("""COMPUTED_VALUE"""),2.5)</f>
        <v>2.5</v>
      </c>
      <c r="C613" s="1">
        <f ca="1">IFERROR(__xludf.DUMMYFUNCTION("""COMPUTED_VALUE"""),2.55)</f>
        <v>2.5499999999999998</v>
      </c>
      <c r="D613" s="1">
        <f ca="1">IFERROR(__xludf.DUMMYFUNCTION("""COMPUTED_VALUE"""),2.48)</f>
        <v>2.48</v>
      </c>
      <c r="E613" s="1">
        <f ca="1">IFERROR(__xludf.DUMMYFUNCTION("""COMPUTED_VALUE"""),2.5)</f>
        <v>2.5</v>
      </c>
      <c r="F613" s="1">
        <f ca="1">IFERROR(__xludf.DUMMYFUNCTION("""COMPUTED_VALUE"""),257900)</f>
        <v>257900</v>
      </c>
      <c r="I613" s="1"/>
    </row>
    <row r="614" spans="1:9">
      <c r="A614" s="3">
        <f ca="1">IFERROR(__xludf.DUMMYFUNCTION("""COMPUTED_VALUE"""),30106.6666666666)</f>
        <v>30106.666666666599</v>
      </c>
      <c r="B614" s="1">
        <f ca="1">IFERROR(__xludf.DUMMYFUNCTION("""COMPUTED_VALUE"""),2.46)</f>
        <v>2.46</v>
      </c>
      <c r="C614" s="1">
        <f ca="1">IFERROR(__xludf.DUMMYFUNCTION("""COMPUTED_VALUE"""),2.51)</f>
        <v>2.5099999999999998</v>
      </c>
      <c r="D614" s="1">
        <f ca="1">IFERROR(__xludf.DUMMYFUNCTION("""COMPUTED_VALUE"""),2.46)</f>
        <v>2.46</v>
      </c>
      <c r="E614" s="1">
        <f ca="1">IFERROR(__xludf.DUMMYFUNCTION("""COMPUTED_VALUE"""),2.46)</f>
        <v>2.46</v>
      </c>
      <c r="F614" s="1">
        <f ca="1">IFERROR(__xludf.DUMMYFUNCTION("""COMPUTED_VALUE"""),81800)</f>
        <v>81800</v>
      </c>
      <c r="I614" s="1"/>
    </row>
    <row r="615" spans="1:9">
      <c r="A615" s="3">
        <f ca="1">IFERROR(__xludf.DUMMYFUNCTION("""COMPUTED_VALUE"""),30109.6666666666)</f>
        <v>30109.666666666599</v>
      </c>
      <c r="B615" s="1">
        <f ca="1">IFERROR(__xludf.DUMMYFUNCTION("""COMPUTED_VALUE"""),2.41)</f>
        <v>2.41</v>
      </c>
      <c r="C615" s="1">
        <f ca="1">IFERROR(__xludf.DUMMYFUNCTION("""COMPUTED_VALUE"""),2.45)</f>
        <v>2.4500000000000002</v>
      </c>
      <c r="D615" s="1">
        <f ca="1">IFERROR(__xludf.DUMMYFUNCTION("""COMPUTED_VALUE"""),2.4)</f>
        <v>2.4</v>
      </c>
      <c r="E615" s="1">
        <f ca="1">IFERROR(__xludf.DUMMYFUNCTION("""COMPUTED_VALUE"""),2.41)</f>
        <v>2.41</v>
      </c>
      <c r="F615" s="1">
        <f ca="1">IFERROR(__xludf.DUMMYFUNCTION("""COMPUTED_VALUE"""),218600)</f>
        <v>218600</v>
      </c>
      <c r="I615" s="1"/>
    </row>
    <row r="616" spans="1:9">
      <c r="A616" s="3">
        <f ca="1">IFERROR(__xludf.DUMMYFUNCTION("""COMPUTED_VALUE"""),30110.6666666666)</f>
        <v>30110.666666666599</v>
      </c>
      <c r="B616" s="1">
        <f ca="1">IFERROR(__xludf.DUMMYFUNCTION("""COMPUTED_VALUE"""),2.42)</f>
        <v>2.42</v>
      </c>
      <c r="C616" s="1">
        <f ca="1">IFERROR(__xludf.DUMMYFUNCTION("""COMPUTED_VALUE"""),2.44)</f>
        <v>2.44</v>
      </c>
      <c r="D616" s="1">
        <f ca="1">IFERROR(__xludf.DUMMYFUNCTION("""COMPUTED_VALUE"""),2.39)</f>
        <v>2.39</v>
      </c>
      <c r="E616" s="1">
        <f ca="1">IFERROR(__xludf.DUMMYFUNCTION("""COMPUTED_VALUE"""),2.42)</f>
        <v>2.42</v>
      </c>
      <c r="F616" s="1">
        <f ca="1">IFERROR(__xludf.DUMMYFUNCTION("""COMPUTED_VALUE"""),144900)</f>
        <v>144900</v>
      </c>
      <c r="I616" s="1"/>
    </row>
    <row r="617" spans="1:9">
      <c r="A617" s="3">
        <f ca="1">IFERROR(__xludf.DUMMYFUNCTION("""COMPUTED_VALUE"""),30111.6666666666)</f>
        <v>30111.666666666599</v>
      </c>
      <c r="B617" s="1">
        <f ca="1">IFERROR(__xludf.DUMMYFUNCTION("""COMPUTED_VALUE"""),2.44)</f>
        <v>2.44</v>
      </c>
      <c r="C617" s="1">
        <f ca="1">IFERROR(__xludf.DUMMYFUNCTION("""COMPUTED_VALUE"""),2.47)</f>
        <v>2.4700000000000002</v>
      </c>
      <c r="D617" s="1">
        <f ca="1">IFERROR(__xludf.DUMMYFUNCTION("""COMPUTED_VALUE"""),2.41)</f>
        <v>2.41</v>
      </c>
      <c r="E617" s="1">
        <f ca="1">IFERROR(__xludf.DUMMYFUNCTION("""COMPUTED_VALUE"""),2.44)</f>
        <v>2.44</v>
      </c>
      <c r="F617" s="1">
        <f ca="1">IFERROR(__xludf.DUMMYFUNCTION("""COMPUTED_VALUE"""),157100)</f>
        <v>157100</v>
      </c>
      <c r="I617" s="1"/>
    </row>
    <row r="618" spans="1:9">
      <c r="A618" s="3">
        <f ca="1">IFERROR(__xludf.DUMMYFUNCTION("""COMPUTED_VALUE"""),30112.6666666666)</f>
        <v>30112.666666666599</v>
      </c>
      <c r="B618" s="1">
        <f ca="1">IFERROR(__xludf.DUMMYFUNCTION("""COMPUTED_VALUE"""),2.46)</f>
        <v>2.46</v>
      </c>
      <c r="C618" s="1">
        <f ca="1">IFERROR(__xludf.DUMMYFUNCTION("""COMPUTED_VALUE"""),2.48)</f>
        <v>2.48</v>
      </c>
      <c r="D618" s="1">
        <f ca="1">IFERROR(__xludf.DUMMYFUNCTION("""COMPUTED_VALUE"""),2.41)</f>
        <v>2.41</v>
      </c>
      <c r="E618" s="1">
        <f ca="1">IFERROR(__xludf.DUMMYFUNCTION("""COMPUTED_VALUE"""),2.46)</f>
        <v>2.46</v>
      </c>
      <c r="F618" s="1">
        <f ca="1">IFERROR(__xludf.DUMMYFUNCTION("""COMPUTED_VALUE"""),213200)</f>
        <v>213200</v>
      </c>
      <c r="I618" s="1"/>
    </row>
    <row r="619" spans="1:9">
      <c r="A619" s="3">
        <f ca="1">IFERROR(__xludf.DUMMYFUNCTION("""COMPUTED_VALUE"""),30113.6666666666)</f>
        <v>30113.666666666599</v>
      </c>
      <c r="B619" s="1">
        <f ca="1">IFERROR(__xludf.DUMMYFUNCTION("""COMPUTED_VALUE"""),2.44)</f>
        <v>2.44</v>
      </c>
      <c r="C619" s="1">
        <f ca="1">IFERROR(__xludf.DUMMYFUNCTION("""COMPUTED_VALUE"""),2.48)</f>
        <v>2.48</v>
      </c>
      <c r="D619" s="1">
        <f ca="1">IFERROR(__xludf.DUMMYFUNCTION("""COMPUTED_VALUE"""),2.43)</f>
        <v>2.4300000000000002</v>
      </c>
      <c r="E619" s="1">
        <f ca="1">IFERROR(__xludf.DUMMYFUNCTION("""COMPUTED_VALUE"""),2.44)</f>
        <v>2.44</v>
      </c>
      <c r="F619" s="1">
        <f ca="1">IFERROR(__xludf.DUMMYFUNCTION("""COMPUTED_VALUE"""),549700)</f>
        <v>549700</v>
      </c>
      <c r="I619" s="1"/>
    </row>
    <row r="620" spans="1:9">
      <c r="A620" s="3">
        <f ca="1">IFERROR(__xludf.DUMMYFUNCTION("""COMPUTED_VALUE"""),30116.6666666666)</f>
        <v>30116.666666666599</v>
      </c>
      <c r="B620" s="1">
        <f ca="1">IFERROR(__xludf.DUMMYFUNCTION("""COMPUTED_VALUE"""),2.4)</f>
        <v>2.4</v>
      </c>
      <c r="C620" s="1">
        <f ca="1">IFERROR(__xludf.DUMMYFUNCTION("""COMPUTED_VALUE"""),2.41)</f>
        <v>2.41</v>
      </c>
      <c r="D620" s="1">
        <f ca="1">IFERROR(__xludf.DUMMYFUNCTION("""COMPUTED_VALUE"""),2.38)</f>
        <v>2.38</v>
      </c>
      <c r="E620" s="1">
        <f ca="1">IFERROR(__xludf.DUMMYFUNCTION("""COMPUTED_VALUE"""),2.4)</f>
        <v>2.4</v>
      </c>
      <c r="F620" s="1">
        <f ca="1">IFERROR(__xludf.DUMMYFUNCTION("""COMPUTED_VALUE"""),133200)</f>
        <v>133200</v>
      </c>
      <c r="I620" s="1"/>
    </row>
    <row r="621" spans="1:9">
      <c r="A621" s="3">
        <f ca="1">IFERROR(__xludf.DUMMYFUNCTION("""COMPUTED_VALUE"""),30117.6666666666)</f>
        <v>30117.666666666599</v>
      </c>
      <c r="B621" s="1">
        <f ca="1">IFERROR(__xludf.DUMMYFUNCTION("""COMPUTED_VALUE"""),2.41)</f>
        <v>2.41</v>
      </c>
      <c r="C621" s="1">
        <f ca="1">IFERROR(__xludf.DUMMYFUNCTION("""COMPUTED_VALUE"""),2.41)</f>
        <v>2.41</v>
      </c>
      <c r="D621" s="1">
        <f ca="1">IFERROR(__xludf.DUMMYFUNCTION("""COMPUTED_VALUE"""),2.37)</f>
        <v>2.37</v>
      </c>
      <c r="E621" s="1">
        <f ca="1">IFERROR(__xludf.DUMMYFUNCTION("""COMPUTED_VALUE"""),2.41)</f>
        <v>2.41</v>
      </c>
      <c r="F621" s="1">
        <f ca="1">IFERROR(__xludf.DUMMYFUNCTION("""COMPUTED_VALUE"""),148900)</f>
        <v>148900</v>
      </c>
      <c r="I621" s="1"/>
    </row>
    <row r="622" spans="1:9">
      <c r="A622" s="3">
        <f ca="1">IFERROR(__xludf.DUMMYFUNCTION("""COMPUTED_VALUE"""),30118.6666666666)</f>
        <v>30118.666666666599</v>
      </c>
      <c r="B622" s="1">
        <f ca="1">IFERROR(__xludf.DUMMYFUNCTION("""COMPUTED_VALUE"""),2.41)</f>
        <v>2.41</v>
      </c>
      <c r="C622" s="1">
        <f ca="1">IFERROR(__xludf.DUMMYFUNCTION("""COMPUTED_VALUE"""),2.45)</f>
        <v>2.4500000000000002</v>
      </c>
      <c r="D622" s="1">
        <f ca="1">IFERROR(__xludf.DUMMYFUNCTION("""COMPUTED_VALUE"""),2.41)</f>
        <v>2.41</v>
      </c>
      <c r="E622" s="1">
        <f ca="1">IFERROR(__xludf.DUMMYFUNCTION("""COMPUTED_VALUE"""),2.41)</f>
        <v>2.41</v>
      </c>
      <c r="F622" s="1">
        <f ca="1">IFERROR(__xludf.DUMMYFUNCTION("""COMPUTED_VALUE"""),145100)</f>
        <v>145100</v>
      </c>
      <c r="I622" s="1"/>
    </row>
    <row r="623" spans="1:9">
      <c r="A623" s="3">
        <f ca="1">IFERROR(__xludf.DUMMYFUNCTION("""COMPUTED_VALUE"""),30119.6666666666)</f>
        <v>30119.666666666599</v>
      </c>
      <c r="B623" s="1">
        <f ca="1">IFERROR(__xludf.DUMMYFUNCTION("""COMPUTED_VALUE"""),2.42)</f>
        <v>2.42</v>
      </c>
      <c r="C623" s="1">
        <f ca="1">IFERROR(__xludf.DUMMYFUNCTION("""COMPUTED_VALUE"""),2.43)</f>
        <v>2.4300000000000002</v>
      </c>
      <c r="D623" s="1">
        <f ca="1">IFERROR(__xludf.DUMMYFUNCTION("""COMPUTED_VALUE"""),2.39)</f>
        <v>2.39</v>
      </c>
      <c r="E623" s="1">
        <f ca="1">IFERROR(__xludf.DUMMYFUNCTION("""COMPUTED_VALUE"""),2.42)</f>
        <v>2.42</v>
      </c>
      <c r="F623" s="1">
        <f ca="1">IFERROR(__xludf.DUMMYFUNCTION("""COMPUTED_VALUE"""),64700)</f>
        <v>64700</v>
      </c>
      <c r="I623" s="1"/>
    </row>
    <row r="624" spans="1:9">
      <c r="A624" s="3">
        <f ca="1">IFERROR(__xludf.DUMMYFUNCTION("""COMPUTED_VALUE"""),30120.6666666666)</f>
        <v>30120.666666666599</v>
      </c>
      <c r="B624" s="1">
        <f ca="1">IFERROR(__xludf.DUMMYFUNCTION("""COMPUTED_VALUE"""),2.36)</f>
        <v>2.36</v>
      </c>
      <c r="C624" s="1">
        <f ca="1">IFERROR(__xludf.DUMMYFUNCTION("""COMPUTED_VALUE"""),2.41)</f>
        <v>2.41</v>
      </c>
      <c r="D624" s="1">
        <f ca="1">IFERROR(__xludf.DUMMYFUNCTION("""COMPUTED_VALUE"""),2.35)</f>
        <v>2.35</v>
      </c>
      <c r="E624" s="1">
        <f ca="1">IFERROR(__xludf.DUMMYFUNCTION("""COMPUTED_VALUE"""),2.36)</f>
        <v>2.36</v>
      </c>
      <c r="F624" s="1">
        <f ca="1">IFERROR(__xludf.DUMMYFUNCTION("""COMPUTED_VALUE"""),204600)</f>
        <v>204600</v>
      </c>
      <c r="I624" s="1"/>
    </row>
    <row r="625" spans="1:9">
      <c r="A625" s="3">
        <f ca="1">IFERROR(__xludf.DUMMYFUNCTION("""COMPUTED_VALUE"""),30123.6666666666)</f>
        <v>30123.666666666599</v>
      </c>
      <c r="B625" s="1">
        <f ca="1">IFERROR(__xludf.DUMMYFUNCTION("""COMPUTED_VALUE"""),2.36)</f>
        <v>2.36</v>
      </c>
      <c r="C625" s="1">
        <f ca="1">IFERROR(__xludf.DUMMYFUNCTION("""COMPUTED_VALUE"""),2.38)</f>
        <v>2.38</v>
      </c>
      <c r="D625" s="1">
        <f ca="1">IFERROR(__xludf.DUMMYFUNCTION("""COMPUTED_VALUE"""),2.34)</f>
        <v>2.34</v>
      </c>
      <c r="E625" s="1">
        <f ca="1">IFERROR(__xludf.DUMMYFUNCTION("""COMPUTED_VALUE"""),2.36)</f>
        <v>2.36</v>
      </c>
      <c r="F625" s="1">
        <f ca="1">IFERROR(__xludf.DUMMYFUNCTION("""COMPUTED_VALUE"""),171900)</f>
        <v>171900</v>
      </c>
      <c r="I625" s="1"/>
    </row>
    <row r="626" spans="1:9">
      <c r="A626" s="3">
        <f ca="1">IFERROR(__xludf.DUMMYFUNCTION("""COMPUTED_VALUE"""),30124.6666666666)</f>
        <v>30124.666666666599</v>
      </c>
      <c r="B626" s="1">
        <f ca="1">IFERROR(__xludf.DUMMYFUNCTION("""COMPUTED_VALUE"""),2.39)</f>
        <v>2.39</v>
      </c>
      <c r="C626" s="1">
        <f ca="1">IFERROR(__xludf.DUMMYFUNCTION("""COMPUTED_VALUE"""),2.39)</f>
        <v>2.39</v>
      </c>
      <c r="D626" s="1">
        <f ca="1">IFERROR(__xludf.DUMMYFUNCTION("""COMPUTED_VALUE"""),2.35)</f>
        <v>2.35</v>
      </c>
      <c r="E626" s="1">
        <f ca="1">IFERROR(__xludf.DUMMYFUNCTION("""COMPUTED_VALUE"""),2.39)</f>
        <v>2.39</v>
      </c>
      <c r="F626" s="1">
        <f ca="1">IFERROR(__xludf.DUMMYFUNCTION("""COMPUTED_VALUE"""),159900)</f>
        <v>159900</v>
      </c>
      <c r="I626" s="1"/>
    </row>
    <row r="627" spans="1:9">
      <c r="A627" s="3">
        <f ca="1">IFERROR(__xludf.DUMMYFUNCTION("""COMPUTED_VALUE"""),30125.6666666666)</f>
        <v>30125.666666666599</v>
      </c>
      <c r="B627" s="1">
        <f ca="1">IFERROR(__xludf.DUMMYFUNCTION("""COMPUTED_VALUE"""),2.46)</f>
        <v>2.46</v>
      </c>
      <c r="C627" s="1">
        <f ca="1">IFERROR(__xludf.DUMMYFUNCTION("""COMPUTED_VALUE"""),2.47)</f>
        <v>2.4700000000000002</v>
      </c>
      <c r="D627" s="1">
        <f ca="1">IFERROR(__xludf.DUMMYFUNCTION("""COMPUTED_VALUE"""),2.36)</f>
        <v>2.36</v>
      </c>
      <c r="E627" s="1">
        <f ca="1">IFERROR(__xludf.DUMMYFUNCTION("""COMPUTED_VALUE"""),2.46)</f>
        <v>2.46</v>
      </c>
      <c r="F627" s="1">
        <f ca="1">IFERROR(__xludf.DUMMYFUNCTION("""COMPUTED_VALUE"""),264000)</f>
        <v>264000</v>
      </c>
      <c r="I627" s="1"/>
    </row>
    <row r="628" spans="1:9">
      <c r="A628" s="3">
        <f ca="1">IFERROR(__xludf.DUMMYFUNCTION("""COMPUTED_VALUE"""),30126.6666666666)</f>
        <v>30126.666666666599</v>
      </c>
      <c r="B628" s="1">
        <f ca="1">IFERROR(__xludf.DUMMYFUNCTION("""COMPUTED_VALUE"""),2.44)</f>
        <v>2.44</v>
      </c>
      <c r="C628" s="1">
        <f ca="1">IFERROR(__xludf.DUMMYFUNCTION("""COMPUTED_VALUE"""),2.47)</f>
        <v>2.4700000000000002</v>
      </c>
      <c r="D628" s="1">
        <f ca="1">IFERROR(__xludf.DUMMYFUNCTION("""COMPUTED_VALUE"""),2.42)</f>
        <v>2.42</v>
      </c>
      <c r="E628" s="1">
        <f ca="1">IFERROR(__xludf.DUMMYFUNCTION("""COMPUTED_VALUE"""),2.44)</f>
        <v>2.44</v>
      </c>
      <c r="F628" s="1">
        <f ca="1">IFERROR(__xludf.DUMMYFUNCTION("""COMPUTED_VALUE"""),268200)</f>
        <v>268200</v>
      </c>
      <c r="I628" s="1"/>
    </row>
    <row r="629" spans="1:9">
      <c r="A629" s="3">
        <f ca="1">IFERROR(__xludf.DUMMYFUNCTION("""COMPUTED_VALUE"""),30127.6666666666)</f>
        <v>30127.666666666599</v>
      </c>
      <c r="B629" s="1">
        <f ca="1">IFERROR(__xludf.DUMMYFUNCTION("""COMPUTED_VALUE"""),2.41)</f>
        <v>2.41</v>
      </c>
      <c r="C629" s="1">
        <f ca="1">IFERROR(__xludf.DUMMYFUNCTION("""COMPUTED_VALUE"""),2.43)</f>
        <v>2.4300000000000002</v>
      </c>
      <c r="D629" s="1">
        <f ca="1">IFERROR(__xludf.DUMMYFUNCTION("""COMPUTED_VALUE"""),2.41)</f>
        <v>2.41</v>
      </c>
      <c r="E629" s="1">
        <f ca="1">IFERROR(__xludf.DUMMYFUNCTION("""COMPUTED_VALUE"""),2.41)</f>
        <v>2.41</v>
      </c>
      <c r="F629" s="1">
        <f ca="1">IFERROR(__xludf.DUMMYFUNCTION("""COMPUTED_VALUE"""),92000)</f>
        <v>92000</v>
      </c>
      <c r="I629" s="1"/>
    </row>
    <row r="630" spans="1:9">
      <c r="A630" s="3">
        <f ca="1">IFERROR(__xludf.DUMMYFUNCTION("""COMPUTED_VALUE"""),30130.6666666666)</f>
        <v>30130.666666666599</v>
      </c>
      <c r="B630" s="1">
        <f ca="1">IFERROR(__xludf.DUMMYFUNCTION("""COMPUTED_VALUE"""),2.44)</f>
        <v>2.44</v>
      </c>
      <c r="C630" s="1">
        <f ca="1">IFERROR(__xludf.DUMMYFUNCTION("""COMPUTED_VALUE"""),2.45)</f>
        <v>2.4500000000000002</v>
      </c>
      <c r="D630" s="1">
        <f ca="1">IFERROR(__xludf.DUMMYFUNCTION("""COMPUTED_VALUE"""),2.41)</f>
        <v>2.41</v>
      </c>
      <c r="E630" s="1">
        <f ca="1">IFERROR(__xludf.DUMMYFUNCTION("""COMPUTED_VALUE"""),2.44)</f>
        <v>2.44</v>
      </c>
      <c r="F630" s="1">
        <f ca="1">IFERROR(__xludf.DUMMYFUNCTION("""COMPUTED_VALUE"""),135600)</f>
        <v>135600</v>
      </c>
      <c r="I630" s="1"/>
    </row>
    <row r="631" spans="1:9">
      <c r="A631" s="3">
        <f ca="1">IFERROR(__xludf.DUMMYFUNCTION("""COMPUTED_VALUE"""),30131.6666666666)</f>
        <v>30131.666666666599</v>
      </c>
      <c r="B631" s="1">
        <f ca="1">IFERROR(__xludf.DUMMYFUNCTION("""COMPUTED_VALUE"""),2.41)</f>
        <v>2.41</v>
      </c>
      <c r="C631" s="1">
        <f ca="1">IFERROR(__xludf.DUMMYFUNCTION("""COMPUTED_VALUE"""),2.45)</f>
        <v>2.4500000000000002</v>
      </c>
      <c r="D631" s="1">
        <f ca="1">IFERROR(__xludf.DUMMYFUNCTION("""COMPUTED_VALUE"""),2.41)</f>
        <v>2.41</v>
      </c>
      <c r="E631" s="1">
        <f ca="1">IFERROR(__xludf.DUMMYFUNCTION("""COMPUTED_VALUE"""),2.41)</f>
        <v>2.41</v>
      </c>
      <c r="F631" s="1">
        <f ca="1">IFERROR(__xludf.DUMMYFUNCTION("""COMPUTED_VALUE"""),166500)</f>
        <v>166500</v>
      </c>
      <c r="I631" s="1"/>
    </row>
    <row r="632" spans="1:9">
      <c r="A632" s="3">
        <f ca="1">IFERROR(__xludf.DUMMYFUNCTION("""COMPUTED_VALUE"""),30132.6666666666)</f>
        <v>30132.666666666599</v>
      </c>
      <c r="B632" s="1">
        <f ca="1">IFERROR(__xludf.DUMMYFUNCTION("""COMPUTED_VALUE"""),2.47)</f>
        <v>2.4700000000000002</v>
      </c>
      <c r="C632" s="1">
        <f ca="1">IFERROR(__xludf.DUMMYFUNCTION("""COMPUTED_VALUE"""),2.48)</f>
        <v>2.48</v>
      </c>
      <c r="D632" s="1">
        <f ca="1">IFERROR(__xludf.DUMMYFUNCTION("""COMPUTED_VALUE"""),2.43)</f>
        <v>2.4300000000000002</v>
      </c>
      <c r="E632" s="1">
        <f ca="1">IFERROR(__xludf.DUMMYFUNCTION("""COMPUTED_VALUE"""),2.47)</f>
        <v>2.4700000000000002</v>
      </c>
      <c r="F632" s="1">
        <f ca="1">IFERROR(__xludf.DUMMYFUNCTION("""COMPUTED_VALUE"""),344600)</f>
        <v>344600</v>
      </c>
      <c r="I632" s="1"/>
    </row>
    <row r="633" spans="1:9">
      <c r="A633" s="3">
        <f ca="1">IFERROR(__xludf.DUMMYFUNCTION("""COMPUTED_VALUE"""),30133.6666666666)</f>
        <v>30133.666666666599</v>
      </c>
      <c r="B633" s="1">
        <f ca="1">IFERROR(__xludf.DUMMYFUNCTION("""COMPUTED_VALUE"""),2.43)</f>
        <v>2.4300000000000002</v>
      </c>
      <c r="C633" s="1">
        <f ca="1">IFERROR(__xludf.DUMMYFUNCTION("""COMPUTED_VALUE"""),2.49)</f>
        <v>2.4900000000000002</v>
      </c>
      <c r="D633" s="1">
        <f ca="1">IFERROR(__xludf.DUMMYFUNCTION("""COMPUTED_VALUE"""),2.41)</f>
        <v>2.41</v>
      </c>
      <c r="E633" s="1">
        <f ca="1">IFERROR(__xludf.DUMMYFUNCTION("""COMPUTED_VALUE"""),2.43)</f>
        <v>2.4300000000000002</v>
      </c>
      <c r="F633" s="1">
        <f ca="1">IFERROR(__xludf.DUMMYFUNCTION("""COMPUTED_VALUE"""),199700)</f>
        <v>199700</v>
      </c>
      <c r="I633" s="1"/>
    </row>
    <row r="634" spans="1:9">
      <c r="A634" s="3">
        <f ca="1">IFERROR(__xludf.DUMMYFUNCTION("""COMPUTED_VALUE"""),30134.6666666666)</f>
        <v>30134.666666666599</v>
      </c>
      <c r="B634" s="1">
        <f ca="1">IFERROR(__xludf.DUMMYFUNCTION("""COMPUTED_VALUE"""),2.41)</f>
        <v>2.41</v>
      </c>
      <c r="C634" s="1">
        <f ca="1">IFERROR(__xludf.DUMMYFUNCTION("""COMPUTED_VALUE"""),2.43)</f>
        <v>2.4300000000000002</v>
      </c>
      <c r="D634" s="1">
        <f ca="1">IFERROR(__xludf.DUMMYFUNCTION("""COMPUTED_VALUE"""),2.4)</f>
        <v>2.4</v>
      </c>
      <c r="E634" s="1">
        <f ca="1">IFERROR(__xludf.DUMMYFUNCTION("""COMPUTED_VALUE"""),2.41)</f>
        <v>2.41</v>
      </c>
      <c r="F634" s="1">
        <f ca="1">IFERROR(__xludf.DUMMYFUNCTION("""COMPUTED_VALUE"""),98800)</f>
        <v>98800</v>
      </c>
      <c r="I634" s="1"/>
    </row>
    <row r="635" spans="1:9">
      <c r="A635" s="3">
        <f ca="1">IFERROR(__xludf.DUMMYFUNCTION("""COMPUTED_VALUE"""),30138.6666666666)</f>
        <v>30138.666666666599</v>
      </c>
      <c r="B635" s="1">
        <f ca="1">IFERROR(__xludf.DUMMYFUNCTION("""COMPUTED_VALUE"""),2.43)</f>
        <v>2.4300000000000002</v>
      </c>
      <c r="C635" s="1">
        <f ca="1">IFERROR(__xludf.DUMMYFUNCTION("""COMPUTED_VALUE"""),2.43)</f>
        <v>2.4300000000000002</v>
      </c>
      <c r="D635" s="1">
        <f ca="1">IFERROR(__xludf.DUMMYFUNCTION("""COMPUTED_VALUE"""),2.38)</f>
        <v>2.38</v>
      </c>
      <c r="E635" s="1">
        <f ca="1">IFERROR(__xludf.DUMMYFUNCTION("""COMPUTED_VALUE"""),2.43)</f>
        <v>2.4300000000000002</v>
      </c>
      <c r="F635" s="1">
        <f ca="1">IFERROR(__xludf.DUMMYFUNCTION("""COMPUTED_VALUE"""),142800)</f>
        <v>142800</v>
      </c>
      <c r="I635" s="1"/>
    </row>
    <row r="636" spans="1:9">
      <c r="A636" s="3">
        <f ca="1">IFERROR(__xludf.DUMMYFUNCTION("""COMPUTED_VALUE"""),30139.6666666666)</f>
        <v>30139.666666666599</v>
      </c>
      <c r="B636" s="1">
        <f ca="1">IFERROR(__xludf.DUMMYFUNCTION("""COMPUTED_VALUE"""),2.48)</f>
        <v>2.48</v>
      </c>
      <c r="C636" s="1">
        <f ca="1">IFERROR(__xludf.DUMMYFUNCTION("""COMPUTED_VALUE"""),2.48)</f>
        <v>2.48</v>
      </c>
      <c r="D636" s="1">
        <f ca="1">IFERROR(__xludf.DUMMYFUNCTION("""COMPUTED_VALUE"""),2.44)</f>
        <v>2.44</v>
      </c>
      <c r="E636" s="1">
        <f ca="1">IFERROR(__xludf.DUMMYFUNCTION("""COMPUTED_VALUE"""),2.48)</f>
        <v>2.48</v>
      </c>
      <c r="F636" s="1">
        <f ca="1">IFERROR(__xludf.DUMMYFUNCTION("""COMPUTED_VALUE"""),222500)</f>
        <v>222500</v>
      </c>
      <c r="I636" s="1"/>
    </row>
    <row r="637" spans="1:9">
      <c r="A637" s="3">
        <f ca="1">IFERROR(__xludf.DUMMYFUNCTION("""COMPUTED_VALUE"""),30140.6666666666)</f>
        <v>30140.666666666599</v>
      </c>
      <c r="B637" s="1">
        <f ca="1">IFERROR(__xludf.DUMMYFUNCTION("""COMPUTED_VALUE"""),2.48)</f>
        <v>2.48</v>
      </c>
      <c r="C637" s="1">
        <f ca="1">IFERROR(__xludf.DUMMYFUNCTION("""COMPUTED_VALUE"""),2.48)</f>
        <v>2.48</v>
      </c>
      <c r="D637" s="1">
        <f ca="1">IFERROR(__xludf.DUMMYFUNCTION("""COMPUTED_VALUE"""),2.44)</f>
        <v>2.44</v>
      </c>
      <c r="E637" s="1">
        <f ca="1">IFERROR(__xludf.DUMMYFUNCTION("""COMPUTED_VALUE"""),2.48)</f>
        <v>2.48</v>
      </c>
      <c r="F637" s="1">
        <f ca="1">IFERROR(__xludf.DUMMYFUNCTION("""COMPUTED_VALUE"""),159600)</f>
        <v>159600</v>
      </c>
      <c r="I637" s="1"/>
    </row>
    <row r="638" spans="1:9">
      <c r="A638" s="3">
        <f ca="1">IFERROR(__xludf.DUMMYFUNCTION("""COMPUTED_VALUE"""),30141.6666666666)</f>
        <v>30141.666666666599</v>
      </c>
      <c r="B638" s="1">
        <f ca="1">IFERROR(__xludf.DUMMYFUNCTION("""COMPUTED_VALUE"""),2.52)</f>
        <v>2.52</v>
      </c>
      <c r="C638" s="1">
        <f ca="1">IFERROR(__xludf.DUMMYFUNCTION("""COMPUTED_VALUE"""),2.54)</f>
        <v>2.54</v>
      </c>
      <c r="D638" s="1">
        <f ca="1">IFERROR(__xludf.DUMMYFUNCTION("""COMPUTED_VALUE"""),2.48)</f>
        <v>2.48</v>
      </c>
      <c r="E638" s="1">
        <f ca="1">IFERROR(__xludf.DUMMYFUNCTION("""COMPUTED_VALUE"""),2.52)</f>
        <v>2.52</v>
      </c>
      <c r="F638" s="1">
        <f ca="1">IFERROR(__xludf.DUMMYFUNCTION("""COMPUTED_VALUE"""),225100)</f>
        <v>225100</v>
      </c>
      <c r="I638" s="1"/>
    </row>
    <row r="639" spans="1:9">
      <c r="A639" s="3">
        <f ca="1">IFERROR(__xludf.DUMMYFUNCTION("""COMPUTED_VALUE"""),30144.6666666666)</f>
        <v>30144.666666666599</v>
      </c>
      <c r="B639" s="1">
        <f ca="1">IFERROR(__xludf.DUMMYFUNCTION("""COMPUTED_VALUE"""),2.56)</f>
        <v>2.56</v>
      </c>
      <c r="C639" s="1">
        <f ca="1">IFERROR(__xludf.DUMMYFUNCTION("""COMPUTED_VALUE"""),2.59)</f>
        <v>2.59</v>
      </c>
      <c r="D639" s="1">
        <f ca="1">IFERROR(__xludf.DUMMYFUNCTION("""COMPUTED_VALUE"""),2.54)</f>
        <v>2.54</v>
      </c>
      <c r="E639" s="1">
        <f ca="1">IFERROR(__xludf.DUMMYFUNCTION("""COMPUTED_VALUE"""),2.56)</f>
        <v>2.56</v>
      </c>
      <c r="F639" s="1">
        <f ca="1">IFERROR(__xludf.DUMMYFUNCTION("""COMPUTED_VALUE"""),355300)</f>
        <v>355300</v>
      </c>
      <c r="I639" s="1"/>
    </row>
    <row r="640" spans="1:9">
      <c r="A640" s="3">
        <f ca="1">IFERROR(__xludf.DUMMYFUNCTION("""COMPUTED_VALUE"""),30145.6666666666)</f>
        <v>30145.666666666599</v>
      </c>
      <c r="B640" s="1">
        <f ca="1">IFERROR(__xludf.DUMMYFUNCTION("""COMPUTED_VALUE"""),2.61)</f>
        <v>2.61</v>
      </c>
      <c r="C640" s="1">
        <f ca="1">IFERROR(__xludf.DUMMYFUNCTION("""COMPUTED_VALUE"""),2.62)</f>
        <v>2.62</v>
      </c>
      <c r="D640" s="1">
        <f ca="1">IFERROR(__xludf.DUMMYFUNCTION("""COMPUTED_VALUE"""),2.56)</f>
        <v>2.56</v>
      </c>
      <c r="E640" s="1">
        <f ca="1">IFERROR(__xludf.DUMMYFUNCTION("""COMPUTED_VALUE"""),2.61)</f>
        <v>2.61</v>
      </c>
      <c r="F640" s="1">
        <f ca="1">IFERROR(__xludf.DUMMYFUNCTION("""COMPUTED_VALUE"""),249500)</f>
        <v>249500</v>
      </c>
      <c r="I640" s="1"/>
    </row>
    <row r="641" spans="1:9">
      <c r="A641" s="3">
        <f ca="1">IFERROR(__xludf.DUMMYFUNCTION("""COMPUTED_VALUE"""),30146.6666666666)</f>
        <v>30146.666666666599</v>
      </c>
      <c r="B641" s="1">
        <f ca="1">IFERROR(__xludf.DUMMYFUNCTION("""COMPUTED_VALUE"""),2.64)</f>
        <v>2.64</v>
      </c>
      <c r="C641" s="1">
        <f ca="1">IFERROR(__xludf.DUMMYFUNCTION("""COMPUTED_VALUE"""),2.64)</f>
        <v>2.64</v>
      </c>
      <c r="D641" s="1">
        <f ca="1">IFERROR(__xludf.DUMMYFUNCTION("""COMPUTED_VALUE"""),2.58)</f>
        <v>2.58</v>
      </c>
      <c r="E641" s="1">
        <f ca="1">IFERROR(__xludf.DUMMYFUNCTION("""COMPUTED_VALUE"""),2.64)</f>
        <v>2.64</v>
      </c>
      <c r="F641" s="1">
        <f ca="1">IFERROR(__xludf.DUMMYFUNCTION("""COMPUTED_VALUE"""),251200)</f>
        <v>251200</v>
      </c>
      <c r="I641" s="1"/>
    </row>
    <row r="642" spans="1:9">
      <c r="A642" s="3">
        <f ca="1">IFERROR(__xludf.DUMMYFUNCTION("""COMPUTED_VALUE"""),30147.6666666666)</f>
        <v>30147.666666666599</v>
      </c>
      <c r="B642" s="1">
        <f ca="1">IFERROR(__xludf.DUMMYFUNCTION("""COMPUTED_VALUE"""),2.62)</f>
        <v>2.62</v>
      </c>
      <c r="C642" s="1">
        <f ca="1">IFERROR(__xludf.DUMMYFUNCTION("""COMPUTED_VALUE"""),2.66)</f>
        <v>2.66</v>
      </c>
      <c r="D642" s="1">
        <f ca="1">IFERROR(__xludf.DUMMYFUNCTION("""COMPUTED_VALUE"""),2.61)</f>
        <v>2.61</v>
      </c>
      <c r="E642" s="1">
        <f ca="1">IFERROR(__xludf.DUMMYFUNCTION("""COMPUTED_VALUE"""),2.62)</f>
        <v>2.62</v>
      </c>
      <c r="F642" s="1">
        <f ca="1">IFERROR(__xludf.DUMMYFUNCTION("""COMPUTED_VALUE"""),201500)</f>
        <v>201500</v>
      </c>
      <c r="I642" s="1"/>
    </row>
    <row r="643" spans="1:9">
      <c r="A643" s="3">
        <f ca="1">IFERROR(__xludf.DUMMYFUNCTION("""COMPUTED_VALUE"""),30148.6666666666)</f>
        <v>30148.666666666599</v>
      </c>
      <c r="B643" s="1">
        <f ca="1">IFERROR(__xludf.DUMMYFUNCTION("""COMPUTED_VALUE"""),2.66)</f>
        <v>2.66</v>
      </c>
      <c r="C643" s="1">
        <f ca="1">IFERROR(__xludf.DUMMYFUNCTION("""COMPUTED_VALUE"""),2.69)</f>
        <v>2.69</v>
      </c>
      <c r="D643" s="1">
        <f ca="1">IFERROR(__xludf.DUMMYFUNCTION("""COMPUTED_VALUE"""),2.6)</f>
        <v>2.6</v>
      </c>
      <c r="E643" s="1">
        <f ca="1">IFERROR(__xludf.DUMMYFUNCTION("""COMPUTED_VALUE"""),2.66)</f>
        <v>2.66</v>
      </c>
      <c r="F643" s="1">
        <f ca="1">IFERROR(__xludf.DUMMYFUNCTION("""COMPUTED_VALUE"""),313800)</f>
        <v>313800</v>
      </c>
      <c r="I643" s="1"/>
    </row>
    <row r="644" spans="1:9">
      <c r="A644" s="3">
        <f ca="1">IFERROR(__xludf.DUMMYFUNCTION("""COMPUTED_VALUE"""),30151.6666666666)</f>
        <v>30151.666666666599</v>
      </c>
      <c r="B644" s="1">
        <f ca="1">IFERROR(__xludf.DUMMYFUNCTION("""COMPUTED_VALUE"""),2.63)</f>
        <v>2.63</v>
      </c>
      <c r="C644" s="1">
        <f ca="1">IFERROR(__xludf.DUMMYFUNCTION("""COMPUTED_VALUE"""),2.67)</f>
        <v>2.67</v>
      </c>
      <c r="D644" s="1">
        <f ca="1">IFERROR(__xludf.DUMMYFUNCTION("""COMPUTED_VALUE"""),2.62)</f>
        <v>2.62</v>
      </c>
      <c r="E644" s="1">
        <f ca="1">IFERROR(__xludf.DUMMYFUNCTION("""COMPUTED_VALUE"""),2.63)</f>
        <v>2.63</v>
      </c>
      <c r="F644" s="1">
        <f ca="1">IFERROR(__xludf.DUMMYFUNCTION("""COMPUTED_VALUE"""),97800)</f>
        <v>97800</v>
      </c>
      <c r="I644" s="1"/>
    </row>
    <row r="645" spans="1:9">
      <c r="A645" s="3">
        <f ca="1">IFERROR(__xludf.DUMMYFUNCTION("""COMPUTED_VALUE"""),30152.6666666666)</f>
        <v>30152.666666666599</v>
      </c>
      <c r="B645" s="1">
        <f ca="1">IFERROR(__xludf.DUMMYFUNCTION("""COMPUTED_VALUE"""),2.63)</f>
        <v>2.63</v>
      </c>
      <c r="C645" s="1">
        <f ca="1">IFERROR(__xludf.DUMMYFUNCTION("""COMPUTED_VALUE"""),2.66)</f>
        <v>2.66</v>
      </c>
      <c r="D645" s="1">
        <f ca="1">IFERROR(__xludf.DUMMYFUNCTION("""COMPUTED_VALUE"""),2.59)</f>
        <v>2.59</v>
      </c>
      <c r="E645" s="1">
        <f ca="1">IFERROR(__xludf.DUMMYFUNCTION("""COMPUTED_VALUE"""),2.63)</f>
        <v>2.63</v>
      </c>
      <c r="F645" s="1">
        <f ca="1">IFERROR(__xludf.DUMMYFUNCTION("""COMPUTED_VALUE"""),192600)</f>
        <v>192600</v>
      </c>
      <c r="I645" s="1"/>
    </row>
    <row r="646" spans="1:9">
      <c r="A646" s="3">
        <f ca="1">IFERROR(__xludf.DUMMYFUNCTION("""COMPUTED_VALUE"""),30153.6666666666)</f>
        <v>30153.666666666599</v>
      </c>
      <c r="B646" s="1">
        <f ca="1">IFERROR(__xludf.DUMMYFUNCTION("""COMPUTED_VALUE"""),2.6)</f>
        <v>2.6</v>
      </c>
      <c r="C646" s="1">
        <f ca="1">IFERROR(__xludf.DUMMYFUNCTION("""COMPUTED_VALUE"""),2.66)</f>
        <v>2.66</v>
      </c>
      <c r="D646" s="1">
        <f ca="1">IFERROR(__xludf.DUMMYFUNCTION("""COMPUTED_VALUE"""),2.6)</f>
        <v>2.6</v>
      </c>
      <c r="E646" s="1">
        <f ca="1">IFERROR(__xludf.DUMMYFUNCTION("""COMPUTED_VALUE"""),2.6)</f>
        <v>2.6</v>
      </c>
      <c r="F646" s="1">
        <f ca="1">IFERROR(__xludf.DUMMYFUNCTION("""COMPUTED_VALUE"""),211300)</f>
        <v>211300</v>
      </c>
      <c r="I646" s="1"/>
    </row>
    <row r="647" spans="1:9">
      <c r="A647" s="3">
        <f ca="1">IFERROR(__xludf.DUMMYFUNCTION("""COMPUTED_VALUE"""),30154.6666666666)</f>
        <v>30154.666666666599</v>
      </c>
      <c r="B647" s="1">
        <f ca="1">IFERROR(__xludf.DUMMYFUNCTION("""COMPUTED_VALUE"""),2.58)</f>
        <v>2.58</v>
      </c>
      <c r="C647" s="1">
        <f ca="1">IFERROR(__xludf.DUMMYFUNCTION("""COMPUTED_VALUE"""),2.62)</f>
        <v>2.62</v>
      </c>
      <c r="D647" s="1">
        <f ca="1">IFERROR(__xludf.DUMMYFUNCTION("""COMPUTED_VALUE"""),2.57)</f>
        <v>2.57</v>
      </c>
      <c r="E647" s="1">
        <f ca="1">IFERROR(__xludf.DUMMYFUNCTION("""COMPUTED_VALUE"""),2.58)</f>
        <v>2.58</v>
      </c>
      <c r="F647" s="1">
        <f ca="1">IFERROR(__xludf.DUMMYFUNCTION("""COMPUTED_VALUE"""),109400)</f>
        <v>109400</v>
      </c>
      <c r="I647" s="1"/>
    </row>
    <row r="648" spans="1:9">
      <c r="A648" s="3">
        <f ca="1">IFERROR(__xludf.DUMMYFUNCTION("""COMPUTED_VALUE"""),30155.6666666666)</f>
        <v>30155.666666666599</v>
      </c>
      <c r="B648" s="1">
        <f ca="1">IFERROR(__xludf.DUMMYFUNCTION("""COMPUTED_VALUE"""),2.55)</f>
        <v>2.5499999999999998</v>
      </c>
      <c r="C648" s="1">
        <f ca="1">IFERROR(__xludf.DUMMYFUNCTION("""COMPUTED_VALUE"""),2.6)</f>
        <v>2.6</v>
      </c>
      <c r="D648" s="1">
        <f ca="1">IFERROR(__xludf.DUMMYFUNCTION("""COMPUTED_VALUE"""),2.55)</f>
        <v>2.5499999999999998</v>
      </c>
      <c r="E648" s="1">
        <f ca="1">IFERROR(__xludf.DUMMYFUNCTION("""COMPUTED_VALUE"""),2.55)</f>
        <v>2.5499999999999998</v>
      </c>
      <c r="F648" s="1">
        <f ca="1">IFERROR(__xludf.DUMMYFUNCTION("""COMPUTED_VALUE"""),146400)</f>
        <v>146400</v>
      </c>
      <c r="I648" s="1"/>
    </row>
    <row r="649" spans="1:9">
      <c r="A649" s="3">
        <f ca="1">IFERROR(__xludf.DUMMYFUNCTION("""COMPUTED_VALUE"""),30158.6666666666)</f>
        <v>30158.666666666599</v>
      </c>
      <c r="B649" s="1">
        <f ca="1">IFERROR(__xludf.DUMMYFUNCTION("""COMPUTED_VALUE"""),2.54)</f>
        <v>2.54</v>
      </c>
      <c r="C649" s="1">
        <f ca="1">IFERROR(__xludf.DUMMYFUNCTION("""COMPUTED_VALUE"""),2.58)</f>
        <v>2.58</v>
      </c>
      <c r="D649" s="1">
        <f ca="1">IFERROR(__xludf.DUMMYFUNCTION("""COMPUTED_VALUE"""),2.54)</f>
        <v>2.54</v>
      </c>
      <c r="E649" s="1">
        <f ca="1">IFERROR(__xludf.DUMMYFUNCTION("""COMPUTED_VALUE"""),2.54)</f>
        <v>2.54</v>
      </c>
      <c r="F649" s="1">
        <f ca="1">IFERROR(__xludf.DUMMYFUNCTION("""COMPUTED_VALUE"""),132000)</f>
        <v>132000</v>
      </c>
      <c r="I649" s="1"/>
    </row>
    <row r="650" spans="1:9">
      <c r="A650" s="3">
        <f ca="1">IFERROR(__xludf.DUMMYFUNCTION("""COMPUTED_VALUE"""),30159.6666666666)</f>
        <v>30159.666666666599</v>
      </c>
      <c r="B650" s="1">
        <f ca="1">IFERROR(__xludf.DUMMYFUNCTION("""COMPUTED_VALUE"""),2.53)</f>
        <v>2.5299999999999998</v>
      </c>
      <c r="C650" s="1">
        <f ca="1">IFERROR(__xludf.DUMMYFUNCTION("""COMPUTED_VALUE"""),2.55)</f>
        <v>2.5499999999999998</v>
      </c>
      <c r="D650" s="1">
        <f ca="1">IFERROR(__xludf.DUMMYFUNCTION("""COMPUTED_VALUE"""),2.52)</f>
        <v>2.52</v>
      </c>
      <c r="E650" s="1">
        <f ca="1">IFERROR(__xludf.DUMMYFUNCTION("""COMPUTED_VALUE"""),2.53)</f>
        <v>2.5299999999999998</v>
      </c>
      <c r="F650" s="1">
        <f ca="1">IFERROR(__xludf.DUMMYFUNCTION("""COMPUTED_VALUE"""),188700)</f>
        <v>188700</v>
      </c>
      <c r="I650" s="1"/>
    </row>
    <row r="651" spans="1:9">
      <c r="A651" s="3">
        <f ca="1">IFERROR(__xludf.DUMMYFUNCTION("""COMPUTED_VALUE"""),30160.6666666666)</f>
        <v>30160.666666666599</v>
      </c>
      <c r="B651" s="1">
        <f ca="1">IFERROR(__xludf.DUMMYFUNCTION("""COMPUTED_VALUE"""),2.47)</f>
        <v>2.4700000000000002</v>
      </c>
      <c r="C651" s="1">
        <f ca="1">IFERROR(__xludf.DUMMYFUNCTION("""COMPUTED_VALUE"""),2.54)</f>
        <v>2.54</v>
      </c>
      <c r="D651" s="1">
        <f ca="1">IFERROR(__xludf.DUMMYFUNCTION("""COMPUTED_VALUE"""),2.45)</f>
        <v>2.4500000000000002</v>
      </c>
      <c r="E651" s="1">
        <f ca="1">IFERROR(__xludf.DUMMYFUNCTION("""COMPUTED_VALUE"""),2.47)</f>
        <v>2.4700000000000002</v>
      </c>
      <c r="F651" s="1">
        <f ca="1">IFERROR(__xludf.DUMMYFUNCTION("""COMPUTED_VALUE"""),157900)</f>
        <v>157900</v>
      </c>
      <c r="I651" s="1"/>
    </row>
    <row r="652" spans="1:9">
      <c r="A652" s="3">
        <f ca="1">IFERROR(__xludf.DUMMYFUNCTION("""COMPUTED_VALUE"""),30161.6666666666)</f>
        <v>30161.666666666599</v>
      </c>
      <c r="B652" s="1">
        <f ca="1">IFERROR(__xludf.DUMMYFUNCTION("""COMPUTED_VALUE"""),2.49)</f>
        <v>2.4900000000000002</v>
      </c>
      <c r="C652" s="1">
        <f ca="1">IFERROR(__xludf.DUMMYFUNCTION("""COMPUTED_VALUE"""),2.51)</f>
        <v>2.5099999999999998</v>
      </c>
      <c r="D652" s="1">
        <f ca="1">IFERROR(__xludf.DUMMYFUNCTION("""COMPUTED_VALUE"""),2.45)</f>
        <v>2.4500000000000002</v>
      </c>
      <c r="E652" s="1">
        <f ca="1">IFERROR(__xludf.DUMMYFUNCTION("""COMPUTED_VALUE"""),2.49)</f>
        <v>2.4900000000000002</v>
      </c>
      <c r="F652" s="1">
        <f ca="1">IFERROR(__xludf.DUMMYFUNCTION("""COMPUTED_VALUE"""),155600)</f>
        <v>155600</v>
      </c>
      <c r="I652" s="1"/>
    </row>
    <row r="653" spans="1:9">
      <c r="A653" s="3">
        <f ca="1">IFERROR(__xludf.DUMMYFUNCTION("""COMPUTED_VALUE"""),30162.6666666666)</f>
        <v>30162.666666666599</v>
      </c>
      <c r="B653" s="1">
        <f ca="1">IFERROR(__xludf.DUMMYFUNCTION("""COMPUTED_VALUE"""),2.48)</f>
        <v>2.48</v>
      </c>
      <c r="C653" s="1">
        <f ca="1">IFERROR(__xludf.DUMMYFUNCTION("""COMPUTED_VALUE"""),2.5)</f>
        <v>2.5</v>
      </c>
      <c r="D653" s="1">
        <f ca="1">IFERROR(__xludf.DUMMYFUNCTION("""COMPUTED_VALUE"""),2.48)</f>
        <v>2.48</v>
      </c>
      <c r="E653" s="1">
        <f ca="1">IFERROR(__xludf.DUMMYFUNCTION("""COMPUTED_VALUE"""),2.48)</f>
        <v>2.48</v>
      </c>
      <c r="F653" s="1">
        <f ca="1">IFERROR(__xludf.DUMMYFUNCTION("""COMPUTED_VALUE"""),164100)</f>
        <v>164100</v>
      </c>
      <c r="I653" s="1"/>
    </row>
    <row r="654" spans="1:9">
      <c r="A654" s="3">
        <f ca="1">IFERROR(__xludf.DUMMYFUNCTION("""COMPUTED_VALUE"""),30165.6666666666)</f>
        <v>30165.666666666599</v>
      </c>
      <c r="B654" s="1">
        <f ca="1">IFERROR(__xludf.DUMMYFUNCTION("""COMPUTED_VALUE"""),2.61)</f>
        <v>2.61</v>
      </c>
      <c r="C654" s="1">
        <f ca="1">IFERROR(__xludf.DUMMYFUNCTION("""COMPUTED_VALUE"""),2.61)</f>
        <v>2.61</v>
      </c>
      <c r="D654" s="1">
        <f ca="1">IFERROR(__xludf.DUMMYFUNCTION("""COMPUTED_VALUE"""),2.49)</f>
        <v>2.4900000000000002</v>
      </c>
      <c r="E654" s="1">
        <f ca="1">IFERROR(__xludf.DUMMYFUNCTION("""COMPUTED_VALUE"""),2.61)</f>
        <v>2.61</v>
      </c>
      <c r="F654" s="1">
        <f ca="1">IFERROR(__xludf.DUMMYFUNCTION("""COMPUTED_VALUE"""),208400)</f>
        <v>208400</v>
      </c>
      <c r="I654" s="1"/>
    </row>
    <row r="655" spans="1:9">
      <c r="A655" s="3">
        <f ca="1">IFERROR(__xludf.DUMMYFUNCTION("""COMPUTED_VALUE"""),30166.6666666666)</f>
        <v>30166.666666666599</v>
      </c>
      <c r="B655" s="1">
        <f ca="1">IFERROR(__xludf.DUMMYFUNCTION("""COMPUTED_VALUE"""),2.59)</f>
        <v>2.59</v>
      </c>
      <c r="C655" s="1">
        <f ca="1">IFERROR(__xludf.DUMMYFUNCTION("""COMPUTED_VALUE"""),2.64)</f>
        <v>2.64</v>
      </c>
      <c r="D655" s="1">
        <f ca="1">IFERROR(__xludf.DUMMYFUNCTION("""COMPUTED_VALUE"""),2.58)</f>
        <v>2.58</v>
      </c>
      <c r="E655" s="1">
        <f ca="1">IFERROR(__xludf.DUMMYFUNCTION("""COMPUTED_VALUE"""),2.59)</f>
        <v>2.59</v>
      </c>
      <c r="F655" s="1">
        <f ca="1">IFERROR(__xludf.DUMMYFUNCTION("""COMPUTED_VALUE"""),269000)</f>
        <v>269000</v>
      </c>
      <c r="I655" s="1"/>
    </row>
    <row r="656" spans="1:9">
      <c r="A656" s="3">
        <f ca="1">IFERROR(__xludf.DUMMYFUNCTION("""COMPUTED_VALUE"""),30167.6666666666)</f>
        <v>30167.666666666599</v>
      </c>
      <c r="B656" s="1">
        <f ca="1">IFERROR(__xludf.DUMMYFUNCTION("""COMPUTED_VALUE"""),2.49)</f>
        <v>2.4900000000000002</v>
      </c>
      <c r="C656" s="1">
        <f ca="1">IFERROR(__xludf.DUMMYFUNCTION("""COMPUTED_VALUE"""),2.58)</f>
        <v>2.58</v>
      </c>
      <c r="D656" s="1">
        <f ca="1">IFERROR(__xludf.DUMMYFUNCTION("""COMPUTED_VALUE"""),2.48)</f>
        <v>2.48</v>
      </c>
      <c r="E656" s="1">
        <f ca="1">IFERROR(__xludf.DUMMYFUNCTION("""COMPUTED_VALUE"""),2.49)</f>
        <v>2.4900000000000002</v>
      </c>
      <c r="F656" s="1">
        <f ca="1">IFERROR(__xludf.DUMMYFUNCTION("""COMPUTED_VALUE"""),330100)</f>
        <v>330100</v>
      </c>
      <c r="I656" s="1"/>
    </row>
    <row r="657" spans="1:9">
      <c r="A657" s="3">
        <f ca="1">IFERROR(__xludf.DUMMYFUNCTION("""COMPUTED_VALUE"""),30168.6666666666)</f>
        <v>30168.666666666599</v>
      </c>
      <c r="B657" s="1">
        <f ca="1">IFERROR(__xludf.DUMMYFUNCTION("""COMPUTED_VALUE"""),2.46)</f>
        <v>2.46</v>
      </c>
      <c r="C657" s="1">
        <f ca="1">IFERROR(__xludf.DUMMYFUNCTION("""COMPUTED_VALUE"""),2.49)</f>
        <v>2.4900000000000002</v>
      </c>
      <c r="D657" s="1">
        <f ca="1">IFERROR(__xludf.DUMMYFUNCTION("""COMPUTED_VALUE"""),2.46)</f>
        <v>2.46</v>
      </c>
      <c r="E657" s="1">
        <f ca="1">IFERROR(__xludf.DUMMYFUNCTION("""COMPUTED_VALUE"""),2.46)</f>
        <v>2.46</v>
      </c>
      <c r="F657" s="1">
        <f ca="1">IFERROR(__xludf.DUMMYFUNCTION("""COMPUTED_VALUE"""),170800)</f>
        <v>170800</v>
      </c>
      <c r="I657" s="1"/>
    </row>
    <row r="658" spans="1:9">
      <c r="A658" s="3">
        <f ca="1">IFERROR(__xludf.DUMMYFUNCTION("""COMPUTED_VALUE"""),30169.6666666666)</f>
        <v>30169.666666666599</v>
      </c>
      <c r="B658" s="1">
        <f ca="1">IFERROR(__xludf.DUMMYFUNCTION("""COMPUTED_VALUE"""),2.45)</f>
        <v>2.4500000000000002</v>
      </c>
      <c r="C658" s="1">
        <f ca="1">IFERROR(__xludf.DUMMYFUNCTION("""COMPUTED_VALUE"""),2.49)</f>
        <v>2.4900000000000002</v>
      </c>
      <c r="D658" s="1">
        <f ca="1">IFERROR(__xludf.DUMMYFUNCTION("""COMPUTED_VALUE"""),2.45)</f>
        <v>2.4500000000000002</v>
      </c>
      <c r="E658" s="1">
        <f ca="1">IFERROR(__xludf.DUMMYFUNCTION("""COMPUTED_VALUE"""),2.45)</f>
        <v>2.4500000000000002</v>
      </c>
      <c r="F658" s="1">
        <f ca="1">IFERROR(__xludf.DUMMYFUNCTION("""COMPUTED_VALUE"""),142300)</f>
        <v>142300</v>
      </c>
      <c r="I658" s="1"/>
    </row>
    <row r="659" spans="1:9">
      <c r="A659" s="3">
        <f ca="1">IFERROR(__xludf.DUMMYFUNCTION("""COMPUTED_VALUE"""),30172.6666666666)</f>
        <v>30172.666666666599</v>
      </c>
      <c r="B659" s="1">
        <f ca="1">IFERROR(__xludf.DUMMYFUNCTION("""COMPUTED_VALUE"""),2.43)</f>
        <v>2.4300000000000002</v>
      </c>
      <c r="C659" s="1">
        <f ca="1">IFERROR(__xludf.DUMMYFUNCTION("""COMPUTED_VALUE"""),2.45)</f>
        <v>2.4500000000000002</v>
      </c>
      <c r="D659" s="1">
        <f ca="1">IFERROR(__xludf.DUMMYFUNCTION("""COMPUTED_VALUE"""),2.41)</f>
        <v>2.41</v>
      </c>
      <c r="E659" s="1">
        <f ca="1">IFERROR(__xludf.DUMMYFUNCTION("""COMPUTED_VALUE"""),2.43)</f>
        <v>2.4300000000000002</v>
      </c>
      <c r="F659" s="1">
        <f ca="1">IFERROR(__xludf.DUMMYFUNCTION("""COMPUTED_VALUE"""),135600)</f>
        <v>135600</v>
      </c>
      <c r="I659" s="1"/>
    </row>
    <row r="660" spans="1:9">
      <c r="A660" s="3">
        <f ca="1">IFERROR(__xludf.DUMMYFUNCTION("""COMPUTED_VALUE"""),30173.6666666666)</f>
        <v>30173.666666666599</v>
      </c>
      <c r="B660" s="1">
        <f ca="1">IFERROR(__xludf.DUMMYFUNCTION("""COMPUTED_VALUE"""),2.45)</f>
        <v>2.4500000000000002</v>
      </c>
      <c r="C660" s="1">
        <f ca="1">IFERROR(__xludf.DUMMYFUNCTION("""COMPUTED_VALUE"""),2.48)</f>
        <v>2.48</v>
      </c>
      <c r="D660" s="1">
        <f ca="1">IFERROR(__xludf.DUMMYFUNCTION("""COMPUTED_VALUE"""),2.45)</f>
        <v>2.4500000000000002</v>
      </c>
      <c r="E660" s="1">
        <f ca="1">IFERROR(__xludf.DUMMYFUNCTION("""COMPUTED_VALUE"""),2.45)</f>
        <v>2.4500000000000002</v>
      </c>
      <c r="F660" s="1">
        <f ca="1">IFERROR(__xludf.DUMMYFUNCTION("""COMPUTED_VALUE"""),185700)</f>
        <v>185700</v>
      </c>
      <c r="I660" s="1"/>
    </row>
    <row r="661" spans="1:9">
      <c r="A661" s="3">
        <f ca="1">IFERROR(__xludf.DUMMYFUNCTION("""COMPUTED_VALUE"""),30174.6666666666)</f>
        <v>30174.666666666599</v>
      </c>
      <c r="B661" s="1">
        <f ca="1">IFERROR(__xludf.DUMMYFUNCTION("""COMPUTED_VALUE"""),2.45)</f>
        <v>2.4500000000000002</v>
      </c>
      <c r="C661" s="1">
        <f ca="1">IFERROR(__xludf.DUMMYFUNCTION("""COMPUTED_VALUE"""),2.47)</f>
        <v>2.4700000000000002</v>
      </c>
      <c r="D661" s="1">
        <f ca="1">IFERROR(__xludf.DUMMYFUNCTION("""COMPUTED_VALUE"""),2.44)</f>
        <v>2.44</v>
      </c>
      <c r="E661" s="1">
        <f ca="1">IFERROR(__xludf.DUMMYFUNCTION("""COMPUTED_VALUE"""),2.45)</f>
        <v>2.4500000000000002</v>
      </c>
      <c r="F661" s="1">
        <f ca="1">IFERROR(__xludf.DUMMYFUNCTION("""COMPUTED_VALUE"""),160500)</f>
        <v>160500</v>
      </c>
      <c r="I661" s="1"/>
    </row>
    <row r="662" spans="1:9">
      <c r="A662" s="3">
        <f ca="1">IFERROR(__xludf.DUMMYFUNCTION("""COMPUTED_VALUE"""),30175.6666666666)</f>
        <v>30175.666666666599</v>
      </c>
      <c r="B662" s="1">
        <f ca="1">IFERROR(__xludf.DUMMYFUNCTION("""COMPUTED_VALUE"""),2.43)</f>
        <v>2.4300000000000002</v>
      </c>
      <c r="C662" s="1">
        <f ca="1">IFERROR(__xludf.DUMMYFUNCTION("""COMPUTED_VALUE"""),2.48)</f>
        <v>2.48</v>
      </c>
      <c r="D662" s="1">
        <f ca="1">IFERROR(__xludf.DUMMYFUNCTION("""COMPUTED_VALUE"""),2.43)</f>
        <v>2.4300000000000002</v>
      </c>
      <c r="E662" s="1">
        <f ca="1">IFERROR(__xludf.DUMMYFUNCTION("""COMPUTED_VALUE"""),2.43)</f>
        <v>2.4300000000000002</v>
      </c>
      <c r="F662" s="1">
        <f ca="1">IFERROR(__xludf.DUMMYFUNCTION("""COMPUTED_VALUE"""),225800)</f>
        <v>225800</v>
      </c>
      <c r="I662" s="1"/>
    </row>
    <row r="663" spans="1:9">
      <c r="A663" s="3">
        <f ca="1">IFERROR(__xludf.DUMMYFUNCTION("""COMPUTED_VALUE"""),30176.6666666666)</f>
        <v>30176.666666666599</v>
      </c>
      <c r="B663" s="1">
        <f ca="1">IFERROR(__xludf.DUMMYFUNCTION("""COMPUTED_VALUE"""),2.41)</f>
        <v>2.41</v>
      </c>
      <c r="C663" s="1">
        <f ca="1">IFERROR(__xludf.DUMMYFUNCTION("""COMPUTED_VALUE"""),2.41)</f>
        <v>2.41</v>
      </c>
      <c r="D663" s="1">
        <f ca="1">IFERROR(__xludf.DUMMYFUNCTION("""COMPUTED_VALUE"""),2.38)</f>
        <v>2.38</v>
      </c>
      <c r="E663" s="1">
        <f ca="1">IFERROR(__xludf.DUMMYFUNCTION("""COMPUTED_VALUE"""),2.41)</f>
        <v>2.41</v>
      </c>
      <c r="F663" s="1">
        <f ca="1">IFERROR(__xludf.DUMMYFUNCTION("""COMPUTED_VALUE"""),288900)</f>
        <v>288900</v>
      </c>
      <c r="I663" s="1"/>
    </row>
    <row r="664" spans="1:9">
      <c r="A664" s="3">
        <f ca="1">IFERROR(__xludf.DUMMYFUNCTION("""COMPUTED_VALUE"""),30179.6666666666)</f>
        <v>30179.666666666599</v>
      </c>
      <c r="B664" s="1">
        <f ca="1">IFERROR(__xludf.DUMMYFUNCTION("""COMPUTED_VALUE"""),2.39)</f>
        <v>2.39</v>
      </c>
      <c r="C664" s="1">
        <f ca="1">IFERROR(__xludf.DUMMYFUNCTION("""COMPUTED_VALUE"""),2.43)</f>
        <v>2.4300000000000002</v>
      </c>
      <c r="D664" s="1">
        <f ca="1">IFERROR(__xludf.DUMMYFUNCTION("""COMPUTED_VALUE"""),2.39)</f>
        <v>2.39</v>
      </c>
      <c r="E664" s="1">
        <f ca="1">IFERROR(__xludf.DUMMYFUNCTION("""COMPUTED_VALUE"""),2.39)</f>
        <v>2.39</v>
      </c>
      <c r="F664" s="1">
        <f ca="1">IFERROR(__xludf.DUMMYFUNCTION("""COMPUTED_VALUE"""),298900)</f>
        <v>298900</v>
      </c>
      <c r="I664" s="1"/>
    </row>
    <row r="665" spans="1:9">
      <c r="A665" s="3">
        <f ca="1">IFERROR(__xludf.DUMMYFUNCTION("""COMPUTED_VALUE"""),30180.6666666666)</f>
        <v>30180.666666666599</v>
      </c>
      <c r="B665" s="1">
        <f ca="1">IFERROR(__xludf.DUMMYFUNCTION("""COMPUTED_VALUE"""),2.56)</f>
        <v>2.56</v>
      </c>
      <c r="C665" s="1">
        <f ca="1">IFERROR(__xludf.DUMMYFUNCTION("""COMPUTED_VALUE"""),2.56)</f>
        <v>2.56</v>
      </c>
      <c r="D665" s="1">
        <f ca="1">IFERROR(__xludf.DUMMYFUNCTION("""COMPUTED_VALUE"""),2.41)</f>
        <v>2.41</v>
      </c>
      <c r="E665" s="1">
        <f ca="1">IFERROR(__xludf.DUMMYFUNCTION("""COMPUTED_VALUE"""),2.56)</f>
        <v>2.56</v>
      </c>
      <c r="F665" s="1">
        <f ca="1">IFERROR(__xludf.DUMMYFUNCTION("""COMPUTED_VALUE"""),266200)</f>
        <v>266200</v>
      </c>
      <c r="I665" s="1"/>
    </row>
    <row r="666" spans="1:9">
      <c r="A666" s="3">
        <f ca="1">IFERROR(__xludf.DUMMYFUNCTION("""COMPUTED_VALUE"""),30181.6666666666)</f>
        <v>30181.666666666599</v>
      </c>
      <c r="B666" s="1">
        <f ca="1">IFERROR(__xludf.DUMMYFUNCTION("""COMPUTED_VALUE"""),2.52)</f>
        <v>2.52</v>
      </c>
      <c r="C666" s="1">
        <f ca="1">IFERROR(__xludf.DUMMYFUNCTION("""COMPUTED_VALUE"""),2.69)</f>
        <v>2.69</v>
      </c>
      <c r="D666" s="1">
        <f ca="1">IFERROR(__xludf.DUMMYFUNCTION("""COMPUTED_VALUE"""),2.52)</f>
        <v>2.52</v>
      </c>
      <c r="E666" s="1">
        <f ca="1">IFERROR(__xludf.DUMMYFUNCTION("""COMPUTED_VALUE"""),2.52)</f>
        <v>2.52</v>
      </c>
      <c r="F666" s="1">
        <f ca="1">IFERROR(__xludf.DUMMYFUNCTION("""COMPUTED_VALUE"""),681500)</f>
        <v>681500</v>
      </c>
      <c r="I666" s="1"/>
    </row>
    <row r="667" spans="1:9">
      <c r="A667" s="3">
        <f ca="1">IFERROR(__xludf.DUMMYFUNCTION("""COMPUTED_VALUE"""),30182.6666666666)</f>
        <v>30182.666666666599</v>
      </c>
      <c r="B667" s="1">
        <f ca="1">IFERROR(__xludf.DUMMYFUNCTION("""COMPUTED_VALUE"""),2.6)</f>
        <v>2.6</v>
      </c>
      <c r="C667" s="1">
        <f ca="1">IFERROR(__xludf.DUMMYFUNCTION("""COMPUTED_VALUE"""),2.63)</f>
        <v>2.63</v>
      </c>
      <c r="D667" s="1">
        <f ca="1">IFERROR(__xludf.DUMMYFUNCTION("""COMPUTED_VALUE"""),2.52)</f>
        <v>2.52</v>
      </c>
      <c r="E667" s="1">
        <f ca="1">IFERROR(__xludf.DUMMYFUNCTION("""COMPUTED_VALUE"""),2.6)</f>
        <v>2.6</v>
      </c>
      <c r="F667" s="1">
        <f ca="1">IFERROR(__xludf.DUMMYFUNCTION("""COMPUTED_VALUE"""),277400)</f>
        <v>277400</v>
      </c>
      <c r="I667" s="1"/>
    </row>
    <row r="668" spans="1:9">
      <c r="A668" s="3">
        <f ca="1">IFERROR(__xludf.DUMMYFUNCTION("""COMPUTED_VALUE"""),30183.6666666666)</f>
        <v>30183.666666666599</v>
      </c>
      <c r="B668" s="1">
        <f ca="1">IFERROR(__xludf.DUMMYFUNCTION("""COMPUTED_VALUE"""),2.7)</f>
        <v>2.7</v>
      </c>
      <c r="C668" s="1">
        <f ca="1">IFERROR(__xludf.DUMMYFUNCTION("""COMPUTED_VALUE"""),2.72)</f>
        <v>2.72</v>
      </c>
      <c r="D668" s="1">
        <f ca="1">IFERROR(__xludf.DUMMYFUNCTION("""COMPUTED_VALUE"""),2.61)</f>
        <v>2.61</v>
      </c>
      <c r="E668" s="1">
        <f ca="1">IFERROR(__xludf.DUMMYFUNCTION("""COMPUTED_VALUE"""),2.7)</f>
        <v>2.7</v>
      </c>
      <c r="F668" s="1">
        <f ca="1">IFERROR(__xludf.DUMMYFUNCTION("""COMPUTED_VALUE"""),382500)</f>
        <v>382500</v>
      </c>
      <c r="I668" s="1"/>
    </row>
    <row r="669" spans="1:9">
      <c r="A669" s="3">
        <f ca="1">IFERROR(__xludf.DUMMYFUNCTION("""COMPUTED_VALUE"""),30186.6666666666)</f>
        <v>30186.666666666599</v>
      </c>
      <c r="B669" s="1">
        <f ca="1">IFERROR(__xludf.DUMMYFUNCTION("""COMPUTED_VALUE"""),2.75)</f>
        <v>2.75</v>
      </c>
      <c r="C669" s="1">
        <f ca="1">IFERROR(__xludf.DUMMYFUNCTION("""COMPUTED_VALUE"""),2.75)</f>
        <v>2.75</v>
      </c>
      <c r="D669" s="1">
        <f ca="1">IFERROR(__xludf.DUMMYFUNCTION("""COMPUTED_VALUE"""),2.66)</f>
        <v>2.66</v>
      </c>
      <c r="E669" s="1">
        <f ca="1">IFERROR(__xludf.DUMMYFUNCTION("""COMPUTED_VALUE"""),2.75)</f>
        <v>2.75</v>
      </c>
      <c r="F669" s="1">
        <f ca="1">IFERROR(__xludf.DUMMYFUNCTION("""COMPUTED_VALUE"""),458600)</f>
        <v>458600</v>
      </c>
      <c r="I669" s="1"/>
    </row>
    <row r="670" spans="1:9">
      <c r="A670" s="3">
        <f ca="1">IFERROR(__xludf.DUMMYFUNCTION("""COMPUTED_VALUE"""),30187.6666666666)</f>
        <v>30187.666666666599</v>
      </c>
      <c r="B670" s="1">
        <f ca="1">IFERROR(__xludf.DUMMYFUNCTION("""COMPUTED_VALUE"""),2.71)</f>
        <v>2.71</v>
      </c>
      <c r="C670" s="1">
        <f ca="1">IFERROR(__xludf.DUMMYFUNCTION("""COMPUTED_VALUE"""),2.76)</f>
        <v>2.76</v>
      </c>
      <c r="D670" s="1">
        <f ca="1">IFERROR(__xludf.DUMMYFUNCTION("""COMPUTED_VALUE"""),2.7)</f>
        <v>2.7</v>
      </c>
      <c r="E670" s="1">
        <f ca="1">IFERROR(__xludf.DUMMYFUNCTION("""COMPUTED_VALUE"""),2.71)</f>
        <v>2.71</v>
      </c>
      <c r="F670" s="1">
        <f ca="1">IFERROR(__xludf.DUMMYFUNCTION("""COMPUTED_VALUE"""),459400)</f>
        <v>459400</v>
      </c>
      <c r="I670" s="1"/>
    </row>
    <row r="671" spans="1:9">
      <c r="A671" s="3">
        <f ca="1">IFERROR(__xludf.DUMMYFUNCTION("""COMPUTED_VALUE"""),30188.6666666666)</f>
        <v>30188.666666666599</v>
      </c>
      <c r="B671" s="1">
        <f ca="1">IFERROR(__xludf.DUMMYFUNCTION("""COMPUTED_VALUE"""),2.77)</f>
        <v>2.77</v>
      </c>
      <c r="C671" s="1">
        <f ca="1">IFERROR(__xludf.DUMMYFUNCTION("""COMPUTED_VALUE"""),2.79)</f>
        <v>2.79</v>
      </c>
      <c r="D671" s="1">
        <f ca="1">IFERROR(__xludf.DUMMYFUNCTION("""COMPUTED_VALUE"""),2.7)</f>
        <v>2.7</v>
      </c>
      <c r="E671" s="1">
        <f ca="1">IFERROR(__xludf.DUMMYFUNCTION("""COMPUTED_VALUE"""),2.77)</f>
        <v>2.77</v>
      </c>
      <c r="F671" s="1">
        <f ca="1">IFERROR(__xludf.DUMMYFUNCTION("""COMPUTED_VALUE"""),240100)</f>
        <v>240100</v>
      </c>
      <c r="I671" s="1"/>
    </row>
    <row r="672" spans="1:9">
      <c r="A672" s="3">
        <f ca="1">IFERROR(__xludf.DUMMYFUNCTION("""COMPUTED_VALUE"""),30189.6666666666)</f>
        <v>30189.666666666599</v>
      </c>
      <c r="B672" s="1">
        <f ca="1">IFERROR(__xludf.DUMMYFUNCTION("""COMPUTED_VALUE"""),2.81)</f>
        <v>2.81</v>
      </c>
      <c r="C672" s="1">
        <f ca="1">IFERROR(__xludf.DUMMYFUNCTION("""COMPUTED_VALUE"""),2.84)</f>
        <v>2.84</v>
      </c>
      <c r="D672" s="1">
        <f ca="1">IFERROR(__xludf.DUMMYFUNCTION("""COMPUTED_VALUE"""),2.75)</f>
        <v>2.75</v>
      </c>
      <c r="E672" s="1">
        <f ca="1">IFERROR(__xludf.DUMMYFUNCTION("""COMPUTED_VALUE"""),2.81)</f>
        <v>2.81</v>
      </c>
      <c r="F672" s="1">
        <f ca="1">IFERROR(__xludf.DUMMYFUNCTION("""COMPUTED_VALUE"""),552600)</f>
        <v>552600</v>
      </c>
      <c r="I672" s="1"/>
    </row>
    <row r="673" spans="1:9">
      <c r="A673" s="3">
        <f ca="1">IFERROR(__xludf.DUMMYFUNCTION("""COMPUTED_VALUE"""),30190.6666666666)</f>
        <v>30190.666666666599</v>
      </c>
      <c r="B673" s="1">
        <f ca="1">IFERROR(__xludf.DUMMYFUNCTION("""COMPUTED_VALUE"""),2.73)</f>
        <v>2.73</v>
      </c>
      <c r="C673" s="1">
        <f ca="1">IFERROR(__xludf.DUMMYFUNCTION("""COMPUTED_VALUE"""),2.8)</f>
        <v>2.8</v>
      </c>
      <c r="D673" s="1">
        <f ca="1">IFERROR(__xludf.DUMMYFUNCTION("""COMPUTED_VALUE"""),2.73)</f>
        <v>2.73</v>
      </c>
      <c r="E673" s="1">
        <f ca="1">IFERROR(__xludf.DUMMYFUNCTION("""COMPUTED_VALUE"""),2.73)</f>
        <v>2.73</v>
      </c>
      <c r="F673" s="1">
        <f ca="1">IFERROR(__xludf.DUMMYFUNCTION("""COMPUTED_VALUE"""),182200)</f>
        <v>182200</v>
      </c>
      <c r="I673" s="1"/>
    </row>
    <row r="674" spans="1:9">
      <c r="A674" s="3">
        <f ca="1">IFERROR(__xludf.DUMMYFUNCTION("""COMPUTED_VALUE"""),30193.6666666666)</f>
        <v>30193.666666666599</v>
      </c>
      <c r="B674" s="1">
        <f ca="1">IFERROR(__xludf.DUMMYFUNCTION("""COMPUTED_VALUE"""),2.72)</f>
        <v>2.72</v>
      </c>
      <c r="C674" s="1">
        <f ca="1">IFERROR(__xludf.DUMMYFUNCTION("""COMPUTED_VALUE"""),2.72)</f>
        <v>2.72</v>
      </c>
      <c r="D674" s="1">
        <f ca="1">IFERROR(__xludf.DUMMYFUNCTION("""COMPUTED_VALUE"""),2.64)</f>
        <v>2.64</v>
      </c>
      <c r="E674" s="1">
        <f ca="1">IFERROR(__xludf.DUMMYFUNCTION("""COMPUTED_VALUE"""),2.72)</f>
        <v>2.72</v>
      </c>
      <c r="F674" s="1">
        <f ca="1">IFERROR(__xludf.DUMMYFUNCTION("""COMPUTED_VALUE"""),425100)</f>
        <v>425100</v>
      </c>
      <c r="I674" s="1"/>
    </row>
    <row r="675" spans="1:9">
      <c r="A675" s="3">
        <f ca="1">IFERROR(__xludf.DUMMYFUNCTION("""COMPUTED_VALUE"""),30194.6666666666)</f>
        <v>30194.666666666599</v>
      </c>
      <c r="B675" s="1">
        <f ca="1">IFERROR(__xludf.DUMMYFUNCTION("""COMPUTED_VALUE"""),2.81)</f>
        <v>2.81</v>
      </c>
      <c r="C675" s="1">
        <f ca="1">IFERROR(__xludf.DUMMYFUNCTION("""COMPUTED_VALUE"""),2.82)</f>
        <v>2.82</v>
      </c>
      <c r="D675" s="1">
        <f ca="1">IFERROR(__xludf.DUMMYFUNCTION("""COMPUTED_VALUE"""),2.7)</f>
        <v>2.7</v>
      </c>
      <c r="E675" s="1">
        <f ca="1">IFERROR(__xludf.DUMMYFUNCTION("""COMPUTED_VALUE"""),2.81)</f>
        <v>2.81</v>
      </c>
      <c r="F675" s="1">
        <f ca="1">IFERROR(__xludf.DUMMYFUNCTION("""COMPUTED_VALUE"""),539000)</f>
        <v>539000</v>
      </c>
      <c r="I675" s="1"/>
    </row>
    <row r="676" spans="1:9">
      <c r="A676" s="3">
        <f ca="1">IFERROR(__xludf.DUMMYFUNCTION("""COMPUTED_VALUE"""),30195.6666666666)</f>
        <v>30195.666666666599</v>
      </c>
      <c r="B676" s="1">
        <f ca="1">IFERROR(__xludf.DUMMYFUNCTION("""COMPUTED_VALUE"""),2.75)</f>
        <v>2.75</v>
      </c>
      <c r="C676" s="1">
        <f ca="1">IFERROR(__xludf.DUMMYFUNCTION("""COMPUTED_VALUE"""),2.81)</f>
        <v>2.81</v>
      </c>
      <c r="D676" s="1">
        <f ca="1">IFERROR(__xludf.DUMMYFUNCTION("""COMPUTED_VALUE"""),2.73)</f>
        <v>2.73</v>
      </c>
      <c r="E676" s="1">
        <f ca="1">IFERROR(__xludf.DUMMYFUNCTION("""COMPUTED_VALUE"""),2.75)</f>
        <v>2.75</v>
      </c>
      <c r="F676" s="1">
        <f ca="1">IFERROR(__xludf.DUMMYFUNCTION("""COMPUTED_VALUE"""),326000)</f>
        <v>326000</v>
      </c>
      <c r="I676" s="1"/>
    </row>
    <row r="677" spans="1:9">
      <c r="A677" s="3">
        <f ca="1">IFERROR(__xludf.DUMMYFUNCTION("""COMPUTED_VALUE"""),30196.6666666666)</f>
        <v>30196.666666666599</v>
      </c>
      <c r="B677" s="1">
        <f ca="1">IFERROR(__xludf.DUMMYFUNCTION("""COMPUTED_VALUE"""),2.79)</f>
        <v>2.79</v>
      </c>
      <c r="C677" s="1">
        <f ca="1">IFERROR(__xludf.DUMMYFUNCTION("""COMPUTED_VALUE"""),2.8)</f>
        <v>2.8</v>
      </c>
      <c r="D677" s="1">
        <f ca="1">IFERROR(__xludf.DUMMYFUNCTION("""COMPUTED_VALUE"""),2.72)</f>
        <v>2.72</v>
      </c>
      <c r="E677" s="1">
        <f ca="1">IFERROR(__xludf.DUMMYFUNCTION("""COMPUTED_VALUE"""),2.79)</f>
        <v>2.79</v>
      </c>
      <c r="F677" s="1">
        <f ca="1">IFERROR(__xludf.DUMMYFUNCTION("""COMPUTED_VALUE"""),282100)</f>
        <v>282100</v>
      </c>
      <c r="I677" s="1"/>
    </row>
    <row r="678" spans="1:9">
      <c r="A678" s="3">
        <f ca="1">IFERROR(__xludf.DUMMYFUNCTION("""COMPUTED_VALUE"""),30197.6666666666)</f>
        <v>30197.666666666599</v>
      </c>
      <c r="B678" s="1">
        <f ca="1">IFERROR(__xludf.DUMMYFUNCTION("""COMPUTED_VALUE"""),2.88)</f>
        <v>2.88</v>
      </c>
      <c r="C678" s="1">
        <f ca="1">IFERROR(__xludf.DUMMYFUNCTION("""COMPUTED_VALUE"""),2.89)</f>
        <v>2.89</v>
      </c>
      <c r="D678" s="1">
        <f ca="1">IFERROR(__xludf.DUMMYFUNCTION("""COMPUTED_VALUE"""),2.84)</f>
        <v>2.84</v>
      </c>
      <c r="E678" s="1">
        <f ca="1">IFERROR(__xludf.DUMMYFUNCTION("""COMPUTED_VALUE"""),2.88)</f>
        <v>2.88</v>
      </c>
      <c r="F678" s="1">
        <f ca="1">IFERROR(__xludf.DUMMYFUNCTION("""COMPUTED_VALUE"""),534400)</f>
        <v>534400</v>
      </c>
      <c r="I678" s="1"/>
    </row>
    <row r="679" spans="1:9">
      <c r="A679" s="3">
        <f ca="1">IFERROR(__xludf.DUMMYFUNCTION("""COMPUTED_VALUE"""),30201.6666666666)</f>
        <v>30201.666666666599</v>
      </c>
      <c r="B679" s="1">
        <f ca="1">IFERROR(__xludf.DUMMYFUNCTION("""COMPUTED_VALUE"""),2.84)</f>
        <v>2.84</v>
      </c>
      <c r="C679" s="1">
        <f ca="1">IFERROR(__xludf.DUMMYFUNCTION("""COMPUTED_VALUE"""),2.87)</f>
        <v>2.87</v>
      </c>
      <c r="D679" s="1">
        <f ca="1">IFERROR(__xludf.DUMMYFUNCTION("""COMPUTED_VALUE"""),2.8)</f>
        <v>2.8</v>
      </c>
      <c r="E679" s="1">
        <f ca="1">IFERROR(__xludf.DUMMYFUNCTION("""COMPUTED_VALUE"""),2.84)</f>
        <v>2.84</v>
      </c>
      <c r="F679" s="1">
        <f ca="1">IFERROR(__xludf.DUMMYFUNCTION("""COMPUTED_VALUE"""),178000)</f>
        <v>178000</v>
      </c>
      <c r="I679" s="1"/>
    </row>
    <row r="680" spans="1:9">
      <c r="A680" s="3">
        <f ca="1">IFERROR(__xludf.DUMMYFUNCTION("""COMPUTED_VALUE"""),30202.6666666666)</f>
        <v>30202.666666666599</v>
      </c>
      <c r="B680" s="1">
        <f ca="1">IFERROR(__xludf.DUMMYFUNCTION("""COMPUTED_VALUE"""),2.8)</f>
        <v>2.8</v>
      </c>
      <c r="C680" s="1">
        <f ca="1">IFERROR(__xludf.DUMMYFUNCTION("""COMPUTED_VALUE"""),2.87)</f>
        <v>2.87</v>
      </c>
      <c r="D680" s="1">
        <f ca="1">IFERROR(__xludf.DUMMYFUNCTION("""COMPUTED_VALUE"""),2.8)</f>
        <v>2.8</v>
      </c>
      <c r="E680" s="1">
        <f ca="1">IFERROR(__xludf.DUMMYFUNCTION("""COMPUTED_VALUE"""),2.8)</f>
        <v>2.8</v>
      </c>
      <c r="F680" s="1">
        <f ca="1">IFERROR(__xludf.DUMMYFUNCTION("""COMPUTED_VALUE"""),188700)</f>
        <v>188700</v>
      </c>
      <c r="I680" s="1"/>
    </row>
    <row r="681" spans="1:9">
      <c r="A681" s="3">
        <f ca="1">IFERROR(__xludf.DUMMYFUNCTION("""COMPUTED_VALUE"""),30203.6666666666)</f>
        <v>30203.666666666599</v>
      </c>
      <c r="B681" s="1">
        <f ca="1">IFERROR(__xludf.DUMMYFUNCTION("""COMPUTED_VALUE"""),2.8)</f>
        <v>2.8</v>
      </c>
      <c r="C681" s="1">
        <f ca="1">IFERROR(__xludf.DUMMYFUNCTION("""COMPUTED_VALUE"""),2.84)</f>
        <v>2.84</v>
      </c>
      <c r="D681" s="1">
        <f ca="1">IFERROR(__xludf.DUMMYFUNCTION("""COMPUTED_VALUE"""),2.78)</f>
        <v>2.78</v>
      </c>
      <c r="E681" s="1">
        <f ca="1">IFERROR(__xludf.DUMMYFUNCTION("""COMPUTED_VALUE"""),2.8)</f>
        <v>2.8</v>
      </c>
      <c r="F681" s="1">
        <f ca="1">IFERROR(__xludf.DUMMYFUNCTION("""COMPUTED_VALUE"""),172300)</f>
        <v>172300</v>
      </c>
      <c r="I681" s="1"/>
    </row>
    <row r="682" spans="1:9">
      <c r="A682" s="3">
        <f ca="1">IFERROR(__xludf.DUMMYFUNCTION("""COMPUTED_VALUE"""),30204.6666666666)</f>
        <v>30204.666666666599</v>
      </c>
      <c r="B682" s="1">
        <f ca="1">IFERROR(__xludf.DUMMYFUNCTION("""COMPUTED_VALUE"""),2.76)</f>
        <v>2.76</v>
      </c>
      <c r="C682" s="1">
        <f ca="1">IFERROR(__xludf.DUMMYFUNCTION("""COMPUTED_VALUE"""),2.78)</f>
        <v>2.78</v>
      </c>
      <c r="D682" s="1">
        <f ca="1">IFERROR(__xludf.DUMMYFUNCTION("""COMPUTED_VALUE"""),2.73)</f>
        <v>2.73</v>
      </c>
      <c r="E682" s="1">
        <f ca="1">IFERROR(__xludf.DUMMYFUNCTION("""COMPUTED_VALUE"""),2.76)</f>
        <v>2.76</v>
      </c>
      <c r="F682" s="1">
        <f ca="1">IFERROR(__xludf.DUMMYFUNCTION("""COMPUTED_VALUE"""),298400)</f>
        <v>298400</v>
      </c>
      <c r="I682" s="1"/>
    </row>
    <row r="683" spans="1:9">
      <c r="A683" s="3">
        <f ca="1">IFERROR(__xludf.DUMMYFUNCTION("""COMPUTED_VALUE"""),30207.6666666666)</f>
        <v>30207.666666666599</v>
      </c>
      <c r="B683" s="1">
        <f ca="1">IFERROR(__xludf.DUMMYFUNCTION("""COMPUTED_VALUE"""),2.81)</f>
        <v>2.81</v>
      </c>
      <c r="C683" s="1">
        <f ca="1">IFERROR(__xludf.DUMMYFUNCTION("""COMPUTED_VALUE"""),2.81)</f>
        <v>2.81</v>
      </c>
      <c r="D683" s="1">
        <f ca="1">IFERROR(__xludf.DUMMYFUNCTION("""COMPUTED_VALUE"""),2.72)</f>
        <v>2.72</v>
      </c>
      <c r="E683" s="1">
        <f ca="1">IFERROR(__xludf.DUMMYFUNCTION("""COMPUTED_VALUE"""),2.81)</f>
        <v>2.81</v>
      </c>
      <c r="F683" s="1">
        <f ca="1">IFERROR(__xludf.DUMMYFUNCTION("""COMPUTED_VALUE"""),167200)</f>
        <v>167200</v>
      </c>
      <c r="I683" s="1"/>
    </row>
    <row r="684" spans="1:9">
      <c r="A684" s="3">
        <f ca="1">IFERROR(__xludf.DUMMYFUNCTION("""COMPUTED_VALUE"""),30208.6666666666)</f>
        <v>30208.666666666599</v>
      </c>
      <c r="B684" s="1">
        <f ca="1">IFERROR(__xludf.DUMMYFUNCTION("""COMPUTED_VALUE"""),2.86)</f>
        <v>2.86</v>
      </c>
      <c r="C684" s="1">
        <f ca="1">IFERROR(__xludf.DUMMYFUNCTION("""COMPUTED_VALUE"""),2.88)</f>
        <v>2.88</v>
      </c>
      <c r="D684" s="1">
        <f ca="1">IFERROR(__xludf.DUMMYFUNCTION("""COMPUTED_VALUE"""),2.81)</f>
        <v>2.81</v>
      </c>
      <c r="E684" s="1">
        <f ca="1">IFERROR(__xludf.DUMMYFUNCTION("""COMPUTED_VALUE"""),2.86)</f>
        <v>2.86</v>
      </c>
      <c r="F684" s="1">
        <f ca="1">IFERROR(__xludf.DUMMYFUNCTION("""COMPUTED_VALUE"""),316600)</f>
        <v>316600</v>
      </c>
      <c r="I684" s="1"/>
    </row>
    <row r="685" spans="1:9">
      <c r="A685" s="3">
        <f ca="1">IFERROR(__xludf.DUMMYFUNCTION("""COMPUTED_VALUE"""),30209.6666666666)</f>
        <v>30209.666666666599</v>
      </c>
      <c r="B685" s="1">
        <f ca="1">IFERROR(__xludf.DUMMYFUNCTION("""COMPUTED_VALUE"""),2.87)</f>
        <v>2.87</v>
      </c>
      <c r="C685" s="1">
        <f ca="1">IFERROR(__xludf.DUMMYFUNCTION("""COMPUTED_VALUE"""),2.87)</f>
        <v>2.87</v>
      </c>
      <c r="D685" s="1">
        <f ca="1">IFERROR(__xludf.DUMMYFUNCTION("""COMPUTED_VALUE"""),2.84)</f>
        <v>2.84</v>
      </c>
      <c r="E685" s="1">
        <f ca="1">IFERROR(__xludf.DUMMYFUNCTION("""COMPUTED_VALUE"""),2.87)</f>
        <v>2.87</v>
      </c>
      <c r="F685" s="1">
        <f ca="1">IFERROR(__xludf.DUMMYFUNCTION("""COMPUTED_VALUE"""),180900)</f>
        <v>180900</v>
      </c>
      <c r="I685" s="1"/>
    </row>
    <row r="686" spans="1:9">
      <c r="A686" s="3">
        <f ca="1">IFERROR(__xludf.DUMMYFUNCTION("""COMPUTED_VALUE"""),30210.6666666666)</f>
        <v>30210.666666666599</v>
      </c>
      <c r="B686" s="1">
        <f ca="1">IFERROR(__xludf.DUMMYFUNCTION("""COMPUTED_VALUE"""),2.85)</f>
        <v>2.85</v>
      </c>
      <c r="C686" s="1">
        <f ca="1">IFERROR(__xludf.DUMMYFUNCTION("""COMPUTED_VALUE"""),2.89)</f>
        <v>2.89</v>
      </c>
      <c r="D686" s="1">
        <f ca="1">IFERROR(__xludf.DUMMYFUNCTION("""COMPUTED_VALUE"""),2.84)</f>
        <v>2.84</v>
      </c>
      <c r="E686" s="1">
        <f ca="1">IFERROR(__xludf.DUMMYFUNCTION("""COMPUTED_VALUE"""),2.85)</f>
        <v>2.85</v>
      </c>
      <c r="F686" s="1">
        <f ca="1">IFERROR(__xludf.DUMMYFUNCTION("""COMPUTED_VALUE"""),280800)</f>
        <v>280800</v>
      </c>
      <c r="I686" s="1"/>
    </row>
    <row r="687" spans="1:9">
      <c r="A687" s="3">
        <f ca="1">IFERROR(__xludf.DUMMYFUNCTION("""COMPUTED_VALUE"""),30211.6666666666)</f>
        <v>30211.666666666599</v>
      </c>
      <c r="B687" s="1">
        <f ca="1">IFERROR(__xludf.DUMMYFUNCTION("""COMPUTED_VALUE"""),2.83)</f>
        <v>2.83</v>
      </c>
      <c r="C687" s="1">
        <f ca="1">IFERROR(__xludf.DUMMYFUNCTION("""COMPUTED_VALUE"""),2.85)</f>
        <v>2.85</v>
      </c>
      <c r="D687" s="1">
        <f ca="1">IFERROR(__xludf.DUMMYFUNCTION("""COMPUTED_VALUE"""),2.83)</f>
        <v>2.83</v>
      </c>
      <c r="E687" s="1">
        <f ca="1">IFERROR(__xludf.DUMMYFUNCTION("""COMPUTED_VALUE"""),2.83)</f>
        <v>2.83</v>
      </c>
      <c r="F687" s="1">
        <f ca="1">IFERROR(__xludf.DUMMYFUNCTION("""COMPUTED_VALUE"""),160800)</f>
        <v>160800</v>
      </c>
      <c r="I687" s="1"/>
    </row>
    <row r="688" spans="1:9">
      <c r="A688" s="3">
        <f ca="1">IFERROR(__xludf.DUMMYFUNCTION("""COMPUTED_VALUE"""),30214.6666666666)</f>
        <v>30214.666666666599</v>
      </c>
      <c r="B688" s="1">
        <f ca="1">IFERROR(__xludf.DUMMYFUNCTION("""COMPUTED_VALUE"""),2.85)</f>
        <v>2.85</v>
      </c>
      <c r="C688" s="1">
        <f ca="1">IFERROR(__xludf.DUMMYFUNCTION("""COMPUTED_VALUE"""),2.85)</f>
        <v>2.85</v>
      </c>
      <c r="D688" s="1">
        <f ca="1">IFERROR(__xludf.DUMMYFUNCTION("""COMPUTED_VALUE"""),2.78)</f>
        <v>2.78</v>
      </c>
      <c r="E688" s="1">
        <f ca="1">IFERROR(__xludf.DUMMYFUNCTION("""COMPUTED_VALUE"""),2.85)</f>
        <v>2.85</v>
      </c>
      <c r="F688" s="1">
        <f ca="1">IFERROR(__xludf.DUMMYFUNCTION("""COMPUTED_VALUE"""),146600)</f>
        <v>146600</v>
      </c>
      <c r="I688" s="1"/>
    </row>
    <row r="689" spans="1:9">
      <c r="A689" s="3">
        <f ca="1">IFERROR(__xludf.DUMMYFUNCTION("""COMPUTED_VALUE"""),30215.6666666666)</f>
        <v>30215.666666666599</v>
      </c>
      <c r="B689" s="1">
        <f ca="1">IFERROR(__xludf.DUMMYFUNCTION("""COMPUTED_VALUE"""),2.91)</f>
        <v>2.91</v>
      </c>
      <c r="C689" s="1">
        <f ca="1">IFERROR(__xludf.DUMMYFUNCTION("""COMPUTED_VALUE"""),2.91)</f>
        <v>2.91</v>
      </c>
      <c r="D689" s="1">
        <f ca="1">IFERROR(__xludf.DUMMYFUNCTION("""COMPUTED_VALUE"""),2.87)</f>
        <v>2.87</v>
      </c>
      <c r="E689" s="1">
        <f ca="1">IFERROR(__xludf.DUMMYFUNCTION("""COMPUTED_VALUE"""),2.91)</f>
        <v>2.91</v>
      </c>
      <c r="F689" s="1">
        <f ca="1">IFERROR(__xludf.DUMMYFUNCTION("""COMPUTED_VALUE"""),250900)</f>
        <v>250900</v>
      </c>
      <c r="I689" s="1"/>
    </row>
    <row r="690" spans="1:9">
      <c r="A690" s="3">
        <f ca="1">IFERROR(__xludf.DUMMYFUNCTION("""COMPUTED_VALUE"""),30216.6666666666)</f>
        <v>30216.666666666599</v>
      </c>
      <c r="B690" s="1">
        <f ca="1">IFERROR(__xludf.DUMMYFUNCTION("""COMPUTED_VALUE"""),2.88)</f>
        <v>2.88</v>
      </c>
      <c r="C690" s="1">
        <f ca="1">IFERROR(__xludf.DUMMYFUNCTION("""COMPUTED_VALUE"""),2.96)</f>
        <v>2.96</v>
      </c>
      <c r="D690" s="1">
        <f ca="1">IFERROR(__xludf.DUMMYFUNCTION("""COMPUTED_VALUE"""),2.88)</f>
        <v>2.88</v>
      </c>
      <c r="E690" s="1">
        <f ca="1">IFERROR(__xludf.DUMMYFUNCTION("""COMPUTED_VALUE"""),2.88)</f>
        <v>2.88</v>
      </c>
      <c r="F690" s="1">
        <f ca="1">IFERROR(__xludf.DUMMYFUNCTION("""COMPUTED_VALUE"""),359600)</f>
        <v>359600</v>
      </c>
      <c r="I690" s="1"/>
    </row>
    <row r="691" spans="1:9">
      <c r="A691" s="3">
        <f ca="1">IFERROR(__xludf.DUMMYFUNCTION("""COMPUTED_VALUE"""),30217.6666666666)</f>
        <v>30217.666666666599</v>
      </c>
      <c r="B691" s="1">
        <f ca="1">IFERROR(__xludf.DUMMYFUNCTION("""COMPUTED_VALUE"""),2.91)</f>
        <v>2.91</v>
      </c>
      <c r="C691" s="1">
        <f ca="1">IFERROR(__xludf.DUMMYFUNCTION("""COMPUTED_VALUE"""),2.91)</f>
        <v>2.91</v>
      </c>
      <c r="D691" s="1">
        <f ca="1">IFERROR(__xludf.DUMMYFUNCTION("""COMPUTED_VALUE"""),2.86)</f>
        <v>2.86</v>
      </c>
      <c r="E691" s="1">
        <f ca="1">IFERROR(__xludf.DUMMYFUNCTION("""COMPUTED_VALUE"""),2.91)</f>
        <v>2.91</v>
      </c>
      <c r="F691" s="1">
        <f ca="1">IFERROR(__xludf.DUMMYFUNCTION("""COMPUTED_VALUE"""),222900)</f>
        <v>222900</v>
      </c>
      <c r="I691" s="1"/>
    </row>
    <row r="692" spans="1:9">
      <c r="A692" s="3">
        <f ca="1">IFERROR(__xludf.DUMMYFUNCTION("""COMPUTED_VALUE"""),30218.6666666666)</f>
        <v>30218.666666666599</v>
      </c>
      <c r="B692" s="1">
        <f ca="1">IFERROR(__xludf.DUMMYFUNCTION("""COMPUTED_VALUE"""),2.95)</f>
        <v>2.95</v>
      </c>
      <c r="C692" s="1">
        <f ca="1">IFERROR(__xludf.DUMMYFUNCTION("""COMPUTED_VALUE"""),2.95)</f>
        <v>2.95</v>
      </c>
      <c r="D692" s="1">
        <f ca="1">IFERROR(__xludf.DUMMYFUNCTION("""COMPUTED_VALUE"""),2.89)</f>
        <v>2.89</v>
      </c>
      <c r="E692" s="1">
        <f ca="1">IFERROR(__xludf.DUMMYFUNCTION("""COMPUTED_VALUE"""),2.95)</f>
        <v>2.95</v>
      </c>
      <c r="F692" s="1">
        <f ca="1">IFERROR(__xludf.DUMMYFUNCTION("""COMPUTED_VALUE"""),268000)</f>
        <v>268000</v>
      </c>
      <c r="I692" s="1"/>
    </row>
    <row r="693" spans="1:9">
      <c r="A693" s="3">
        <f ca="1">IFERROR(__xludf.DUMMYFUNCTION("""COMPUTED_VALUE"""),30221.6666666666)</f>
        <v>30221.666666666599</v>
      </c>
      <c r="B693" s="1">
        <f ca="1">IFERROR(__xludf.DUMMYFUNCTION("""COMPUTED_VALUE"""),2.95)</f>
        <v>2.95</v>
      </c>
      <c r="C693" s="1">
        <f ca="1">IFERROR(__xludf.DUMMYFUNCTION("""COMPUTED_VALUE"""),2.96)</f>
        <v>2.96</v>
      </c>
      <c r="D693" s="1">
        <f ca="1">IFERROR(__xludf.DUMMYFUNCTION("""COMPUTED_VALUE"""),2.93)</f>
        <v>2.93</v>
      </c>
      <c r="E693" s="1">
        <f ca="1">IFERROR(__xludf.DUMMYFUNCTION("""COMPUTED_VALUE"""),2.95)</f>
        <v>2.95</v>
      </c>
      <c r="F693" s="1">
        <f ca="1">IFERROR(__xludf.DUMMYFUNCTION("""COMPUTED_VALUE"""),163900)</f>
        <v>163900</v>
      </c>
      <c r="I693" s="1"/>
    </row>
    <row r="694" spans="1:9">
      <c r="A694" s="3">
        <f ca="1">IFERROR(__xludf.DUMMYFUNCTION("""COMPUTED_VALUE"""),30222.6666666666)</f>
        <v>30222.666666666599</v>
      </c>
      <c r="B694" s="1">
        <f ca="1">IFERROR(__xludf.DUMMYFUNCTION("""COMPUTED_VALUE"""),2.95)</f>
        <v>2.95</v>
      </c>
      <c r="C694" s="1">
        <f ca="1">IFERROR(__xludf.DUMMYFUNCTION("""COMPUTED_VALUE"""),2.99)</f>
        <v>2.99</v>
      </c>
      <c r="D694" s="1">
        <f ca="1">IFERROR(__xludf.DUMMYFUNCTION("""COMPUTED_VALUE"""),2.95)</f>
        <v>2.95</v>
      </c>
      <c r="E694" s="1">
        <f ca="1">IFERROR(__xludf.DUMMYFUNCTION("""COMPUTED_VALUE"""),2.95)</f>
        <v>2.95</v>
      </c>
      <c r="F694" s="1">
        <f ca="1">IFERROR(__xludf.DUMMYFUNCTION("""COMPUTED_VALUE"""),224800)</f>
        <v>224800</v>
      </c>
      <c r="I694" s="1"/>
    </row>
    <row r="695" spans="1:9">
      <c r="A695" s="3">
        <f ca="1">IFERROR(__xludf.DUMMYFUNCTION("""COMPUTED_VALUE"""),30223.6666666666)</f>
        <v>30223.666666666599</v>
      </c>
      <c r="B695" s="1">
        <f ca="1">IFERROR(__xludf.DUMMYFUNCTION("""COMPUTED_VALUE"""),2.88)</f>
        <v>2.88</v>
      </c>
      <c r="C695" s="1">
        <f ca="1">IFERROR(__xludf.DUMMYFUNCTION("""COMPUTED_VALUE"""),2.94)</f>
        <v>2.94</v>
      </c>
      <c r="D695" s="1">
        <f ca="1">IFERROR(__xludf.DUMMYFUNCTION("""COMPUTED_VALUE"""),2.86)</f>
        <v>2.86</v>
      </c>
      <c r="E695" s="1">
        <f ca="1">IFERROR(__xludf.DUMMYFUNCTION("""COMPUTED_VALUE"""),2.88)</f>
        <v>2.88</v>
      </c>
      <c r="F695" s="1">
        <f ca="1">IFERROR(__xludf.DUMMYFUNCTION("""COMPUTED_VALUE"""),261500)</f>
        <v>261500</v>
      </c>
      <c r="I695" s="1"/>
    </row>
    <row r="696" spans="1:9">
      <c r="A696" s="3">
        <f ca="1">IFERROR(__xludf.DUMMYFUNCTION("""COMPUTED_VALUE"""),30224.6666666666)</f>
        <v>30224.666666666599</v>
      </c>
      <c r="B696" s="1">
        <f ca="1">IFERROR(__xludf.DUMMYFUNCTION("""COMPUTED_VALUE"""),2.7)</f>
        <v>2.7</v>
      </c>
      <c r="C696" s="1">
        <f ca="1">IFERROR(__xludf.DUMMYFUNCTION("""COMPUTED_VALUE"""),2.84)</f>
        <v>2.84</v>
      </c>
      <c r="D696" s="1">
        <f ca="1">IFERROR(__xludf.DUMMYFUNCTION("""COMPUTED_VALUE"""),2.66)</f>
        <v>2.66</v>
      </c>
      <c r="E696" s="1">
        <f ca="1">IFERROR(__xludf.DUMMYFUNCTION("""COMPUTED_VALUE"""),2.7)</f>
        <v>2.7</v>
      </c>
      <c r="F696" s="1">
        <f ca="1">IFERROR(__xludf.DUMMYFUNCTION("""COMPUTED_VALUE"""),1221300)</f>
        <v>1221300</v>
      </c>
      <c r="I696" s="1"/>
    </row>
    <row r="697" spans="1:9">
      <c r="A697" s="3">
        <f ca="1">IFERROR(__xludf.DUMMYFUNCTION("""COMPUTED_VALUE"""),30225.6666666666)</f>
        <v>30225.666666666599</v>
      </c>
      <c r="B697" s="1">
        <f ca="1">IFERROR(__xludf.DUMMYFUNCTION("""COMPUTED_VALUE"""),2.74)</f>
        <v>2.74</v>
      </c>
      <c r="C697" s="1">
        <f ca="1">IFERROR(__xludf.DUMMYFUNCTION("""COMPUTED_VALUE"""),2.76)</f>
        <v>2.76</v>
      </c>
      <c r="D697" s="1">
        <f ca="1">IFERROR(__xludf.DUMMYFUNCTION("""COMPUTED_VALUE"""),2.59)</f>
        <v>2.59</v>
      </c>
      <c r="E697" s="1">
        <f ca="1">IFERROR(__xludf.DUMMYFUNCTION("""COMPUTED_VALUE"""),2.74)</f>
        <v>2.74</v>
      </c>
      <c r="F697" s="1">
        <f ca="1">IFERROR(__xludf.DUMMYFUNCTION("""COMPUTED_VALUE"""),2307700)</f>
        <v>2307700</v>
      </c>
      <c r="I697" s="1"/>
    </row>
    <row r="698" spans="1:9">
      <c r="A698" s="3">
        <f ca="1">IFERROR(__xludf.DUMMYFUNCTION("""COMPUTED_VALUE"""),30228.6666666666)</f>
        <v>30228.666666666599</v>
      </c>
      <c r="B698" s="1">
        <f ca="1">IFERROR(__xludf.DUMMYFUNCTION("""COMPUTED_VALUE"""),2.58)</f>
        <v>2.58</v>
      </c>
      <c r="C698" s="1">
        <f ca="1">IFERROR(__xludf.DUMMYFUNCTION("""COMPUTED_VALUE"""),2.63)</f>
        <v>2.63</v>
      </c>
      <c r="D698" s="1">
        <f ca="1">IFERROR(__xludf.DUMMYFUNCTION("""COMPUTED_VALUE"""),2.56)</f>
        <v>2.56</v>
      </c>
      <c r="E698" s="1">
        <f ca="1">IFERROR(__xludf.DUMMYFUNCTION("""COMPUTED_VALUE"""),2.58)</f>
        <v>2.58</v>
      </c>
      <c r="F698" s="1">
        <f ca="1">IFERROR(__xludf.DUMMYFUNCTION("""COMPUTED_VALUE"""),2606100)</f>
        <v>2606100</v>
      </c>
      <c r="I698" s="1"/>
    </row>
    <row r="699" spans="1:9">
      <c r="A699" s="3">
        <f ca="1">IFERROR(__xludf.DUMMYFUNCTION("""COMPUTED_VALUE"""),30229.6666666666)</f>
        <v>30229.666666666599</v>
      </c>
      <c r="B699" s="1">
        <f ca="1">IFERROR(__xludf.DUMMYFUNCTION("""COMPUTED_VALUE"""),2.44)</f>
        <v>2.44</v>
      </c>
      <c r="C699" s="1">
        <f ca="1">IFERROR(__xludf.DUMMYFUNCTION("""COMPUTED_VALUE"""),2.59)</f>
        <v>2.59</v>
      </c>
      <c r="D699" s="1">
        <f ca="1">IFERROR(__xludf.DUMMYFUNCTION("""COMPUTED_VALUE"""),2.42)</f>
        <v>2.42</v>
      </c>
      <c r="E699" s="1">
        <f ca="1">IFERROR(__xludf.DUMMYFUNCTION("""COMPUTED_VALUE"""),2.44)</f>
        <v>2.44</v>
      </c>
      <c r="F699" s="1">
        <f ca="1">IFERROR(__xludf.DUMMYFUNCTION("""COMPUTED_VALUE"""),2097200)</f>
        <v>2097200</v>
      </c>
      <c r="I699" s="1"/>
    </row>
    <row r="700" spans="1:9">
      <c r="A700" s="3">
        <f ca="1">IFERROR(__xludf.DUMMYFUNCTION("""COMPUTED_VALUE"""),30230.6666666666)</f>
        <v>30230.666666666599</v>
      </c>
      <c r="B700" s="1">
        <f ca="1">IFERROR(__xludf.DUMMYFUNCTION("""COMPUTED_VALUE"""),2.61)</f>
        <v>2.61</v>
      </c>
      <c r="C700" s="1">
        <f ca="1">IFERROR(__xludf.DUMMYFUNCTION("""COMPUTED_VALUE"""),2.62)</f>
        <v>2.62</v>
      </c>
      <c r="D700" s="1">
        <f ca="1">IFERROR(__xludf.DUMMYFUNCTION("""COMPUTED_VALUE"""),2.44)</f>
        <v>2.44</v>
      </c>
      <c r="E700" s="1">
        <f ca="1">IFERROR(__xludf.DUMMYFUNCTION("""COMPUTED_VALUE"""),2.61)</f>
        <v>2.61</v>
      </c>
      <c r="F700" s="1">
        <f ca="1">IFERROR(__xludf.DUMMYFUNCTION("""COMPUTED_VALUE"""),3249700)</f>
        <v>3249700</v>
      </c>
      <c r="I700" s="1"/>
    </row>
    <row r="701" spans="1:9">
      <c r="A701" s="3">
        <f ca="1">IFERROR(__xludf.DUMMYFUNCTION("""COMPUTED_VALUE"""),30231.6666666666)</f>
        <v>30231.666666666599</v>
      </c>
      <c r="B701" s="1">
        <f ca="1">IFERROR(__xludf.DUMMYFUNCTION("""COMPUTED_VALUE"""),2.52)</f>
        <v>2.52</v>
      </c>
      <c r="C701" s="1">
        <f ca="1">IFERROR(__xludf.DUMMYFUNCTION("""COMPUTED_VALUE"""),2.64)</f>
        <v>2.64</v>
      </c>
      <c r="D701" s="1">
        <f ca="1">IFERROR(__xludf.DUMMYFUNCTION("""COMPUTED_VALUE"""),2.48)</f>
        <v>2.48</v>
      </c>
      <c r="E701" s="1">
        <f ca="1">IFERROR(__xludf.DUMMYFUNCTION("""COMPUTED_VALUE"""),2.52)</f>
        <v>2.52</v>
      </c>
      <c r="F701" s="1">
        <f ca="1">IFERROR(__xludf.DUMMYFUNCTION("""COMPUTED_VALUE"""),2618300)</f>
        <v>2618300</v>
      </c>
      <c r="I701" s="1"/>
    </row>
    <row r="702" spans="1:9">
      <c r="A702" s="3">
        <f ca="1">IFERROR(__xludf.DUMMYFUNCTION("""COMPUTED_VALUE"""),30232.6666666666)</f>
        <v>30232.666666666599</v>
      </c>
      <c r="B702" s="1">
        <f ca="1">IFERROR(__xludf.DUMMYFUNCTION("""COMPUTED_VALUE"""),2.66)</f>
        <v>2.66</v>
      </c>
      <c r="C702" s="1">
        <f ca="1">IFERROR(__xludf.DUMMYFUNCTION("""COMPUTED_VALUE"""),2.66)</f>
        <v>2.66</v>
      </c>
      <c r="D702" s="1">
        <f ca="1">IFERROR(__xludf.DUMMYFUNCTION("""COMPUTED_VALUE"""),2.57)</f>
        <v>2.57</v>
      </c>
      <c r="E702" s="1">
        <f ca="1">IFERROR(__xludf.DUMMYFUNCTION("""COMPUTED_VALUE"""),2.66)</f>
        <v>2.66</v>
      </c>
      <c r="F702" s="1">
        <f ca="1">IFERROR(__xludf.DUMMYFUNCTION("""COMPUTED_VALUE"""),1413300)</f>
        <v>1413300</v>
      </c>
      <c r="I702" s="1"/>
    </row>
    <row r="703" spans="1:9">
      <c r="A703" s="3">
        <f ca="1">IFERROR(__xludf.DUMMYFUNCTION("""COMPUTED_VALUE"""),30235.6666666666)</f>
        <v>30235.666666666599</v>
      </c>
      <c r="B703" s="1">
        <f ca="1">IFERROR(__xludf.DUMMYFUNCTION("""COMPUTED_VALUE"""),2.72)</f>
        <v>2.72</v>
      </c>
      <c r="C703" s="1">
        <f ca="1">IFERROR(__xludf.DUMMYFUNCTION("""COMPUTED_VALUE"""),2.74)</f>
        <v>2.74</v>
      </c>
      <c r="D703" s="1">
        <f ca="1">IFERROR(__xludf.DUMMYFUNCTION("""COMPUTED_VALUE"""),2.66)</f>
        <v>2.66</v>
      </c>
      <c r="E703" s="1">
        <f ca="1">IFERROR(__xludf.DUMMYFUNCTION("""COMPUTED_VALUE"""),2.72)</f>
        <v>2.72</v>
      </c>
      <c r="F703" s="1">
        <f ca="1">IFERROR(__xludf.DUMMYFUNCTION("""COMPUTED_VALUE"""),1501400)</f>
        <v>1501400</v>
      </c>
      <c r="I703" s="1"/>
    </row>
    <row r="704" spans="1:9">
      <c r="A704" s="3">
        <f ca="1">IFERROR(__xludf.DUMMYFUNCTION("""COMPUTED_VALUE"""),30236.6666666666)</f>
        <v>30236.666666666599</v>
      </c>
      <c r="B704" s="1">
        <f ca="1">IFERROR(__xludf.DUMMYFUNCTION("""COMPUTED_VALUE"""),2.59)</f>
        <v>2.59</v>
      </c>
      <c r="C704" s="1">
        <f ca="1">IFERROR(__xludf.DUMMYFUNCTION("""COMPUTED_VALUE"""),2.73)</f>
        <v>2.73</v>
      </c>
      <c r="D704" s="1">
        <f ca="1">IFERROR(__xludf.DUMMYFUNCTION("""COMPUTED_VALUE"""),2.52)</f>
        <v>2.52</v>
      </c>
      <c r="E704" s="1">
        <f ca="1">IFERROR(__xludf.DUMMYFUNCTION("""COMPUTED_VALUE"""),2.59)</f>
        <v>2.59</v>
      </c>
      <c r="F704" s="1">
        <f ca="1">IFERROR(__xludf.DUMMYFUNCTION("""COMPUTED_VALUE"""),1220000)</f>
        <v>1220000</v>
      </c>
      <c r="I704" s="1"/>
    </row>
    <row r="705" spans="1:9">
      <c r="A705" s="3">
        <f ca="1">IFERROR(__xludf.DUMMYFUNCTION("""COMPUTED_VALUE"""),30237.6666666666)</f>
        <v>30237.666666666599</v>
      </c>
      <c r="B705" s="1">
        <f ca="1">IFERROR(__xludf.DUMMYFUNCTION("""COMPUTED_VALUE"""),2.63)</f>
        <v>2.63</v>
      </c>
      <c r="C705" s="1">
        <f ca="1">IFERROR(__xludf.DUMMYFUNCTION("""COMPUTED_VALUE"""),2.72)</f>
        <v>2.72</v>
      </c>
      <c r="D705" s="1">
        <f ca="1">IFERROR(__xludf.DUMMYFUNCTION("""COMPUTED_VALUE"""),2.53)</f>
        <v>2.5299999999999998</v>
      </c>
      <c r="E705" s="1">
        <f ca="1">IFERROR(__xludf.DUMMYFUNCTION("""COMPUTED_VALUE"""),2.63)</f>
        <v>2.63</v>
      </c>
      <c r="F705" s="1">
        <f ca="1">IFERROR(__xludf.DUMMYFUNCTION("""COMPUTED_VALUE"""),1531400)</f>
        <v>1531400</v>
      </c>
      <c r="I705" s="1"/>
    </row>
    <row r="706" spans="1:9">
      <c r="A706" s="3">
        <f ca="1">IFERROR(__xludf.DUMMYFUNCTION("""COMPUTED_VALUE"""),30238.6666666666)</f>
        <v>30238.666666666599</v>
      </c>
      <c r="B706" s="1">
        <f ca="1">IFERROR(__xludf.DUMMYFUNCTION("""COMPUTED_VALUE"""),2.62)</f>
        <v>2.62</v>
      </c>
      <c r="C706" s="1">
        <f ca="1">IFERROR(__xludf.DUMMYFUNCTION("""COMPUTED_VALUE"""),2.67)</f>
        <v>2.67</v>
      </c>
      <c r="D706" s="1">
        <f ca="1">IFERROR(__xludf.DUMMYFUNCTION("""COMPUTED_VALUE"""),2.58)</f>
        <v>2.58</v>
      </c>
      <c r="E706" s="1">
        <f ca="1">IFERROR(__xludf.DUMMYFUNCTION("""COMPUTED_VALUE"""),2.62)</f>
        <v>2.62</v>
      </c>
      <c r="F706" s="1">
        <f ca="1">IFERROR(__xludf.DUMMYFUNCTION("""COMPUTED_VALUE"""),802500)</f>
        <v>802500</v>
      </c>
      <c r="I706" s="1"/>
    </row>
    <row r="707" spans="1:9">
      <c r="A707" s="3">
        <f ca="1">IFERROR(__xludf.DUMMYFUNCTION("""COMPUTED_VALUE"""),30239.6666666666)</f>
        <v>30239.666666666599</v>
      </c>
      <c r="B707" s="1">
        <f ca="1">IFERROR(__xludf.DUMMYFUNCTION("""COMPUTED_VALUE"""),2.55)</f>
        <v>2.5499999999999998</v>
      </c>
      <c r="C707" s="1">
        <f ca="1">IFERROR(__xludf.DUMMYFUNCTION("""COMPUTED_VALUE"""),2.62)</f>
        <v>2.62</v>
      </c>
      <c r="D707" s="1">
        <f ca="1">IFERROR(__xludf.DUMMYFUNCTION("""COMPUTED_VALUE"""),2.55)</f>
        <v>2.5499999999999998</v>
      </c>
      <c r="E707" s="1">
        <f ca="1">IFERROR(__xludf.DUMMYFUNCTION("""COMPUTED_VALUE"""),2.55)</f>
        <v>2.5499999999999998</v>
      </c>
      <c r="F707" s="1">
        <f ca="1">IFERROR(__xludf.DUMMYFUNCTION("""COMPUTED_VALUE"""),481200)</f>
        <v>481200</v>
      </c>
      <c r="I707" s="1"/>
    </row>
    <row r="708" spans="1:9">
      <c r="A708" s="3">
        <f ca="1">IFERROR(__xludf.DUMMYFUNCTION("""COMPUTED_VALUE"""),30242.6666666666)</f>
        <v>30242.666666666599</v>
      </c>
      <c r="B708" s="1">
        <f ca="1">IFERROR(__xludf.DUMMYFUNCTION("""COMPUTED_VALUE"""),2.71)</f>
        <v>2.71</v>
      </c>
      <c r="C708" s="1">
        <f ca="1">IFERROR(__xludf.DUMMYFUNCTION("""COMPUTED_VALUE"""),2.71)</f>
        <v>2.71</v>
      </c>
      <c r="D708" s="1">
        <f ca="1">IFERROR(__xludf.DUMMYFUNCTION("""COMPUTED_VALUE"""),2.58)</f>
        <v>2.58</v>
      </c>
      <c r="E708" s="1">
        <f ca="1">IFERROR(__xludf.DUMMYFUNCTION("""COMPUTED_VALUE"""),2.71)</f>
        <v>2.71</v>
      </c>
      <c r="F708" s="1">
        <f ca="1">IFERROR(__xludf.DUMMYFUNCTION("""COMPUTED_VALUE"""),623200)</f>
        <v>623200</v>
      </c>
      <c r="I708" s="1"/>
    </row>
    <row r="709" spans="1:9">
      <c r="A709" s="3">
        <f ca="1">IFERROR(__xludf.DUMMYFUNCTION("""COMPUTED_VALUE"""),30243.6666666666)</f>
        <v>30243.666666666599</v>
      </c>
      <c r="B709" s="1">
        <f ca="1">IFERROR(__xludf.DUMMYFUNCTION("""COMPUTED_VALUE"""),2.72)</f>
        <v>2.72</v>
      </c>
      <c r="C709" s="1">
        <f ca="1">IFERROR(__xludf.DUMMYFUNCTION("""COMPUTED_VALUE"""),2.75)</f>
        <v>2.75</v>
      </c>
      <c r="D709" s="1">
        <f ca="1">IFERROR(__xludf.DUMMYFUNCTION("""COMPUTED_VALUE"""),2.7)</f>
        <v>2.7</v>
      </c>
      <c r="E709" s="1">
        <f ca="1">IFERROR(__xludf.DUMMYFUNCTION("""COMPUTED_VALUE"""),2.72)</f>
        <v>2.72</v>
      </c>
      <c r="F709" s="1">
        <f ca="1">IFERROR(__xludf.DUMMYFUNCTION("""COMPUTED_VALUE"""),820400)</f>
        <v>820400</v>
      </c>
      <c r="I709" s="1"/>
    </row>
    <row r="710" spans="1:9">
      <c r="A710" s="3">
        <f ca="1">IFERROR(__xludf.DUMMYFUNCTION("""COMPUTED_VALUE"""),30244.6666666666)</f>
        <v>30244.666666666599</v>
      </c>
      <c r="B710" s="1">
        <f ca="1">IFERROR(__xludf.DUMMYFUNCTION("""COMPUTED_VALUE"""),2.7)</f>
        <v>2.7</v>
      </c>
      <c r="C710" s="1">
        <f ca="1">IFERROR(__xludf.DUMMYFUNCTION("""COMPUTED_VALUE"""),2.71)</f>
        <v>2.71</v>
      </c>
      <c r="D710" s="1">
        <f ca="1">IFERROR(__xludf.DUMMYFUNCTION("""COMPUTED_VALUE"""),2.69)</f>
        <v>2.69</v>
      </c>
      <c r="E710" s="1">
        <f ca="1">IFERROR(__xludf.DUMMYFUNCTION("""COMPUTED_VALUE"""),2.7)</f>
        <v>2.7</v>
      </c>
      <c r="F710" s="1">
        <f ca="1">IFERROR(__xludf.DUMMYFUNCTION("""COMPUTED_VALUE"""),565500)</f>
        <v>565500</v>
      </c>
      <c r="I710" s="1"/>
    </row>
    <row r="711" spans="1:9">
      <c r="A711" s="3">
        <f ca="1">IFERROR(__xludf.DUMMYFUNCTION("""COMPUTED_VALUE"""),30245.6666666666)</f>
        <v>30245.666666666599</v>
      </c>
      <c r="B711" s="1">
        <f ca="1">IFERROR(__xludf.DUMMYFUNCTION("""COMPUTED_VALUE"""),2.77)</f>
        <v>2.77</v>
      </c>
      <c r="C711" s="1">
        <f ca="1">IFERROR(__xludf.DUMMYFUNCTION("""COMPUTED_VALUE"""),2.78)</f>
        <v>2.78</v>
      </c>
      <c r="D711" s="1">
        <f ca="1">IFERROR(__xludf.DUMMYFUNCTION("""COMPUTED_VALUE"""),2.71)</f>
        <v>2.71</v>
      </c>
      <c r="E711" s="1">
        <f ca="1">IFERROR(__xludf.DUMMYFUNCTION("""COMPUTED_VALUE"""),2.77)</f>
        <v>2.77</v>
      </c>
      <c r="F711" s="1">
        <f ca="1">IFERROR(__xludf.DUMMYFUNCTION("""COMPUTED_VALUE"""),891400)</f>
        <v>891400</v>
      </c>
      <c r="I711" s="1"/>
    </row>
    <row r="712" spans="1:9">
      <c r="A712" s="3">
        <f ca="1">IFERROR(__xludf.DUMMYFUNCTION("""COMPUTED_VALUE"""),30246.6666666666)</f>
        <v>30246.666666666599</v>
      </c>
      <c r="B712" s="1">
        <f ca="1">IFERROR(__xludf.DUMMYFUNCTION("""COMPUTED_VALUE"""),2.73)</f>
        <v>2.73</v>
      </c>
      <c r="C712" s="1">
        <f ca="1">IFERROR(__xludf.DUMMYFUNCTION("""COMPUTED_VALUE"""),2.77)</f>
        <v>2.77</v>
      </c>
      <c r="D712" s="1">
        <f ca="1">IFERROR(__xludf.DUMMYFUNCTION("""COMPUTED_VALUE"""),2.71)</f>
        <v>2.71</v>
      </c>
      <c r="E712" s="1">
        <f ca="1">IFERROR(__xludf.DUMMYFUNCTION("""COMPUTED_VALUE"""),2.73)</f>
        <v>2.73</v>
      </c>
      <c r="F712" s="1">
        <f ca="1">IFERROR(__xludf.DUMMYFUNCTION("""COMPUTED_VALUE"""),432100)</f>
        <v>432100</v>
      </c>
      <c r="I712" s="1"/>
    </row>
    <row r="713" spans="1:9">
      <c r="A713" s="3">
        <f ca="1">IFERROR(__xludf.DUMMYFUNCTION("""COMPUTED_VALUE"""),30249.6666666666)</f>
        <v>30249.666666666599</v>
      </c>
      <c r="B713" s="1">
        <f ca="1">IFERROR(__xludf.DUMMYFUNCTION("""COMPUTED_VALUE"""),2.58)</f>
        <v>2.58</v>
      </c>
      <c r="C713" s="1">
        <f ca="1">IFERROR(__xludf.DUMMYFUNCTION("""COMPUTED_VALUE"""),2.68)</f>
        <v>2.68</v>
      </c>
      <c r="D713" s="1">
        <f ca="1">IFERROR(__xludf.DUMMYFUNCTION("""COMPUTED_VALUE"""),2.58)</f>
        <v>2.58</v>
      </c>
      <c r="E713" s="1">
        <f ca="1">IFERROR(__xludf.DUMMYFUNCTION("""COMPUTED_VALUE"""),2.58)</f>
        <v>2.58</v>
      </c>
      <c r="F713" s="1">
        <f ca="1">IFERROR(__xludf.DUMMYFUNCTION("""COMPUTED_VALUE"""),518900)</f>
        <v>518900</v>
      </c>
      <c r="I713" s="1"/>
    </row>
    <row r="714" spans="1:9">
      <c r="A714" s="3">
        <f ca="1">IFERROR(__xludf.DUMMYFUNCTION("""COMPUTED_VALUE"""),30250.6666666666)</f>
        <v>30250.666666666599</v>
      </c>
      <c r="B714" s="1">
        <f ca="1">IFERROR(__xludf.DUMMYFUNCTION("""COMPUTED_VALUE"""),2.65)</f>
        <v>2.65</v>
      </c>
      <c r="C714" s="1">
        <f ca="1">IFERROR(__xludf.DUMMYFUNCTION("""COMPUTED_VALUE"""),2.67)</f>
        <v>2.67</v>
      </c>
      <c r="D714" s="1">
        <f ca="1">IFERROR(__xludf.DUMMYFUNCTION("""COMPUTED_VALUE"""),2.55)</f>
        <v>2.5499999999999998</v>
      </c>
      <c r="E714" s="1">
        <f ca="1">IFERROR(__xludf.DUMMYFUNCTION("""COMPUTED_VALUE"""),2.65)</f>
        <v>2.65</v>
      </c>
      <c r="F714" s="1">
        <f ca="1">IFERROR(__xludf.DUMMYFUNCTION("""COMPUTED_VALUE"""),558600)</f>
        <v>558600</v>
      </c>
      <c r="I714" s="1"/>
    </row>
    <row r="715" spans="1:9">
      <c r="A715" s="3">
        <f ca="1">IFERROR(__xludf.DUMMYFUNCTION("""COMPUTED_VALUE"""),30251.6666666666)</f>
        <v>30251.666666666599</v>
      </c>
      <c r="B715" s="1">
        <f ca="1">IFERROR(__xludf.DUMMYFUNCTION("""COMPUTED_VALUE"""),2.64)</f>
        <v>2.64</v>
      </c>
      <c r="C715" s="1">
        <f ca="1">IFERROR(__xludf.DUMMYFUNCTION("""COMPUTED_VALUE"""),2.69)</f>
        <v>2.69</v>
      </c>
      <c r="D715" s="1">
        <f ca="1">IFERROR(__xludf.DUMMYFUNCTION("""COMPUTED_VALUE"""),2.63)</f>
        <v>2.63</v>
      </c>
      <c r="E715" s="1">
        <f ca="1">IFERROR(__xludf.DUMMYFUNCTION("""COMPUTED_VALUE"""),2.64)</f>
        <v>2.64</v>
      </c>
      <c r="F715" s="1">
        <f ca="1">IFERROR(__xludf.DUMMYFUNCTION("""COMPUTED_VALUE"""),515800)</f>
        <v>515800</v>
      </c>
      <c r="I715" s="1"/>
    </row>
    <row r="716" spans="1:9">
      <c r="A716" s="3">
        <f ca="1">IFERROR(__xludf.DUMMYFUNCTION("""COMPUTED_VALUE"""),30252.6666666666)</f>
        <v>30252.666666666599</v>
      </c>
      <c r="B716" s="1">
        <f ca="1">IFERROR(__xludf.DUMMYFUNCTION("""COMPUTED_VALUE"""),2.65)</f>
        <v>2.65</v>
      </c>
      <c r="C716" s="1">
        <f ca="1">IFERROR(__xludf.DUMMYFUNCTION("""COMPUTED_VALUE"""),2.71)</f>
        <v>2.71</v>
      </c>
      <c r="D716" s="1">
        <f ca="1">IFERROR(__xludf.DUMMYFUNCTION("""COMPUTED_VALUE"""),2.63)</f>
        <v>2.63</v>
      </c>
      <c r="E716" s="1">
        <f ca="1">IFERROR(__xludf.DUMMYFUNCTION("""COMPUTED_VALUE"""),2.65)</f>
        <v>2.65</v>
      </c>
      <c r="F716" s="1">
        <f ca="1">IFERROR(__xludf.DUMMYFUNCTION("""COMPUTED_VALUE"""),465200)</f>
        <v>465200</v>
      </c>
      <c r="I716" s="1"/>
    </row>
    <row r="717" spans="1:9">
      <c r="A717" s="3">
        <f ca="1">IFERROR(__xludf.DUMMYFUNCTION("""COMPUTED_VALUE"""),30253.6666666666)</f>
        <v>30253.666666666599</v>
      </c>
      <c r="B717" s="1">
        <f ca="1">IFERROR(__xludf.DUMMYFUNCTION("""COMPUTED_VALUE"""),2.74)</f>
        <v>2.74</v>
      </c>
      <c r="C717" s="1">
        <f ca="1">IFERROR(__xludf.DUMMYFUNCTION("""COMPUTED_VALUE"""),2.75)</f>
        <v>2.75</v>
      </c>
      <c r="D717" s="1">
        <f ca="1">IFERROR(__xludf.DUMMYFUNCTION("""COMPUTED_VALUE"""),2.65)</f>
        <v>2.65</v>
      </c>
      <c r="E717" s="1">
        <f ca="1">IFERROR(__xludf.DUMMYFUNCTION("""COMPUTED_VALUE"""),2.74)</f>
        <v>2.74</v>
      </c>
      <c r="F717" s="1">
        <f ca="1">IFERROR(__xludf.DUMMYFUNCTION("""COMPUTED_VALUE"""),404100)</f>
        <v>404100</v>
      </c>
      <c r="I717" s="1"/>
    </row>
    <row r="718" spans="1:9">
      <c r="A718" s="3">
        <f ca="1">IFERROR(__xludf.DUMMYFUNCTION("""COMPUTED_VALUE"""),30256.6666666666)</f>
        <v>30256.666666666599</v>
      </c>
      <c r="B718" s="1">
        <f ca="1">IFERROR(__xludf.DUMMYFUNCTION("""COMPUTED_VALUE"""),2.79)</f>
        <v>2.79</v>
      </c>
      <c r="C718" s="1">
        <f ca="1">IFERROR(__xludf.DUMMYFUNCTION("""COMPUTED_VALUE"""),2.8)</f>
        <v>2.8</v>
      </c>
      <c r="D718" s="1">
        <f ca="1">IFERROR(__xludf.DUMMYFUNCTION("""COMPUTED_VALUE"""),2.72)</f>
        <v>2.72</v>
      </c>
      <c r="E718" s="1">
        <f ca="1">IFERROR(__xludf.DUMMYFUNCTION("""COMPUTED_VALUE"""),2.79)</f>
        <v>2.79</v>
      </c>
      <c r="F718" s="1">
        <f ca="1">IFERROR(__xludf.DUMMYFUNCTION("""COMPUTED_VALUE"""),392900)</f>
        <v>392900</v>
      </c>
      <c r="I718" s="1"/>
    </row>
    <row r="719" spans="1:9">
      <c r="A719" s="3">
        <f ca="1">IFERROR(__xludf.DUMMYFUNCTION("""COMPUTED_VALUE"""),30257.6666666666)</f>
        <v>30257.666666666599</v>
      </c>
      <c r="B719" s="1">
        <f ca="1">IFERROR(__xludf.DUMMYFUNCTION("""COMPUTED_VALUE"""),2.77)</f>
        <v>2.77</v>
      </c>
      <c r="C719" s="1">
        <f ca="1">IFERROR(__xludf.DUMMYFUNCTION("""COMPUTED_VALUE"""),2.85)</f>
        <v>2.85</v>
      </c>
      <c r="D719" s="1">
        <f ca="1">IFERROR(__xludf.DUMMYFUNCTION("""COMPUTED_VALUE"""),2.75)</f>
        <v>2.75</v>
      </c>
      <c r="E719" s="1">
        <f ca="1">IFERROR(__xludf.DUMMYFUNCTION("""COMPUTED_VALUE"""),2.77)</f>
        <v>2.77</v>
      </c>
      <c r="F719" s="1">
        <f ca="1">IFERROR(__xludf.DUMMYFUNCTION("""COMPUTED_VALUE"""),554300)</f>
        <v>554300</v>
      </c>
      <c r="I719" s="1"/>
    </row>
    <row r="720" spans="1:9">
      <c r="A720" s="3">
        <f ca="1">IFERROR(__xludf.DUMMYFUNCTION("""COMPUTED_VALUE"""),30258.6666666666)</f>
        <v>30258.666666666599</v>
      </c>
      <c r="B720" s="1">
        <f ca="1">IFERROR(__xludf.DUMMYFUNCTION("""COMPUTED_VALUE"""),2.84)</f>
        <v>2.84</v>
      </c>
      <c r="C720" s="1">
        <f ca="1">IFERROR(__xludf.DUMMYFUNCTION("""COMPUTED_VALUE"""),2.84)</f>
        <v>2.84</v>
      </c>
      <c r="D720" s="1">
        <f ca="1">IFERROR(__xludf.DUMMYFUNCTION("""COMPUTED_VALUE"""),2.77)</f>
        <v>2.77</v>
      </c>
      <c r="E720" s="1">
        <f ca="1">IFERROR(__xludf.DUMMYFUNCTION("""COMPUTED_VALUE"""),2.84)</f>
        <v>2.84</v>
      </c>
      <c r="F720" s="1">
        <f ca="1">IFERROR(__xludf.DUMMYFUNCTION("""COMPUTED_VALUE"""),764100)</f>
        <v>764100</v>
      </c>
      <c r="I720" s="1"/>
    </row>
    <row r="721" spans="1:9">
      <c r="A721" s="3">
        <f ca="1">IFERROR(__xludf.DUMMYFUNCTION("""COMPUTED_VALUE"""),30259.6666666666)</f>
        <v>30259.666666666599</v>
      </c>
      <c r="B721" s="1">
        <f ca="1">IFERROR(__xludf.DUMMYFUNCTION("""COMPUTED_VALUE"""),2.84)</f>
        <v>2.84</v>
      </c>
      <c r="C721" s="1">
        <f ca="1">IFERROR(__xludf.DUMMYFUNCTION("""COMPUTED_VALUE"""),2.88)</f>
        <v>2.88</v>
      </c>
      <c r="D721" s="1">
        <f ca="1">IFERROR(__xludf.DUMMYFUNCTION("""COMPUTED_VALUE"""),2.82)</f>
        <v>2.82</v>
      </c>
      <c r="E721" s="1">
        <f ca="1">IFERROR(__xludf.DUMMYFUNCTION("""COMPUTED_VALUE"""),2.84)</f>
        <v>2.84</v>
      </c>
      <c r="F721" s="1">
        <f ca="1">IFERROR(__xludf.DUMMYFUNCTION("""COMPUTED_VALUE"""),782800)</f>
        <v>782800</v>
      </c>
      <c r="I721" s="1"/>
    </row>
    <row r="722" spans="1:9">
      <c r="A722" s="3">
        <f ca="1">IFERROR(__xludf.DUMMYFUNCTION("""COMPUTED_VALUE"""),30260.6666666666)</f>
        <v>30260.666666666599</v>
      </c>
      <c r="B722" s="1">
        <f ca="1">IFERROR(__xludf.DUMMYFUNCTION("""COMPUTED_VALUE"""),2.87)</f>
        <v>2.87</v>
      </c>
      <c r="C722" s="1">
        <f ca="1">IFERROR(__xludf.DUMMYFUNCTION("""COMPUTED_VALUE"""),2.91)</f>
        <v>2.91</v>
      </c>
      <c r="D722" s="1">
        <f ca="1">IFERROR(__xludf.DUMMYFUNCTION("""COMPUTED_VALUE"""),2.81)</f>
        <v>2.81</v>
      </c>
      <c r="E722" s="1">
        <f ca="1">IFERROR(__xludf.DUMMYFUNCTION("""COMPUTED_VALUE"""),2.87)</f>
        <v>2.87</v>
      </c>
      <c r="F722" s="1">
        <f ca="1">IFERROR(__xludf.DUMMYFUNCTION("""COMPUTED_VALUE"""),486100)</f>
        <v>486100</v>
      </c>
      <c r="I722" s="1"/>
    </row>
    <row r="723" spans="1:9">
      <c r="A723" s="3">
        <f ca="1">IFERROR(__xludf.DUMMYFUNCTION("""COMPUTED_VALUE"""),30263.6666666666)</f>
        <v>30263.666666666599</v>
      </c>
      <c r="B723" s="1">
        <f ca="1">IFERROR(__xludf.DUMMYFUNCTION("""COMPUTED_VALUE"""),2.9)</f>
        <v>2.9</v>
      </c>
      <c r="C723" s="1">
        <f ca="1">IFERROR(__xludf.DUMMYFUNCTION("""COMPUTED_VALUE"""),2.91)</f>
        <v>2.91</v>
      </c>
      <c r="D723" s="1">
        <f ca="1">IFERROR(__xludf.DUMMYFUNCTION("""COMPUTED_VALUE"""),2.81)</f>
        <v>2.81</v>
      </c>
      <c r="E723" s="1">
        <f ca="1">IFERROR(__xludf.DUMMYFUNCTION("""COMPUTED_VALUE"""),2.9)</f>
        <v>2.9</v>
      </c>
      <c r="F723" s="1">
        <f ca="1">IFERROR(__xludf.DUMMYFUNCTION("""COMPUTED_VALUE"""),241900)</f>
        <v>241900</v>
      </c>
      <c r="I723" s="1"/>
    </row>
    <row r="724" spans="1:9">
      <c r="A724" s="3">
        <f ca="1">IFERROR(__xludf.DUMMYFUNCTION("""COMPUTED_VALUE"""),30264.6666666666)</f>
        <v>30264.666666666599</v>
      </c>
      <c r="B724" s="1">
        <f ca="1">IFERROR(__xludf.DUMMYFUNCTION("""COMPUTED_VALUE"""),2.91)</f>
        <v>2.91</v>
      </c>
      <c r="C724" s="1">
        <f ca="1">IFERROR(__xludf.DUMMYFUNCTION("""COMPUTED_VALUE"""),2.97)</f>
        <v>2.97</v>
      </c>
      <c r="D724" s="1">
        <f ca="1">IFERROR(__xludf.DUMMYFUNCTION("""COMPUTED_VALUE"""),2.88)</f>
        <v>2.88</v>
      </c>
      <c r="E724" s="1">
        <f ca="1">IFERROR(__xludf.DUMMYFUNCTION("""COMPUTED_VALUE"""),2.91)</f>
        <v>2.91</v>
      </c>
      <c r="F724" s="1">
        <f ca="1">IFERROR(__xludf.DUMMYFUNCTION("""COMPUTED_VALUE"""),655600)</f>
        <v>655600</v>
      </c>
      <c r="I724" s="1"/>
    </row>
    <row r="725" spans="1:9">
      <c r="A725" s="3">
        <f ca="1">IFERROR(__xludf.DUMMYFUNCTION("""COMPUTED_VALUE"""),30265.6666666666)</f>
        <v>30265.666666666599</v>
      </c>
      <c r="B725" s="1">
        <f ca="1">IFERROR(__xludf.DUMMYFUNCTION("""COMPUTED_VALUE"""),2.86)</f>
        <v>2.86</v>
      </c>
      <c r="C725" s="1">
        <f ca="1">IFERROR(__xludf.DUMMYFUNCTION("""COMPUTED_VALUE"""),2.95)</f>
        <v>2.95</v>
      </c>
      <c r="D725" s="1">
        <f ca="1">IFERROR(__xludf.DUMMYFUNCTION("""COMPUTED_VALUE"""),2.86)</f>
        <v>2.86</v>
      </c>
      <c r="E725" s="1">
        <f ca="1">IFERROR(__xludf.DUMMYFUNCTION("""COMPUTED_VALUE"""),2.86)</f>
        <v>2.86</v>
      </c>
      <c r="F725" s="1">
        <f ca="1">IFERROR(__xludf.DUMMYFUNCTION("""COMPUTED_VALUE"""),504800)</f>
        <v>504800</v>
      </c>
      <c r="I725" s="1"/>
    </row>
    <row r="726" spans="1:9">
      <c r="A726" s="3">
        <f ca="1">IFERROR(__xludf.DUMMYFUNCTION("""COMPUTED_VALUE"""),30266.6666666666)</f>
        <v>30266.666666666599</v>
      </c>
      <c r="B726" s="1">
        <f ca="1">IFERROR(__xludf.DUMMYFUNCTION("""COMPUTED_VALUE"""),2.95)</f>
        <v>2.95</v>
      </c>
      <c r="C726" s="1">
        <f ca="1">IFERROR(__xludf.DUMMYFUNCTION("""COMPUTED_VALUE"""),2.95)</f>
        <v>2.95</v>
      </c>
      <c r="D726" s="1">
        <f ca="1">IFERROR(__xludf.DUMMYFUNCTION("""COMPUTED_VALUE"""),2.84)</f>
        <v>2.84</v>
      </c>
      <c r="E726" s="1">
        <f ca="1">IFERROR(__xludf.DUMMYFUNCTION("""COMPUTED_VALUE"""),2.95)</f>
        <v>2.95</v>
      </c>
      <c r="F726" s="1">
        <f ca="1">IFERROR(__xludf.DUMMYFUNCTION("""COMPUTED_VALUE"""),496200)</f>
        <v>496200</v>
      </c>
      <c r="I726" s="1"/>
    </row>
    <row r="727" spans="1:9">
      <c r="A727" s="3">
        <f ca="1">IFERROR(__xludf.DUMMYFUNCTION("""COMPUTED_VALUE"""),30267.6666666666)</f>
        <v>30267.666666666599</v>
      </c>
      <c r="B727" s="1">
        <f ca="1">IFERROR(__xludf.DUMMYFUNCTION("""COMPUTED_VALUE"""),2.95)</f>
        <v>2.95</v>
      </c>
      <c r="C727" s="1">
        <f ca="1">IFERROR(__xludf.DUMMYFUNCTION("""COMPUTED_VALUE"""),3)</f>
        <v>3</v>
      </c>
      <c r="D727" s="1">
        <f ca="1">IFERROR(__xludf.DUMMYFUNCTION("""COMPUTED_VALUE"""),2.95)</f>
        <v>2.95</v>
      </c>
      <c r="E727" s="1">
        <f ca="1">IFERROR(__xludf.DUMMYFUNCTION("""COMPUTED_VALUE"""),2.95)</f>
        <v>2.95</v>
      </c>
      <c r="F727" s="1">
        <f ca="1">IFERROR(__xludf.DUMMYFUNCTION("""COMPUTED_VALUE"""),743300)</f>
        <v>743300</v>
      </c>
      <c r="I727" s="1"/>
    </row>
    <row r="728" spans="1:9">
      <c r="A728" s="3">
        <f ca="1">IFERROR(__xludf.DUMMYFUNCTION("""COMPUTED_VALUE"""),30270.6666666666)</f>
        <v>30270.666666666599</v>
      </c>
      <c r="B728" s="1">
        <f ca="1">IFERROR(__xludf.DUMMYFUNCTION("""COMPUTED_VALUE"""),2.8)</f>
        <v>2.8</v>
      </c>
      <c r="C728" s="1">
        <f ca="1">IFERROR(__xludf.DUMMYFUNCTION("""COMPUTED_VALUE"""),2.9)</f>
        <v>2.9</v>
      </c>
      <c r="D728" s="1">
        <f ca="1">IFERROR(__xludf.DUMMYFUNCTION("""COMPUTED_VALUE"""),2.8)</f>
        <v>2.8</v>
      </c>
      <c r="E728" s="1">
        <f ca="1">IFERROR(__xludf.DUMMYFUNCTION("""COMPUTED_VALUE"""),2.8)</f>
        <v>2.8</v>
      </c>
      <c r="F728" s="1">
        <f ca="1">IFERROR(__xludf.DUMMYFUNCTION("""COMPUTED_VALUE"""),319400)</f>
        <v>319400</v>
      </c>
      <c r="I728" s="1"/>
    </row>
    <row r="729" spans="1:9">
      <c r="A729" s="3">
        <f ca="1">IFERROR(__xludf.DUMMYFUNCTION("""COMPUTED_VALUE"""),30271.6666666666)</f>
        <v>30271.666666666599</v>
      </c>
      <c r="B729" s="1">
        <f ca="1">IFERROR(__xludf.DUMMYFUNCTION("""COMPUTED_VALUE"""),2.82)</f>
        <v>2.82</v>
      </c>
      <c r="C729" s="1">
        <f ca="1">IFERROR(__xludf.DUMMYFUNCTION("""COMPUTED_VALUE"""),2.89)</f>
        <v>2.89</v>
      </c>
      <c r="D729" s="1">
        <f ca="1">IFERROR(__xludf.DUMMYFUNCTION("""COMPUTED_VALUE"""),2.73)</f>
        <v>2.73</v>
      </c>
      <c r="E729" s="1">
        <f ca="1">IFERROR(__xludf.DUMMYFUNCTION("""COMPUTED_VALUE"""),2.82)</f>
        <v>2.82</v>
      </c>
      <c r="F729" s="1">
        <f ca="1">IFERROR(__xludf.DUMMYFUNCTION("""COMPUTED_VALUE"""),588400)</f>
        <v>588400</v>
      </c>
      <c r="I729" s="1"/>
    </row>
    <row r="730" spans="1:9">
      <c r="A730" s="3">
        <f ca="1">IFERROR(__xludf.DUMMYFUNCTION("""COMPUTED_VALUE"""),30272.6666666666)</f>
        <v>30272.666666666599</v>
      </c>
      <c r="B730" s="1">
        <f ca="1">IFERROR(__xludf.DUMMYFUNCTION("""COMPUTED_VALUE"""),2.89)</f>
        <v>2.89</v>
      </c>
      <c r="C730" s="1">
        <f ca="1">IFERROR(__xludf.DUMMYFUNCTION("""COMPUTED_VALUE"""),2.89)</f>
        <v>2.89</v>
      </c>
      <c r="D730" s="1">
        <f ca="1">IFERROR(__xludf.DUMMYFUNCTION("""COMPUTED_VALUE"""),2.83)</f>
        <v>2.83</v>
      </c>
      <c r="E730" s="1">
        <f ca="1">IFERROR(__xludf.DUMMYFUNCTION("""COMPUTED_VALUE"""),2.89)</f>
        <v>2.89</v>
      </c>
      <c r="F730" s="1">
        <f ca="1">IFERROR(__xludf.DUMMYFUNCTION("""COMPUTED_VALUE"""),276800)</f>
        <v>276800</v>
      </c>
      <c r="I730" s="1"/>
    </row>
    <row r="731" spans="1:9">
      <c r="A731" s="3">
        <f ca="1">IFERROR(__xludf.DUMMYFUNCTION("""COMPUTED_VALUE"""),30273.6666666666)</f>
        <v>30273.666666666599</v>
      </c>
      <c r="B731" s="1">
        <f ca="1">IFERROR(__xludf.DUMMYFUNCTION("""COMPUTED_VALUE"""),2.86)</f>
        <v>2.86</v>
      </c>
      <c r="C731" s="1">
        <f ca="1">IFERROR(__xludf.DUMMYFUNCTION("""COMPUTED_VALUE"""),2.89)</f>
        <v>2.89</v>
      </c>
      <c r="D731" s="1">
        <f ca="1">IFERROR(__xludf.DUMMYFUNCTION("""COMPUTED_VALUE"""),2.82)</f>
        <v>2.82</v>
      </c>
      <c r="E731" s="1">
        <f ca="1">IFERROR(__xludf.DUMMYFUNCTION("""COMPUTED_VALUE"""),2.86)</f>
        <v>2.86</v>
      </c>
      <c r="F731" s="1">
        <f ca="1">IFERROR(__xludf.DUMMYFUNCTION("""COMPUTED_VALUE"""),236900)</f>
        <v>236900</v>
      </c>
      <c r="I731" s="1"/>
    </row>
    <row r="732" spans="1:9">
      <c r="A732" s="3">
        <f ca="1">IFERROR(__xludf.DUMMYFUNCTION("""COMPUTED_VALUE"""),30274.6666666666)</f>
        <v>30274.666666666599</v>
      </c>
      <c r="B732" s="1">
        <f ca="1">IFERROR(__xludf.DUMMYFUNCTION("""COMPUTED_VALUE"""),2.83)</f>
        <v>2.83</v>
      </c>
      <c r="C732" s="1">
        <f ca="1">IFERROR(__xludf.DUMMYFUNCTION("""COMPUTED_VALUE"""),2.87)</f>
        <v>2.87</v>
      </c>
      <c r="D732" s="1">
        <f ca="1">IFERROR(__xludf.DUMMYFUNCTION("""COMPUTED_VALUE"""),2.82)</f>
        <v>2.82</v>
      </c>
      <c r="E732" s="1">
        <f ca="1">IFERROR(__xludf.DUMMYFUNCTION("""COMPUTED_VALUE"""),2.83)</f>
        <v>2.83</v>
      </c>
      <c r="F732" s="1">
        <f ca="1">IFERROR(__xludf.DUMMYFUNCTION("""COMPUTED_VALUE"""),260900)</f>
        <v>260900</v>
      </c>
      <c r="I732" s="1"/>
    </row>
    <row r="733" spans="1:9">
      <c r="A733" s="3">
        <f ca="1">IFERROR(__xludf.DUMMYFUNCTION("""COMPUTED_VALUE"""),30277.6666666666)</f>
        <v>30277.666666666599</v>
      </c>
      <c r="B733" s="1">
        <f ca="1">IFERROR(__xludf.DUMMYFUNCTION("""COMPUTED_VALUE"""),2.77)</f>
        <v>2.77</v>
      </c>
      <c r="C733" s="1">
        <f ca="1">IFERROR(__xludf.DUMMYFUNCTION("""COMPUTED_VALUE"""),2.82)</f>
        <v>2.82</v>
      </c>
      <c r="D733" s="1">
        <f ca="1">IFERROR(__xludf.DUMMYFUNCTION("""COMPUTED_VALUE"""),2.75)</f>
        <v>2.75</v>
      </c>
      <c r="E733" s="1">
        <f ca="1">IFERROR(__xludf.DUMMYFUNCTION("""COMPUTED_VALUE"""),2.77)</f>
        <v>2.77</v>
      </c>
      <c r="F733" s="1">
        <f ca="1">IFERROR(__xludf.DUMMYFUNCTION("""COMPUTED_VALUE"""),440200)</f>
        <v>440200</v>
      </c>
      <c r="I733" s="1"/>
    </row>
    <row r="734" spans="1:9">
      <c r="A734" s="3">
        <f ca="1">IFERROR(__xludf.DUMMYFUNCTION("""COMPUTED_VALUE"""),30278.6666666666)</f>
        <v>30278.666666666599</v>
      </c>
      <c r="B734" s="1">
        <f ca="1">IFERROR(__xludf.DUMMYFUNCTION("""COMPUTED_VALUE"""),2.79)</f>
        <v>2.79</v>
      </c>
      <c r="C734" s="1">
        <f ca="1">IFERROR(__xludf.DUMMYFUNCTION("""COMPUTED_VALUE"""),2.82)</f>
        <v>2.82</v>
      </c>
      <c r="D734" s="1">
        <f ca="1">IFERROR(__xludf.DUMMYFUNCTION("""COMPUTED_VALUE"""),2.77)</f>
        <v>2.77</v>
      </c>
      <c r="E734" s="1">
        <f ca="1">IFERROR(__xludf.DUMMYFUNCTION("""COMPUTED_VALUE"""),2.79)</f>
        <v>2.79</v>
      </c>
      <c r="F734" s="1">
        <f ca="1">IFERROR(__xludf.DUMMYFUNCTION("""COMPUTED_VALUE"""),306400)</f>
        <v>306400</v>
      </c>
      <c r="I734" s="1"/>
    </row>
    <row r="735" spans="1:9">
      <c r="A735" s="3">
        <f ca="1">IFERROR(__xludf.DUMMYFUNCTION("""COMPUTED_VALUE"""),30279.6666666666)</f>
        <v>30279.666666666599</v>
      </c>
      <c r="B735" s="1">
        <f ca="1">IFERROR(__xludf.DUMMYFUNCTION("""COMPUTED_VALUE"""),2.78)</f>
        <v>2.78</v>
      </c>
      <c r="C735" s="1">
        <f ca="1">IFERROR(__xludf.DUMMYFUNCTION("""COMPUTED_VALUE"""),2.81)</f>
        <v>2.81</v>
      </c>
      <c r="D735" s="1">
        <f ca="1">IFERROR(__xludf.DUMMYFUNCTION("""COMPUTED_VALUE"""),2.77)</f>
        <v>2.77</v>
      </c>
      <c r="E735" s="1">
        <f ca="1">IFERROR(__xludf.DUMMYFUNCTION("""COMPUTED_VALUE"""),2.78)</f>
        <v>2.78</v>
      </c>
      <c r="F735" s="1">
        <f ca="1">IFERROR(__xludf.DUMMYFUNCTION("""COMPUTED_VALUE"""),232000)</f>
        <v>232000</v>
      </c>
      <c r="I735" s="1"/>
    </row>
    <row r="736" spans="1:9">
      <c r="A736" s="3">
        <f ca="1">IFERROR(__xludf.DUMMYFUNCTION("""COMPUTED_VALUE"""),30281.6666666666)</f>
        <v>30281.666666666599</v>
      </c>
      <c r="B736" s="1">
        <f ca="1">IFERROR(__xludf.DUMMYFUNCTION("""COMPUTED_VALUE"""),2.81)</f>
        <v>2.81</v>
      </c>
      <c r="C736" s="1">
        <f ca="1">IFERROR(__xludf.DUMMYFUNCTION("""COMPUTED_VALUE"""),2.83)</f>
        <v>2.83</v>
      </c>
      <c r="D736" s="1">
        <f ca="1">IFERROR(__xludf.DUMMYFUNCTION("""COMPUTED_VALUE"""),2.79)</f>
        <v>2.79</v>
      </c>
      <c r="E736" s="1">
        <f ca="1">IFERROR(__xludf.DUMMYFUNCTION("""COMPUTED_VALUE"""),2.81)</f>
        <v>2.81</v>
      </c>
      <c r="F736" s="1">
        <f ca="1">IFERROR(__xludf.DUMMYFUNCTION("""COMPUTED_VALUE"""),195300)</f>
        <v>195300</v>
      </c>
      <c r="I736" s="1"/>
    </row>
    <row r="737" spans="1:9">
      <c r="A737" s="3">
        <f ca="1">IFERROR(__xludf.DUMMYFUNCTION("""COMPUTED_VALUE"""),30284.6666666666)</f>
        <v>30284.666666666599</v>
      </c>
      <c r="B737" s="1">
        <f ca="1">IFERROR(__xludf.DUMMYFUNCTION("""COMPUTED_VALUE"""),2.8)</f>
        <v>2.8</v>
      </c>
      <c r="C737" s="1">
        <f ca="1">IFERROR(__xludf.DUMMYFUNCTION("""COMPUTED_VALUE"""),2.84)</f>
        <v>2.84</v>
      </c>
      <c r="D737" s="1">
        <f ca="1">IFERROR(__xludf.DUMMYFUNCTION("""COMPUTED_VALUE"""),2.78)</f>
        <v>2.78</v>
      </c>
      <c r="E737" s="1">
        <f ca="1">IFERROR(__xludf.DUMMYFUNCTION("""COMPUTED_VALUE"""),2.8)</f>
        <v>2.8</v>
      </c>
      <c r="F737" s="1">
        <f ca="1">IFERROR(__xludf.DUMMYFUNCTION("""COMPUTED_VALUE"""),240700)</f>
        <v>240700</v>
      </c>
      <c r="I737" s="1"/>
    </row>
    <row r="738" spans="1:9">
      <c r="A738" s="3">
        <f ca="1">IFERROR(__xludf.DUMMYFUNCTION("""COMPUTED_VALUE"""),30285.6666666666)</f>
        <v>30285.666666666599</v>
      </c>
      <c r="B738" s="1">
        <f ca="1">IFERROR(__xludf.DUMMYFUNCTION("""COMPUTED_VALUE"""),2.91)</f>
        <v>2.91</v>
      </c>
      <c r="C738" s="1">
        <f ca="1">IFERROR(__xludf.DUMMYFUNCTION("""COMPUTED_VALUE"""),2.91)</f>
        <v>2.91</v>
      </c>
      <c r="D738" s="1">
        <f ca="1">IFERROR(__xludf.DUMMYFUNCTION("""COMPUTED_VALUE"""),2.8)</f>
        <v>2.8</v>
      </c>
      <c r="E738" s="1">
        <f ca="1">IFERROR(__xludf.DUMMYFUNCTION("""COMPUTED_VALUE"""),2.91)</f>
        <v>2.91</v>
      </c>
      <c r="F738" s="1">
        <f ca="1">IFERROR(__xludf.DUMMYFUNCTION("""COMPUTED_VALUE"""),454700)</f>
        <v>454700</v>
      </c>
      <c r="I738" s="1"/>
    </row>
    <row r="739" spans="1:9">
      <c r="A739" s="3">
        <f ca="1">IFERROR(__xludf.DUMMYFUNCTION("""COMPUTED_VALUE"""),30286.6666666666)</f>
        <v>30286.666666666599</v>
      </c>
      <c r="B739" s="1">
        <f ca="1">IFERROR(__xludf.DUMMYFUNCTION("""COMPUTED_VALUE"""),2.88)</f>
        <v>2.88</v>
      </c>
      <c r="C739" s="1">
        <f ca="1">IFERROR(__xludf.DUMMYFUNCTION("""COMPUTED_VALUE"""),2.92)</f>
        <v>2.92</v>
      </c>
      <c r="D739" s="1">
        <f ca="1">IFERROR(__xludf.DUMMYFUNCTION("""COMPUTED_VALUE"""),2.86)</f>
        <v>2.86</v>
      </c>
      <c r="E739" s="1">
        <f ca="1">IFERROR(__xludf.DUMMYFUNCTION("""COMPUTED_VALUE"""),2.88)</f>
        <v>2.88</v>
      </c>
      <c r="F739" s="1">
        <f ca="1">IFERROR(__xludf.DUMMYFUNCTION("""COMPUTED_VALUE"""),636500)</f>
        <v>636500</v>
      </c>
      <c r="I739" s="1"/>
    </row>
    <row r="740" spans="1:9">
      <c r="A740" s="3">
        <f ca="1">IFERROR(__xludf.DUMMYFUNCTION("""COMPUTED_VALUE"""),30287.6666666666)</f>
        <v>30287.666666666599</v>
      </c>
      <c r="B740" s="1">
        <f ca="1">IFERROR(__xludf.DUMMYFUNCTION("""COMPUTED_VALUE"""),2.79)</f>
        <v>2.79</v>
      </c>
      <c r="C740" s="1">
        <f ca="1">IFERROR(__xludf.DUMMYFUNCTION("""COMPUTED_VALUE"""),2.87)</f>
        <v>2.87</v>
      </c>
      <c r="D740" s="1">
        <f ca="1">IFERROR(__xludf.DUMMYFUNCTION("""COMPUTED_VALUE"""),2.79)</f>
        <v>2.79</v>
      </c>
      <c r="E740" s="1">
        <f ca="1">IFERROR(__xludf.DUMMYFUNCTION("""COMPUTED_VALUE"""),2.79)</f>
        <v>2.79</v>
      </c>
      <c r="F740" s="1">
        <f ca="1">IFERROR(__xludf.DUMMYFUNCTION("""COMPUTED_VALUE"""),389200)</f>
        <v>389200</v>
      </c>
      <c r="I740" s="1"/>
    </row>
    <row r="741" spans="1:9">
      <c r="A741" s="3">
        <f ca="1">IFERROR(__xludf.DUMMYFUNCTION("""COMPUTED_VALUE"""),30288.6666666666)</f>
        <v>30288.666666666599</v>
      </c>
      <c r="B741" s="1">
        <f ca="1">IFERROR(__xludf.DUMMYFUNCTION("""COMPUTED_VALUE"""),2.84)</f>
        <v>2.84</v>
      </c>
      <c r="C741" s="1">
        <f ca="1">IFERROR(__xludf.DUMMYFUNCTION("""COMPUTED_VALUE"""),2.87)</f>
        <v>2.87</v>
      </c>
      <c r="D741" s="1">
        <f ca="1">IFERROR(__xludf.DUMMYFUNCTION("""COMPUTED_VALUE"""),2.83)</f>
        <v>2.83</v>
      </c>
      <c r="E741" s="1">
        <f ca="1">IFERROR(__xludf.DUMMYFUNCTION("""COMPUTED_VALUE"""),2.84)</f>
        <v>2.84</v>
      </c>
      <c r="F741" s="1">
        <f ca="1">IFERROR(__xludf.DUMMYFUNCTION("""COMPUTED_VALUE"""),364000)</f>
        <v>364000</v>
      </c>
      <c r="I741" s="1"/>
    </row>
    <row r="742" spans="1:9">
      <c r="A742" s="3">
        <f ca="1">IFERROR(__xludf.DUMMYFUNCTION("""COMPUTED_VALUE"""),30291.6666666666)</f>
        <v>30291.666666666599</v>
      </c>
      <c r="B742" s="1">
        <f ca="1">IFERROR(__xludf.DUMMYFUNCTION("""COMPUTED_VALUE"""),2.93)</f>
        <v>2.93</v>
      </c>
      <c r="C742" s="1">
        <f ca="1">IFERROR(__xludf.DUMMYFUNCTION("""COMPUTED_VALUE"""),2.94)</f>
        <v>2.94</v>
      </c>
      <c r="D742" s="1">
        <f ca="1">IFERROR(__xludf.DUMMYFUNCTION("""COMPUTED_VALUE"""),2.82)</f>
        <v>2.82</v>
      </c>
      <c r="E742" s="1">
        <f ca="1">IFERROR(__xludf.DUMMYFUNCTION("""COMPUTED_VALUE"""),2.93)</f>
        <v>2.93</v>
      </c>
      <c r="F742" s="1">
        <f ca="1">IFERROR(__xludf.DUMMYFUNCTION("""COMPUTED_VALUE"""),414900)</f>
        <v>414900</v>
      </c>
      <c r="I742" s="1"/>
    </row>
    <row r="743" spans="1:9">
      <c r="A743" s="3">
        <f ca="1">IFERROR(__xludf.DUMMYFUNCTION("""COMPUTED_VALUE"""),30292.6666666666)</f>
        <v>30292.666666666599</v>
      </c>
      <c r="B743" s="1">
        <f ca="1">IFERROR(__xludf.DUMMYFUNCTION("""COMPUTED_VALUE"""),3.05)</f>
        <v>3.05</v>
      </c>
      <c r="C743" s="1">
        <f ca="1">IFERROR(__xludf.DUMMYFUNCTION("""COMPUTED_VALUE"""),3.12)</f>
        <v>3.12</v>
      </c>
      <c r="D743" s="1">
        <f ca="1">IFERROR(__xludf.DUMMYFUNCTION("""COMPUTED_VALUE"""),2.95)</f>
        <v>2.95</v>
      </c>
      <c r="E743" s="1">
        <f ca="1">IFERROR(__xludf.DUMMYFUNCTION("""COMPUTED_VALUE"""),3.05)</f>
        <v>3.05</v>
      </c>
      <c r="F743" s="1">
        <f ca="1">IFERROR(__xludf.DUMMYFUNCTION("""COMPUTED_VALUE"""),877500)</f>
        <v>877500</v>
      </c>
      <c r="I743" s="1"/>
    </row>
    <row r="744" spans="1:9">
      <c r="A744" s="3">
        <f ca="1">IFERROR(__xludf.DUMMYFUNCTION("""COMPUTED_VALUE"""),30293.6666666666)</f>
        <v>30293.666666666599</v>
      </c>
      <c r="B744" s="1">
        <f ca="1">IFERROR(__xludf.DUMMYFUNCTION("""COMPUTED_VALUE"""),3.02)</f>
        <v>3.02</v>
      </c>
      <c r="C744" s="1">
        <f ca="1">IFERROR(__xludf.DUMMYFUNCTION("""COMPUTED_VALUE"""),3.1)</f>
        <v>3.1</v>
      </c>
      <c r="D744" s="1">
        <f ca="1">IFERROR(__xludf.DUMMYFUNCTION("""COMPUTED_VALUE"""),3)</f>
        <v>3</v>
      </c>
      <c r="E744" s="1">
        <f ca="1">IFERROR(__xludf.DUMMYFUNCTION("""COMPUTED_VALUE"""),3.02)</f>
        <v>3.02</v>
      </c>
      <c r="F744" s="1">
        <f ca="1">IFERROR(__xludf.DUMMYFUNCTION("""COMPUTED_VALUE"""),481300)</f>
        <v>481300</v>
      </c>
      <c r="I744" s="1"/>
    </row>
    <row r="745" spans="1:9">
      <c r="A745" s="3">
        <f ca="1">IFERROR(__xludf.DUMMYFUNCTION("""COMPUTED_VALUE"""),30294.6666666666)</f>
        <v>30294.666666666599</v>
      </c>
      <c r="B745" s="1">
        <f ca="1">IFERROR(__xludf.DUMMYFUNCTION("""COMPUTED_VALUE"""),3.01)</f>
        <v>3.01</v>
      </c>
      <c r="C745" s="1">
        <f ca="1">IFERROR(__xludf.DUMMYFUNCTION("""COMPUTED_VALUE"""),3.05)</f>
        <v>3.05</v>
      </c>
      <c r="D745" s="1">
        <f ca="1">IFERROR(__xludf.DUMMYFUNCTION("""COMPUTED_VALUE"""),2.95)</f>
        <v>2.95</v>
      </c>
      <c r="E745" s="1">
        <f ca="1">IFERROR(__xludf.DUMMYFUNCTION("""COMPUTED_VALUE"""),3.01)</f>
        <v>3.01</v>
      </c>
      <c r="F745" s="1">
        <f ca="1">IFERROR(__xludf.DUMMYFUNCTION("""COMPUTED_VALUE"""),422900)</f>
        <v>422900</v>
      </c>
      <c r="I745" s="1"/>
    </row>
    <row r="746" spans="1:9">
      <c r="A746" s="3">
        <f ca="1">IFERROR(__xludf.DUMMYFUNCTION("""COMPUTED_VALUE"""),30295.6666666666)</f>
        <v>30295.666666666599</v>
      </c>
      <c r="B746" s="1">
        <f ca="1">IFERROR(__xludf.DUMMYFUNCTION("""COMPUTED_VALUE"""),2.99)</f>
        <v>2.99</v>
      </c>
      <c r="C746" s="1">
        <f ca="1">IFERROR(__xludf.DUMMYFUNCTION("""COMPUTED_VALUE"""),3.05)</f>
        <v>3.05</v>
      </c>
      <c r="D746" s="1">
        <f ca="1">IFERROR(__xludf.DUMMYFUNCTION("""COMPUTED_VALUE"""),2.95)</f>
        <v>2.95</v>
      </c>
      <c r="E746" s="1">
        <f ca="1">IFERROR(__xludf.DUMMYFUNCTION("""COMPUTED_VALUE"""),2.99)</f>
        <v>2.99</v>
      </c>
      <c r="F746" s="1">
        <f ca="1">IFERROR(__xludf.DUMMYFUNCTION("""COMPUTED_VALUE"""),322000)</f>
        <v>322000</v>
      </c>
      <c r="I746" s="1"/>
    </row>
    <row r="747" spans="1:9">
      <c r="A747" s="3">
        <f ca="1">IFERROR(__xludf.DUMMYFUNCTION("""COMPUTED_VALUE"""),30298.6666666666)</f>
        <v>30298.666666666599</v>
      </c>
      <c r="B747" s="1">
        <f ca="1">IFERROR(__xludf.DUMMYFUNCTION("""COMPUTED_VALUE"""),3.05)</f>
        <v>3.05</v>
      </c>
      <c r="C747" s="1">
        <f ca="1">IFERROR(__xludf.DUMMYFUNCTION("""COMPUTED_VALUE"""),3.07)</f>
        <v>3.07</v>
      </c>
      <c r="D747" s="1">
        <f ca="1">IFERROR(__xludf.DUMMYFUNCTION("""COMPUTED_VALUE"""),2.98)</f>
        <v>2.98</v>
      </c>
      <c r="E747" s="1">
        <f ca="1">IFERROR(__xludf.DUMMYFUNCTION("""COMPUTED_VALUE"""),3.05)</f>
        <v>3.05</v>
      </c>
      <c r="F747" s="1">
        <f ca="1">IFERROR(__xludf.DUMMYFUNCTION("""COMPUTED_VALUE"""),322500)</f>
        <v>322500</v>
      </c>
      <c r="I747" s="1"/>
    </row>
    <row r="748" spans="1:9">
      <c r="A748" s="3">
        <f ca="1">IFERROR(__xludf.DUMMYFUNCTION("""COMPUTED_VALUE"""),30299.6666666666)</f>
        <v>30299.666666666599</v>
      </c>
      <c r="B748" s="1">
        <f ca="1">IFERROR(__xludf.DUMMYFUNCTION("""COMPUTED_VALUE"""),2.98)</f>
        <v>2.98</v>
      </c>
      <c r="C748" s="1">
        <f ca="1">IFERROR(__xludf.DUMMYFUNCTION("""COMPUTED_VALUE"""),3.13)</f>
        <v>3.13</v>
      </c>
      <c r="D748" s="1">
        <f ca="1">IFERROR(__xludf.DUMMYFUNCTION("""COMPUTED_VALUE"""),2.97)</f>
        <v>2.97</v>
      </c>
      <c r="E748" s="1">
        <f ca="1">IFERROR(__xludf.DUMMYFUNCTION("""COMPUTED_VALUE"""),2.98)</f>
        <v>2.98</v>
      </c>
      <c r="F748" s="1">
        <f ca="1">IFERROR(__xludf.DUMMYFUNCTION("""COMPUTED_VALUE"""),460700)</f>
        <v>460700</v>
      </c>
      <c r="I748" s="1"/>
    </row>
    <row r="749" spans="1:9">
      <c r="A749" s="3">
        <f ca="1">IFERROR(__xludf.DUMMYFUNCTION("""COMPUTED_VALUE"""),30300.6666666666)</f>
        <v>30300.666666666599</v>
      </c>
      <c r="B749" s="1">
        <f ca="1">IFERROR(__xludf.DUMMYFUNCTION("""COMPUTED_VALUE"""),2.95)</f>
        <v>2.95</v>
      </c>
      <c r="C749" s="1">
        <f ca="1">IFERROR(__xludf.DUMMYFUNCTION("""COMPUTED_VALUE"""),3.01)</f>
        <v>3.01</v>
      </c>
      <c r="D749" s="1">
        <f ca="1">IFERROR(__xludf.DUMMYFUNCTION("""COMPUTED_VALUE"""),2.91)</f>
        <v>2.91</v>
      </c>
      <c r="E749" s="1">
        <f ca="1">IFERROR(__xludf.DUMMYFUNCTION("""COMPUTED_VALUE"""),2.95)</f>
        <v>2.95</v>
      </c>
      <c r="F749" s="1">
        <f ca="1">IFERROR(__xludf.DUMMYFUNCTION("""COMPUTED_VALUE"""),328900)</f>
        <v>328900</v>
      </c>
      <c r="I749" s="1"/>
    </row>
    <row r="750" spans="1:9">
      <c r="A750" s="3">
        <f ca="1">IFERROR(__xludf.DUMMYFUNCTION("""COMPUTED_VALUE"""),30301.6666666666)</f>
        <v>30301.666666666599</v>
      </c>
      <c r="B750" s="1">
        <f ca="1">IFERROR(__xludf.DUMMYFUNCTION("""COMPUTED_VALUE"""),2.97)</f>
        <v>2.97</v>
      </c>
      <c r="C750" s="1">
        <f ca="1">IFERROR(__xludf.DUMMYFUNCTION("""COMPUTED_VALUE"""),2.98)</f>
        <v>2.98</v>
      </c>
      <c r="D750" s="1">
        <f ca="1">IFERROR(__xludf.DUMMYFUNCTION("""COMPUTED_VALUE"""),2.94)</f>
        <v>2.94</v>
      </c>
      <c r="E750" s="1">
        <f ca="1">IFERROR(__xludf.DUMMYFUNCTION("""COMPUTED_VALUE"""),2.97)</f>
        <v>2.97</v>
      </c>
      <c r="F750" s="1">
        <f ca="1">IFERROR(__xludf.DUMMYFUNCTION("""COMPUTED_VALUE"""),168400)</f>
        <v>168400</v>
      </c>
      <c r="I750" s="1"/>
    </row>
    <row r="751" spans="1:9">
      <c r="A751" s="3">
        <f ca="1">IFERROR(__xludf.DUMMYFUNCTION("""COMPUTED_VALUE"""),30302.6666666666)</f>
        <v>30302.666666666599</v>
      </c>
      <c r="B751" s="1">
        <f ca="1">IFERROR(__xludf.DUMMYFUNCTION("""COMPUTED_VALUE"""),3.02)</f>
        <v>3.02</v>
      </c>
      <c r="C751" s="1">
        <f ca="1">IFERROR(__xludf.DUMMYFUNCTION("""COMPUTED_VALUE"""),3.03)</f>
        <v>3.03</v>
      </c>
      <c r="D751" s="1">
        <f ca="1">IFERROR(__xludf.DUMMYFUNCTION("""COMPUTED_VALUE"""),2.95)</f>
        <v>2.95</v>
      </c>
      <c r="E751" s="1">
        <f ca="1">IFERROR(__xludf.DUMMYFUNCTION("""COMPUTED_VALUE"""),3.02)</f>
        <v>3.02</v>
      </c>
      <c r="F751" s="1">
        <f ca="1">IFERROR(__xludf.DUMMYFUNCTION("""COMPUTED_VALUE"""),149000)</f>
        <v>149000</v>
      </c>
      <c r="I751" s="1"/>
    </row>
    <row r="752" spans="1:9">
      <c r="A752" s="3">
        <f ca="1">IFERROR(__xludf.DUMMYFUNCTION("""COMPUTED_VALUE"""),30305.6666666666)</f>
        <v>30305.666666666599</v>
      </c>
      <c r="B752" s="1">
        <f ca="1">IFERROR(__xludf.DUMMYFUNCTION("""COMPUTED_VALUE"""),3.02)</f>
        <v>3.02</v>
      </c>
      <c r="C752" s="1">
        <f ca="1">IFERROR(__xludf.DUMMYFUNCTION("""COMPUTED_VALUE"""),3.06)</f>
        <v>3.06</v>
      </c>
      <c r="D752" s="1">
        <f ca="1">IFERROR(__xludf.DUMMYFUNCTION("""COMPUTED_VALUE"""),3)</f>
        <v>3</v>
      </c>
      <c r="E752" s="1">
        <f ca="1">IFERROR(__xludf.DUMMYFUNCTION("""COMPUTED_VALUE"""),3.02)</f>
        <v>3.02</v>
      </c>
      <c r="F752" s="1">
        <f ca="1">IFERROR(__xludf.DUMMYFUNCTION("""COMPUTED_VALUE"""),168800)</f>
        <v>168800</v>
      </c>
      <c r="I752" s="1"/>
    </row>
    <row r="753" spans="1:9">
      <c r="A753" s="3">
        <f ca="1">IFERROR(__xludf.DUMMYFUNCTION("""COMPUTED_VALUE"""),30306.6666666666)</f>
        <v>30306.666666666599</v>
      </c>
      <c r="B753" s="1">
        <f ca="1">IFERROR(__xludf.DUMMYFUNCTION("""COMPUTED_VALUE"""),3.09)</f>
        <v>3.09</v>
      </c>
      <c r="C753" s="1">
        <f ca="1">IFERROR(__xludf.DUMMYFUNCTION("""COMPUTED_VALUE"""),3.11)</f>
        <v>3.11</v>
      </c>
      <c r="D753" s="1">
        <f ca="1">IFERROR(__xludf.DUMMYFUNCTION("""COMPUTED_VALUE"""),3)</f>
        <v>3</v>
      </c>
      <c r="E753" s="1">
        <f ca="1">IFERROR(__xludf.DUMMYFUNCTION("""COMPUTED_VALUE"""),3.09)</f>
        <v>3.09</v>
      </c>
      <c r="F753" s="1">
        <f ca="1">IFERROR(__xludf.DUMMYFUNCTION("""COMPUTED_VALUE"""),211500)</f>
        <v>211500</v>
      </c>
      <c r="I753" s="1"/>
    </row>
    <row r="754" spans="1:9">
      <c r="A754" s="3">
        <f ca="1">IFERROR(__xludf.DUMMYFUNCTION("""COMPUTED_VALUE"""),30307.6666666666)</f>
        <v>30307.666666666599</v>
      </c>
      <c r="B754" s="1">
        <f ca="1">IFERROR(__xludf.DUMMYFUNCTION("""COMPUTED_VALUE"""),3.02)</f>
        <v>3.02</v>
      </c>
      <c r="C754" s="1">
        <f ca="1">IFERROR(__xludf.DUMMYFUNCTION("""COMPUTED_VALUE"""),3.09)</f>
        <v>3.09</v>
      </c>
      <c r="D754" s="1">
        <f ca="1">IFERROR(__xludf.DUMMYFUNCTION("""COMPUTED_VALUE"""),2.97)</f>
        <v>2.97</v>
      </c>
      <c r="E754" s="1">
        <f ca="1">IFERROR(__xludf.DUMMYFUNCTION("""COMPUTED_VALUE"""),3.02)</f>
        <v>3.02</v>
      </c>
      <c r="F754" s="1">
        <f ca="1">IFERROR(__xludf.DUMMYFUNCTION("""COMPUTED_VALUE"""),388600)</f>
        <v>388600</v>
      </c>
      <c r="I754" s="1"/>
    </row>
    <row r="755" spans="1:9">
      <c r="A755" s="3">
        <f ca="1">IFERROR(__xludf.DUMMYFUNCTION("""COMPUTED_VALUE"""),30308.6666666666)</f>
        <v>30308.666666666599</v>
      </c>
      <c r="B755" s="1">
        <f ca="1">IFERROR(__xludf.DUMMYFUNCTION("""COMPUTED_VALUE"""),3.06)</f>
        <v>3.06</v>
      </c>
      <c r="C755" s="1">
        <f ca="1">IFERROR(__xludf.DUMMYFUNCTION("""COMPUTED_VALUE"""),3.09)</f>
        <v>3.09</v>
      </c>
      <c r="D755" s="1">
        <f ca="1">IFERROR(__xludf.DUMMYFUNCTION("""COMPUTED_VALUE"""),3)</f>
        <v>3</v>
      </c>
      <c r="E755" s="1">
        <f ca="1">IFERROR(__xludf.DUMMYFUNCTION("""COMPUTED_VALUE"""),3.06)</f>
        <v>3.06</v>
      </c>
      <c r="F755" s="1">
        <f ca="1">IFERROR(__xludf.DUMMYFUNCTION("""COMPUTED_VALUE"""),194600)</f>
        <v>194600</v>
      </c>
      <c r="I755" s="1"/>
    </row>
    <row r="756" spans="1:9">
      <c r="A756" s="3">
        <f ca="1">IFERROR(__xludf.DUMMYFUNCTION("""COMPUTED_VALUE"""),30312.6666666666)</f>
        <v>30312.666666666599</v>
      </c>
      <c r="B756" s="1">
        <f ca="1">IFERROR(__xludf.DUMMYFUNCTION("""COMPUTED_VALUE"""),3.19)</f>
        <v>3.19</v>
      </c>
      <c r="C756" s="1">
        <f ca="1">IFERROR(__xludf.DUMMYFUNCTION("""COMPUTED_VALUE"""),3.2)</f>
        <v>3.2</v>
      </c>
      <c r="D756" s="1">
        <f ca="1">IFERROR(__xludf.DUMMYFUNCTION("""COMPUTED_VALUE"""),3.08)</f>
        <v>3.08</v>
      </c>
      <c r="E756" s="1">
        <f ca="1">IFERROR(__xludf.DUMMYFUNCTION("""COMPUTED_VALUE"""),3.19)</f>
        <v>3.19</v>
      </c>
      <c r="F756" s="1">
        <f ca="1">IFERROR(__xludf.DUMMYFUNCTION("""COMPUTED_VALUE"""),363500)</f>
        <v>363500</v>
      </c>
      <c r="I756" s="1"/>
    </row>
    <row r="757" spans="1:9">
      <c r="A757" s="3">
        <f ca="1">IFERROR(__xludf.DUMMYFUNCTION("""COMPUTED_VALUE"""),30313.6666666666)</f>
        <v>30313.666666666599</v>
      </c>
      <c r="B757" s="1">
        <f ca="1">IFERROR(__xludf.DUMMYFUNCTION("""COMPUTED_VALUE"""),3.13)</f>
        <v>3.13</v>
      </c>
      <c r="C757" s="1">
        <f ca="1">IFERROR(__xludf.DUMMYFUNCTION("""COMPUTED_VALUE"""),3.19)</f>
        <v>3.19</v>
      </c>
      <c r="D757" s="1">
        <f ca="1">IFERROR(__xludf.DUMMYFUNCTION("""COMPUTED_VALUE"""),3.09)</f>
        <v>3.09</v>
      </c>
      <c r="E757" s="1">
        <f ca="1">IFERROR(__xludf.DUMMYFUNCTION("""COMPUTED_VALUE"""),3.13)</f>
        <v>3.13</v>
      </c>
      <c r="F757" s="1">
        <f ca="1">IFERROR(__xludf.DUMMYFUNCTION("""COMPUTED_VALUE"""),349200)</f>
        <v>349200</v>
      </c>
      <c r="I757" s="1"/>
    </row>
    <row r="758" spans="1:9">
      <c r="A758" s="3">
        <f ca="1">IFERROR(__xludf.DUMMYFUNCTION("""COMPUTED_VALUE"""),30314.6666666666)</f>
        <v>30314.666666666599</v>
      </c>
      <c r="B758" s="1">
        <f ca="1">IFERROR(__xludf.DUMMYFUNCTION("""COMPUTED_VALUE"""),3.14)</f>
        <v>3.14</v>
      </c>
      <c r="C758" s="1">
        <f ca="1">IFERROR(__xludf.DUMMYFUNCTION("""COMPUTED_VALUE"""),3.15)</f>
        <v>3.15</v>
      </c>
      <c r="D758" s="1">
        <f ca="1">IFERROR(__xludf.DUMMYFUNCTION("""COMPUTED_VALUE"""),3.11)</f>
        <v>3.11</v>
      </c>
      <c r="E758" s="1">
        <f ca="1">IFERROR(__xludf.DUMMYFUNCTION("""COMPUTED_VALUE"""),3.14)</f>
        <v>3.14</v>
      </c>
      <c r="F758" s="1">
        <f ca="1">IFERROR(__xludf.DUMMYFUNCTION("""COMPUTED_VALUE"""),201600)</f>
        <v>201600</v>
      </c>
      <c r="I758" s="1"/>
    </row>
    <row r="759" spans="1:9">
      <c r="A759" s="3">
        <f ca="1">IFERROR(__xludf.DUMMYFUNCTION("""COMPUTED_VALUE"""),30315.6666666666)</f>
        <v>30315.666666666599</v>
      </c>
      <c r="B759" s="1">
        <f ca="1">IFERROR(__xludf.DUMMYFUNCTION("""COMPUTED_VALUE"""),3.09)</f>
        <v>3.09</v>
      </c>
      <c r="C759" s="1">
        <f ca="1">IFERROR(__xludf.DUMMYFUNCTION("""COMPUTED_VALUE"""),3.13)</f>
        <v>3.13</v>
      </c>
      <c r="D759" s="1">
        <f ca="1">IFERROR(__xludf.DUMMYFUNCTION("""COMPUTED_VALUE"""),3.09)</f>
        <v>3.09</v>
      </c>
      <c r="E759" s="1">
        <f ca="1">IFERROR(__xludf.DUMMYFUNCTION("""COMPUTED_VALUE"""),3.09)</f>
        <v>3.09</v>
      </c>
      <c r="F759" s="1">
        <f ca="1">IFERROR(__xludf.DUMMYFUNCTION("""COMPUTED_VALUE"""),140700)</f>
        <v>140700</v>
      </c>
      <c r="I759" s="1"/>
    </row>
    <row r="760" spans="1:9">
      <c r="A760" s="3">
        <f ca="1">IFERROR(__xludf.DUMMYFUNCTION("""COMPUTED_VALUE"""),30316.6666666666)</f>
        <v>30316.666666666599</v>
      </c>
      <c r="B760" s="1">
        <f ca="1">IFERROR(__xludf.DUMMYFUNCTION("""COMPUTED_VALUE"""),3.1)</f>
        <v>3.1</v>
      </c>
      <c r="C760" s="1">
        <f ca="1">IFERROR(__xludf.DUMMYFUNCTION("""COMPUTED_VALUE"""),3.13)</f>
        <v>3.13</v>
      </c>
      <c r="D760" s="1">
        <f ca="1">IFERROR(__xludf.DUMMYFUNCTION("""COMPUTED_VALUE"""),3.09)</f>
        <v>3.09</v>
      </c>
      <c r="E760" s="1">
        <f ca="1">IFERROR(__xludf.DUMMYFUNCTION("""COMPUTED_VALUE"""),3.1)</f>
        <v>3.1</v>
      </c>
      <c r="F760" s="1">
        <f ca="1">IFERROR(__xludf.DUMMYFUNCTION("""COMPUTED_VALUE"""),114400)</f>
        <v>114400</v>
      </c>
      <c r="I760" s="1"/>
    </row>
    <row r="761" spans="1:9">
      <c r="A761" s="3">
        <f ca="1">IFERROR(__xludf.DUMMYFUNCTION("""COMPUTED_VALUE"""),30319.6666666666)</f>
        <v>30319.666666666599</v>
      </c>
      <c r="B761" s="1">
        <f ca="1">IFERROR(__xludf.DUMMYFUNCTION("""COMPUTED_VALUE"""),3.09)</f>
        <v>3.09</v>
      </c>
      <c r="C761" s="1">
        <f ca="1">IFERROR(__xludf.DUMMYFUNCTION("""COMPUTED_VALUE"""),3.13)</f>
        <v>3.13</v>
      </c>
      <c r="D761" s="1">
        <f ca="1">IFERROR(__xludf.DUMMYFUNCTION("""COMPUTED_VALUE"""),3.09)</f>
        <v>3.09</v>
      </c>
      <c r="E761" s="1">
        <f ca="1">IFERROR(__xludf.DUMMYFUNCTION("""COMPUTED_VALUE"""),3.09)</f>
        <v>3.09</v>
      </c>
      <c r="F761" s="1">
        <f ca="1">IFERROR(__xludf.DUMMYFUNCTION("""COMPUTED_VALUE"""),273300)</f>
        <v>273300</v>
      </c>
      <c r="I761" s="1"/>
    </row>
    <row r="762" spans="1:9">
      <c r="A762" s="3">
        <f ca="1">IFERROR(__xludf.DUMMYFUNCTION("""COMPUTED_VALUE"""),30320.6666666666)</f>
        <v>30320.666666666599</v>
      </c>
      <c r="B762" s="1">
        <f ca="1">IFERROR(__xludf.DUMMYFUNCTION("""COMPUTED_VALUE"""),3.2)</f>
        <v>3.2</v>
      </c>
      <c r="C762" s="1">
        <f ca="1">IFERROR(__xludf.DUMMYFUNCTION("""COMPUTED_VALUE"""),3.2)</f>
        <v>3.2</v>
      </c>
      <c r="D762" s="1">
        <f ca="1">IFERROR(__xludf.DUMMYFUNCTION("""COMPUTED_VALUE"""),3.09)</f>
        <v>3.09</v>
      </c>
      <c r="E762" s="1">
        <f ca="1">IFERROR(__xludf.DUMMYFUNCTION("""COMPUTED_VALUE"""),3.2)</f>
        <v>3.2</v>
      </c>
      <c r="F762" s="1">
        <f ca="1">IFERROR(__xludf.DUMMYFUNCTION("""COMPUTED_VALUE"""),565200)</f>
        <v>565200</v>
      </c>
      <c r="I762" s="1"/>
    </row>
    <row r="763" spans="1:9">
      <c r="A763" s="3">
        <f ca="1">IFERROR(__xludf.DUMMYFUNCTION("""COMPUTED_VALUE"""),30321.6666666666)</f>
        <v>30321.666666666599</v>
      </c>
      <c r="B763" s="1">
        <f ca="1">IFERROR(__xludf.DUMMYFUNCTION("""COMPUTED_VALUE"""),3.16)</f>
        <v>3.16</v>
      </c>
      <c r="C763" s="1">
        <f ca="1">IFERROR(__xludf.DUMMYFUNCTION("""COMPUTED_VALUE"""),3.21)</f>
        <v>3.21</v>
      </c>
      <c r="D763" s="1">
        <f ca="1">IFERROR(__xludf.DUMMYFUNCTION("""COMPUTED_VALUE"""),3.13)</f>
        <v>3.13</v>
      </c>
      <c r="E763" s="1">
        <f ca="1">IFERROR(__xludf.DUMMYFUNCTION("""COMPUTED_VALUE"""),3.16)</f>
        <v>3.16</v>
      </c>
      <c r="F763" s="1">
        <f ca="1">IFERROR(__xludf.DUMMYFUNCTION("""COMPUTED_VALUE"""),346600)</f>
        <v>346600</v>
      </c>
      <c r="I763" s="1"/>
    </row>
    <row r="764" spans="1:9">
      <c r="A764" s="3">
        <f ca="1">IFERROR(__xludf.DUMMYFUNCTION("""COMPUTED_VALUE"""),30322.6666666666)</f>
        <v>30322.666666666599</v>
      </c>
      <c r="B764" s="1">
        <f ca="1">IFERROR(__xludf.DUMMYFUNCTION("""COMPUTED_VALUE"""),3.09)</f>
        <v>3.09</v>
      </c>
      <c r="C764" s="1">
        <f ca="1">IFERROR(__xludf.DUMMYFUNCTION("""COMPUTED_VALUE"""),3.16)</f>
        <v>3.16</v>
      </c>
      <c r="D764" s="1">
        <f ca="1">IFERROR(__xludf.DUMMYFUNCTION("""COMPUTED_VALUE"""),3.09)</f>
        <v>3.09</v>
      </c>
      <c r="E764" s="1">
        <f ca="1">IFERROR(__xludf.DUMMYFUNCTION("""COMPUTED_VALUE"""),3.09)</f>
        <v>3.09</v>
      </c>
      <c r="F764" s="1">
        <f ca="1">IFERROR(__xludf.DUMMYFUNCTION("""COMPUTED_VALUE"""),480400)</f>
        <v>480400</v>
      </c>
      <c r="I764" s="1"/>
    </row>
    <row r="765" spans="1:9">
      <c r="A765" s="3">
        <f ca="1">IFERROR(__xludf.DUMMYFUNCTION("""COMPUTED_VALUE"""),30323.6666666666)</f>
        <v>30323.666666666599</v>
      </c>
      <c r="B765" s="1">
        <f ca="1">IFERROR(__xludf.DUMMYFUNCTION("""COMPUTED_VALUE"""),3.1)</f>
        <v>3.1</v>
      </c>
      <c r="C765" s="1">
        <f ca="1">IFERROR(__xludf.DUMMYFUNCTION("""COMPUTED_VALUE"""),3.14)</f>
        <v>3.14</v>
      </c>
      <c r="D765" s="1">
        <f ca="1">IFERROR(__xludf.DUMMYFUNCTION("""COMPUTED_VALUE"""),3.09)</f>
        <v>3.09</v>
      </c>
      <c r="E765" s="1">
        <f ca="1">IFERROR(__xludf.DUMMYFUNCTION("""COMPUTED_VALUE"""),3.1)</f>
        <v>3.1</v>
      </c>
      <c r="F765" s="1">
        <f ca="1">IFERROR(__xludf.DUMMYFUNCTION("""COMPUTED_VALUE"""),483300)</f>
        <v>483300</v>
      </c>
      <c r="I765" s="1"/>
    </row>
    <row r="766" spans="1:9">
      <c r="A766" s="3">
        <f ca="1">IFERROR(__xludf.DUMMYFUNCTION("""COMPUTED_VALUE"""),30326.6666666666)</f>
        <v>30326.666666666599</v>
      </c>
      <c r="B766" s="1">
        <f ca="1">IFERROR(__xludf.DUMMYFUNCTION("""COMPUTED_VALUE"""),3.06)</f>
        <v>3.06</v>
      </c>
      <c r="C766" s="1">
        <f ca="1">IFERROR(__xludf.DUMMYFUNCTION("""COMPUTED_VALUE"""),3.12)</f>
        <v>3.12</v>
      </c>
      <c r="D766" s="1">
        <f ca="1">IFERROR(__xludf.DUMMYFUNCTION("""COMPUTED_VALUE"""),3.05)</f>
        <v>3.05</v>
      </c>
      <c r="E766" s="1">
        <f ca="1">IFERROR(__xludf.DUMMYFUNCTION("""COMPUTED_VALUE"""),3.06)</f>
        <v>3.06</v>
      </c>
      <c r="F766" s="1">
        <f ca="1">IFERROR(__xludf.DUMMYFUNCTION("""COMPUTED_VALUE"""),371800)</f>
        <v>371800</v>
      </c>
      <c r="I766" s="1"/>
    </row>
    <row r="767" spans="1:9">
      <c r="A767" s="3">
        <f ca="1">IFERROR(__xludf.DUMMYFUNCTION("""COMPUTED_VALUE"""),30327.6666666666)</f>
        <v>30327.666666666599</v>
      </c>
      <c r="B767" s="1">
        <f ca="1">IFERROR(__xludf.DUMMYFUNCTION("""COMPUTED_VALUE"""),3.02)</f>
        <v>3.02</v>
      </c>
      <c r="C767" s="1">
        <f ca="1">IFERROR(__xludf.DUMMYFUNCTION("""COMPUTED_VALUE"""),3.08)</f>
        <v>3.08</v>
      </c>
      <c r="D767" s="1">
        <f ca="1">IFERROR(__xludf.DUMMYFUNCTION("""COMPUTED_VALUE"""),2.99)</f>
        <v>2.99</v>
      </c>
      <c r="E767" s="1">
        <f ca="1">IFERROR(__xludf.DUMMYFUNCTION("""COMPUTED_VALUE"""),3.02)</f>
        <v>3.02</v>
      </c>
      <c r="F767" s="1">
        <f ca="1">IFERROR(__xludf.DUMMYFUNCTION("""COMPUTED_VALUE"""),366400)</f>
        <v>366400</v>
      </c>
      <c r="I767" s="1"/>
    </row>
    <row r="768" spans="1:9">
      <c r="A768" s="3">
        <f ca="1">IFERROR(__xludf.DUMMYFUNCTION("""COMPUTED_VALUE"""),30328.6666666666)</f>
        <v>30328.666666666599</v>
      </c>
      <c r="B768" s="1">
        <f ca="1">IFERROR(__xludf.DUMMYFUNCTION("""COMPUTED_VALUE"""),3.07)</f>
        <v>3.07</v>
      </c>
      <c r="C768" s="1">
        <f ca="1">IFERROR(__xludf.DUMMYFUNCTION("""COMPUTED_VALUE"""),3.09)</f>
        <v>3.09</v>
      </c>
      <c r="D768" s="1">
        <f ca="1">IFERROR(__xludf.DUMMYFUNCTION("""COMPUTED_VALUE"""),3.01)</f>
        <v>3.01</v>
      </c>
      <c r="E768" s="1">
        <f ca="1">IFERROR(__xludf.DUMMYFUNCTION("""COMPUTED_VALUE"""),3.07)</f>
        <v>3.07</v>
      </c>
      <c r="F768" s="1">
        <f ca="1">IFERROR(__xludf.DUMMYFUNCTION("""COMPUTED_VALUE"""),550700)</f>
        <v>550700</v>
      </c>
      <c r="I768" s="1"/>
    </row>
    <row r="769" spans="1:9">
      <c r="A769" s="3">
        <f ca="1">IFERROR(__xludf.DUMMYFUNCTION("""COMPUTED_VALUE"""),30329.6666666666)</f>
        <v>30329.666666666599</v>
      </c>
      <c r="B769" s="1">
        <f ca="1">IFERROR(__xludf.DUMMYFUNCTION("""COMPUTED_VALUE"""),3.05)</f>
        <v>3.05</v>
      </c>
      <c r="C769" s="1">
        <f ca="1">IFERROR(__xludf.DUMMYFUNCTION("""COMPUTED_VALUE"""),3.08)</f>
        <v>3.08</v>
      </c>
      <c r="D769" s="1">
        <f ca="1">IFERROR(__xludf.DUMMYFUNCTION("""COMPUTED_VALUE"""),3.03)</f>
        <v>3.03</v>
      </c>
      <c r="E769" s="1">
        <f ca="1">IFERROR(__xludf.DUMMYFUNCTION("""COMPUTED_VALUE"""),3.05)</f>
        <v>3.05</v>
      </c>
      <c r="F769" s="1">
        <f ca="1">IFERROR(__xludf.DUMMYFUNCTION("""COMPUTED_VALUE"""),163300)</f>
        <v>163300</v>
      </c>
      <c r="I769" s="1"/>
    </row>
    <row r="770" spans="1:9">
      <c r="A770" s="3">
        <f ca="1">IFERROR(__xludf.DUMMYFUNCTION("""COMPUTED_VALUE"""),30330.6666666666)</f>
        <v>30330.666666666599</v>
      </c>
      <c r="B770" s="1">
        <f ca="1">IFERROR(__xludf.DUMMYFUNCTION("""COMPUTED_VALUE"""),3.08)</f>
        <v>3.08</v>
      </c>
      <c r="C770" s="1">
        <f ca="1">IFERROR(__xludf.DUMMYFUNCTION("""COMPUTED_VALUE"""),3.09)</f>
        <v>3.09</v>
      </c>
      <c r="D770" s="1">
        <f ca="1">IFERROR(__xludf.DUMMYFUNCTION("""COMPUTED_VALUE"""),3.05)</f>
        <v>3.05</v>
      </c>
      <c r="E770" s="1">
        <f ca="1">IFERROR(__xludf.DUMMYFUNCTION("""COMPUTED_VALUE"""),3.08)</f>
        <v>3.08</v>
      </c>
      <c r="F770" s="1">
        <f ca="1">IFERROR(__xludf.DUMMYFUNCTION("""COMPUTED_VALUE"""),283200)</f>
        <v>283200</v>
      </c>
      <c r="I770" s="1"/>
    </row>
    <row r="771" spans="1:9">
      <c r="A771" s="3">
        <f ca="1">IFERROR(__xludf.DUMMYFUNCTION("""COMPUTED_VALUE"""),30333.6666666666)</f>
        <v>30333.666666666599</v>
      </c>
      <c r="B771" s="1">
        <f ca="1">IFERROR(__xludf.DUMMYFUNCTION("""COMPUTED_VALUE"""),3.11)</f>
        <v>3.11</v>
      </c>
      <c r="C771" s="1">
        <f ca="1">IFERROR(__xludf.DUMMYFUNCTION("""COMPUTED_VALUE"""),3.13)</f>
        <v>3.13</v>
      </c>
      <c r="D771" s="1">
        <f ca="1">IFERROR(__xludf.DUMMYFUNCTION("""COMPUTED_VALUE"""),3.09)</f>
        <v>3.09</v>
      </c>
      <c r="E771" s="1">
        <f ca="1">IFERROR(__xludf.DUMMYFUNCTION("""COMPUTED_VALUE"""),3.11)</f>
        <v>3.11</v>
      </c>
      <c r="F771" s="1">
        <f ca="1">IFERROR(__xludf.DUMMYFUNCTION("""COMPUTED_VALUE"""),335500)</f>
        <v>335500</v>
      </c>
      <c r="I771" s="1"/>
    </row>
    <row r="772" spans="1:9">
      <c r="A772" s="3">
        <f ca="1">IFERROR(__xludf.DUMMYFUNCTION("""COMPUTED_VALUE"""),30334.6666666666)</f>
        <v>30334.666666666599</v>
      </c>
      <c r="B772" s="1">
        <f ca="1">IFERROR(__xludf.DUMMYFUNCTION("""COMPUTED_VALUE"""),3.07)</f>
        <v>3.07</v>
      </c>
      <c r="C772" s="1">
        <f ca="1">IFERROR(__xludf.DUMMYFUNCTION("""COMPUTED_VALUE"""),3.1)</f>
        <v>3.1</v>
      </c>
      <c r="D772" s="1">
        <f ca="1">IFERROR(__xludf.DUMMYFUNCTION("""COMPUTED_VALUE"""),3.06)</f>
        <v>3.06</v>
      </c>
      <c r="E772" s="1">
        <f ca="1">IFERROR(__xludf.DUMMYFUNCTION("""COMPUTED_VALUE"""),3.07)</f>
        <v>3.07</v>
      </c>
      <c r="F772" s="1">
        <f ca="1">IFERROR(__xludf.DUMMYFUNCTION("""COMPUTED_VALUE"""),162000)</f>
        <v>162000</v>
      </c>
      <c r="I772" s="1"/>
    </row>
    <row r="773" spans="1:9">
      <c r="A773" s="3">
        <f ca="1">IFERROR(__xludf.DUMMYFUNCTION("""COMPUTED_VALUE"""),30335.6666666666)</f>
        <v>30335.666666666599</v>
      </c>
      <c r="B773" s="1">
        <f ca="1">IFERROR(__xludf.DUMMYFUNCTION("""COMPUTED_VALUE"""),3.06)</f>
        <v>3.06</v>
      </c>
      <c r="C773" s="1">
        <f ca="1">IFERROR(__xludf.DUMMYFUNCTION("""COMPUTED_VALUE"""),3.07)</f>
        <v>3.07</v>
      </c>
      <c r="D773" s="1">
        <f ca="1">IFERROR(__xludf.DUMMYFUNCTION("""COMPUTED_VALUE"""),3.02)</f>
        <v>3.02</v>
      </c>
      <c r="E773" s="1">
        <f ca="1">IFERROR(__xludf.DUMMYFUNCTION("""COMPUTED_VALUE"""),3.06)</f>
        <v>3.06</v>
      </c>
      <c r="F773" s="1">
        <f ca="1">IFERROR(__xludf.DUMMYFUNCTION("""COMPUTED_VALUE"""),190400)</f>
        <v>190400</v>
      </c>
      <c r="I773" s="1"/>
    </row>
    <row r="774" spans="1:9">
      <c r="A774" s="3">
        <f ca="1">IFERROR(__xludf.DUMMYFUNCTION("""COMPUTED_VALUE"""),30336.6666666666)</f>
        <v>30336.666666666599</v>
      </c>
      <c r="B774" s="1">
        <f ca="1">IFERROR(__xludf.DUMMYFUNCTION("""COMPUTED_VALUE"""),3.06)</f>
        <v>3.06</v>
      </c>
      <c r="C774" s="1">
        <f ca="1">IFERROR(__xludf.DUMMYFUNCTION("""COMPUTED_VALUE"""),3.09)</f>
        <v>3.09</v>
      </c>
      <c r="D774" s="1">
        <f ca="1">IFERROR(__xludf.DUMMYFUNCTION("""COMPUTED_VALUE"""),3.04)</f>
        <v>3.04</v>
      </c>
      <c r="E774" s="1">
        <f ca="1">IFERROR(__xludf.DUMMYFUNCTION("""COMPUTED_VALUE"""),3.06)</f>
        <v>3.06</v>
      </c>
      <c r="F774" s="1">
        <f ca="1">IFERROR(__xludf.DUMMYFUNCTION("""COMPUTED_VALUE"""),172200)</f>
        <v>172200</v>
      </c>
      <c r="I774" s="1"/>
    </row>
    <row r="775" spans="1:9">
      <c r="A775" s="3">
        <f ca="1">IFERROR(__xludf.DUMMYFUNCTION("""COMPUTED_VALUE"""),30337.6666666666)</f>
        <v>30337.666666666599</v>
      </c>
      <c r="B775" s="1">
        <f ca="1">IFERROR(__xludf.DUMMYFUNCTION("""COMPUTED_VALUE"""),2.96)</f>
        <v>2.96</v>
      </c>
      <c r="C775" s="1">
        <f ca="1">IFERROR(__xludf.DUMMYFUNCTION("""COMPUTED_VALUE"""),3.07)</f>
        <v>3.07</v>
      </c>
      <c r="D775" s="1">
        <f ca="1">IFERROR(__xludf.DUMMYFUNCTION("""COMPUTED_VALUE"""),2.92)</f>
        <v>2.92</v>
      </c>
      <c r="E775" s="1">
        <f ca="1">IFERROR(__xludf.DUMMYFUNCTION("""COMPUTED_VALUE"""),2.96)</f>
        <v>2.96</v>
      </c>
      <c r="F775" s="1">
        <f ca="1">IFERROR(__xludf.DUMMYFUNCTION("""COMPUTED_VALUE"""),251300)</f>
        <v>251300</v>
      </c>
      <c r="I775" s="1"/>
    </row>
    <row r="776" spans="1:9">
      <c r="A776" s="3">
        <f ca="1">IFERROR(__xludf.DUMMYFUNCTION("""COMPUTED_VALUE"""),30340.6666666666)</f>
        <v>30340.666666666599</v>
      </c>
      <c r="B776" s="1">
        <f ca="1">IFERROR(__xludf.DUMMYFUNCTION("""COMPUTED_VALUE"""),2.92)</f>
        <v>2.92</v>
      </c>
      <c r="C776" s="1">
        <f ca="1">IFERROR(__xludf.DUMMYFUNCTION("""COMPUTED_VALUE"""),2.95)</f>
        <v>2.95</v>
      </c>
      <c r="D776" s="1">
        <f ca="1">IFERROR(__xludf.DUMMYFUNCTION("""COMPUTED_VALUE"""),2.88)</f>
        <v>2.88</v>
      </c>
      <c r="E776" s="1">
        <f ca="1">IFERROR(__xludf.DUMMYFUNCTION("""COMPUTED_VALUE"""),2.92)</f>
        <v>2.92</v>
      </c>
      <c r="F776" s="1">
        <f ca="1">IFERROR(__xludf.DUMMYFUNCTION("""COMPUTED_VALUE"""),236100)</f>
        <v>236100</v>
      </c>
      <c r="I776" s="1"/>
    </row>
    <row r="777" spans="1:9">
      <c r="A777" s="3">
        <f ca="1">IFERROR(__xludf.DUMMYFUNCTION("""COMPUTED_VALUE"""),30341.6666666666)</f>
        <v>30341.666666666599</v>
      </c>
      <c r="B777" s="1">
        <f ca="1">IFERROR(__xludf.DUMMYFUNCTION("""COMPUTED_VALUE"""),3.02)</f>
        <v>3.02</v>
      </c>
      <c r="C777" s="1">
        <f ca="1">IFERROR(__xludf.DUMMYFUNCTION("""COMPUTED_VALUE"""),3.03)</f>
        <v>3.03</v>
      </c>
      <c r="D777" s="1">
        <f ca="1">IFERROR(__xludf.DUMMYFUNCTION("""COMPUTED_VALUE"""),2.94)</f>
        <v>2.94</v>
      </c>
      <c r="E777" s="1">
        <f ca="1">IFERROR(__xludf.DUMMYFUNCTION("""COMPUTED_VALUE"""),3.02)</f>
        <v>3.02</v>
      </c>
      <c r="F777" s="1">
        <f ca="1">IFERROR(__xludf.DUMMYFUNCTION("""COMPUTED_VALUE"""),239000)</f>
        <v>239000</v>
      </c>
      <c r="I777" s="1"/>
    </row>
    <row r="778" spans="1:9">
      <c r="A778" s="3">
        <f ca="1">IFERROR(__xludf.DUMMYFUNCTION("""COMPUTED_VALUE"""),30342.6666666666)</f>
        <v>30342.666666666599</v>
      </c>
      <c r="B778" s="1">
        <f ca="1">IFERROR(__xludf.DUMMYFUNCTION("""COMPUTED_VALUE"""),2.97)</f>
        <v>2.97</v>
      </c>
      <c r="C778" s="1">
        <f ca="1">IFERROR(__xludf.DUMMYFUNCTION("""COMPUTED_VALUE"""),3.02)</f>
        <v>3.02</v>
      </c>
      <c r="D778" s="1">
        <f ca="1">IFERROR(__xludf.DUMMYFUNCTION("""COMPUTED_VALUE"""),2.94)</f>
        <v>2.94</v>
      </c>
      <c r="E778" s="1">
        <f ca="1">IFERROR(__xludf.DUMMYFUNCTION("""COMPUTED_VALUE"""),2.97)</f>
        <v>2.97</v>
      </c>
      <c r="F778" s="1">
        <f ca="1">IFERROR(__xludf.DUMMYFUNCTION("""COMPUTED_VALUE"""),146100)</f>
        <v>146100</v>
      </c>
      <c r="I778" s="1"/>
    </row>
    <row r="779" spans="1:9">
      <c r="A779" s="3">
        <f ca="1">IFERROR(__xludf.DUMMYFUNCTION("""COMPUTED_VALUE"""),30343.6666666666)</f>
        <v>30343.666666666599</v>
      </c>
      <c r="B779" s="1">
        <f ca="1">IFERROR(__xludf.DUMMYFUNCTION("""COMPUTED_VALUE"""),3.06)</f>
        <v>3.06</v>
      </c>
      <c r="C779" s="1">
        <f ca="1">IFERROR(__xludf.DUMMYFUNCTION("""COMPUTED_VALUE"""),3.09)</f>
        <v>3.09</v>
      </c>
      <c r="D779" s="1">
        <f ca="1">IFERROR(__xludf.DUMMYFUNCTION("""COMPUTED_VALUE"""),2.97)</f>
        <v>2.97</v>
      </c>
      <c r="E779" s="1">
        <f ca="1">IFERROR(__xludf.DUMMYFUNCTION("""COMPUTED_VALUE"""),3.06)</f>
        <v>3.06</v>
      </c>
      <c r="F779" s="1">
        <f ca="1">IFERROR(__xludf.DUMMYFUNCTION("""COMPUTED_VALUE"""),197100)</f>
        <v>197100</v>
      </c>
      <c r="I779" s="1"/>
    </row>
    <row r="780" spans="1:9">
      <c r="A780" s="3">
        <f ca="1">IFERROR(__xludf.DUMMYFUNCTION("""COMPUTED_VALUE"""),30344.6666666666)</f>
        <v>30344.666666666599</v>
      </c>
      <c r="B780" s="1">
        <f ca="1">IFERROR(__xludf.DUMMYFUNCTION("""COMPUTED_VALUE"""),3.02)</f>
        <v>3.02</v>
      </c>
      <c r="C780" s="1">
        <f ca="1">IFERROR(__xludf.DUMMYFUNCTION("""COMPUTED_VALUE"""),3.08)</f>
        <v>3.08</v>
      </c>
      <c r="D780" s="1">
        <f ca="1">IFERROR(__xludf.DUMMYFUNCTION("""COMPUTED_VALUE"""),3)</f>
        <v>3</v>
      </c>
      <c r="E780" s="1">
        <f ca="1">IFERROR(__xludf.DUMMYFUNCTION("""COMPUTED_VALUE"""),3.02)</f>
        <v>3.02</v>
      </c>
      <c r="F780" s="1">
        <f ca="1">IFERROR(__xludf.DUMMYFUNCTION("""COMPUTED_VALUE"""),173600)</f>
        <v>173600</v>
      </c>
      <c r="I780" s="1"/>
    </row>
    <row r="781" spans="1:9">
      <c r="A781" s="3">
        <f ca="1">IFERROR(__xludf.DUMMYFUNCTION("""COMPUTED_VALUE"""),30347.6666666666)</f>
        <v>30347.666666666599</v>
      </c>
      <c r="B781" s="1">
        <f ca="1">IFERROR(__xludf.DUMMYFUNCTION("""COMPUTED_VALUE"""),3.02)</f>
        <v>3.02</v>
      </c>
      <c r="C781" s="1">
        <f ca="1">IFERROR(__xludf.DUMMYFUNCTION("""COMPUTED_VALUE"""),3.03)</f>
        <v>3.03</v>
      </c>
      <c r="D781" s="1">
        <f ca="1">IFERROR(__xludf.DUMMYFUNCTION("""COMPUTED_VALUE"""),2.98)</f>
        <v>2.98</v>
      </c>
      <c r="E781" s="1">
        <f ca="1">IFERROR(__xludf.DUMMYFUNCTION("""COMPUTED_VALUE"""),3.02)</f>
        <v>3.02</v>
      </c>
      <c r="F781" s="1">
        <f ca="1">IFERROR(__xludf.DUMMYFUNCTION("""COMPUTED_VALUE"""),119500)</f>
        <v>119500</v>
      </c>
      <c r="I781" s="1"/>
    </row>
    <row r="782" spans="1:9">
      <c r="A782" s="3">
        <f ca="1">IFERROR(__xludf.DUMMYFUNCTION("""COMPUTED_VALUE"""),30348.6666666666)</f>
        <v>30348.666666666599</v>
      </c>
      <c r="B782" s="1">
        <f ca="1">IFERROR(__xludf.DUMMYFUNCTION("""COMPUTED_VALUE"""),2.98)</f>
        <v>2.98</v>
      </c>
      <c r="C782" s="1">
        <f ca="1">IFERROR(__xludf.DUMMYFUNCTION("""COMPUTED_VALUE"""),3.05)</f>
        <v>3.05</v>
      </c>
      <c r="D782" s="1">
        <f ca="1">IFERROR(__xludf.DUMMYFUNCTION("""COMPUTED_VALUE"""),2.98)</f>
        <v>2.98</v>
      </c>
      <c r="E782" s="1">
        <f ca="1">IFERROR(__xludf.DUMMYFUNCTION("""COMPUTED_VALUE"""),2.98)</f>
        <v>2.98</v>
      </c>
      <c r="F782" s="1">
        <f ca="1">IFERROR(__xludf.DUMMYFUNCTION("""COMPUTED_VALUE"""),172500)</f>
        <v>172500</v>
      </c>
      <c r="I782" s="1"/>
    </row>
    <row r="783" spans="1:9">
      <c r="A783" s="3">
        <f ca="1">IFERROR(__xludf.DUMMYFUNCTION("""COMPUTED_VALUE"""),30349.6666666666)</f>
        <v>30349.666666666599</v>
      </c>
      <c r="B783" s="1">
        <f ca="1">IFERROR(__xludf.DUMMYFUNCTION("""COMPUTED_VALUE"""),2.91)</f>
        <v>2.91</v>
      </c>
      <c r="C783" s="1">
        <f ca="1">IFERROR(__xludf.DUMMYFUNCTION("""COMPUTED_VALUE"""),2.95)</f>
        <v>2.95</v>
      </c>
      <c r="D783" s="1">
        <f ca="1">IFERROR(__xludf.DUMMYFUNCTION("""COMPUTED_VALUE"""),2.91)</f>
        <v>2.91</v>
      </c>
      <c r="E783" s="1">
        <f ca="1">IFERROR(__xludf.DUMMYFUNCTION("""COMPUTED_VALUE"""),2.91)</f>
        <v>2.91</v>
      </c>
      <c r="F783" s="1">
        <f ca="1">IFERROR(__xludf.DUMMYFUNCTION("""COMPUTED_VALUE"""),335300)</f>
        <v>335300</v>
      </c>
      <c r="I783" s="1"/>
    </row>
    <row r="784" spans="1:9">
      <c r="A784" s="3">
        <f ca="1">IFERROR(__xludf.DUMMYFUNCTION("""COMPUTED_VALUE"""),30350.6666666666)</f>
        <v>30350.666666666599</v>
      </c>
      <c r="B784" s="1">
        <f ca="1">IFERROR(__xludf.DUMMYFUNCTION("""COMPUTED_VALUE"""),2.88)</f>
        <v>2.88</v>
      </c>
      <c r="C784" s="1">
        <f ca="1">IFERROR(__xludf.DUMMYFUNCTION("""COMPUTED_VALUE"""),2.95)</f>
        <v>2.95</v>
      </c>
      <c r="D784" s="1">
        <f ca="1">IFERROR(__xludf.DUMMYFUNCTION("""COMPUTED_VALUE"""),2.88)</f>
        <v>2.88</v>
      </c>
      <c r="E784" s="1">
        <f ca="1">IFERROR(__xludf.DUMMYFUNCTION("""COMPUTED_VALUE"""),2.88)</f>
        <v>2.88</v>
      </c>
      <c r="F784" s="1">
        <f ca="1">IFERROR(__xludf.DUMMYFUNCTION("""COMPUTED_VALUE"""),300400)</f>
        <v>300400</v>
      </c>
      <c r="I784" s="1"/>
    </row>
    <row r="785" spans="1:9">
      <c r="A785" s="3">
        <f ca="1">IFERROR(__xludf.DUMMYFUNCTION("""COMPUTED_VALUE"""),30351.6666666666)</f>
        <v>30351.666666666599</v>
      </c>
      <c r="B785" s="1">
        <f ca="1">IFERROR(__xludf.DUMMYFUNCTION("""COMPUTED_VALUE"""),2.88)</f>
        <v>2.88</v>
      </c>
      <c r="C785" s="1">
        <f ca="1">IFERROR(__xludf.DUMMYFUNCTION("""COMPUTED_VALUE"""),2.92)</f>
        <v>2.92</v>
      </c>
      <c r="D785" s="1">
        <f ca="1">IFERROR(__xludf.DUMMYFUNCTION("""COMPUTED_VALUE"""),2.87)</f>
        <v>2.87</v>
      </c>
      <c r="E785" s="1">
        <f ca="1">IFERROR(__xludf.DUMMYFUNCTION("""COMPUTED_VALUE"""),2.88)</f>
        <v>2.88</v>
      </c>
      <c r="F785" s="1">
        <f ca="1">IFERROR(__xludf.DUMMYFUNCTION("""COMPUTED_VALUE"""),513000)</f>
        <v>513000</v>
      </c>
      <c r="I785" s="1"/>
    </row>
    <row r="786" spans="1:9">
      <c r="A786" s="3">
        <f ca="1">IFERROR(__xludf.DUMMYFUNCTION("""COMPUTED_VALUE"""),30354.6666666666)</f>
        <v>30354.666666666599</v>
      </c>
      <c r="B786" s="1">
        <f ca="1">IFERROR(__xludf.DUMMYFUNCTION("""COMPUTED_VALUE"""),2.91)</f>
        <v>2.91</v>
      </c>
      <c r="C786" s="1">
        <f ca="1">IFERROR(__xludf.DUMMYFUNCTION("""COMPUTED_VALUE"""),2.95)</f>
        <v>2.95</v>
      </c>
      <c r="D786" s="1">
        <f ca="1">IFERROR(__xludf.DUMMYFUNCTION("""COMPUTED_VALUE"""),2.89)</f>
        <v>2.89</v>
      </c>
      <c r="E786" s="1">
        <f ca="1">IFERROR(__xludf.DUMMYFUNCTION("""COMPUTED_VALUE"""),2.91)</f>
        <v>2.91</v>
      </c>
      <c r="F786" s="1">
        <f ca="1">IFERROR(__xludf.DUMMYFUNCTION("""COMPUTED_VALUE"""),338500)</f>
        <v>338500</v>
      </c>
      <c r="I786" s="1"/>
    </row>
    <row r="787" spans="1:9">
      <c r="A787" s="3">
        <f ca="1">IFERROR(__xludf.DUMMYFUNCTION("""COMPUTED_VALUE"""),30355.6666666666)</f>
        <v>30355.666666666599</v>
      </c>
      <c r="B787" s="1">
        <f ca="1">IFERROR(__xludf.DUMMYFUNCTION("""COMPUTED_VALUE"""),2.9)</f>
        <v>2.9</v>
      </c>
      <c r="C787" s="1">
        <f ca="1">IFERROR(__xludf.DUMMYFUNCTION("""COMPUTED_VALUE"""),2.93)</f>
        <v>2.93</v>
      </c>
      <c r="D787" s="1">
        <f ca="1">IFERROR(__xludf.DUMMYFUNCTION("""COMPUTED_VALUE"""),2.87)</f>
        <v>2.87</v>
      </c>
      <c r="E787" s="1">
        <f ca="1">IFERROR(__xludf.DUMMYFUNCTION("""COMPUTED_VALUE"""),2.9)</f>
        <v>2.9</v>
      </c>
      <c r="F787" s="1">
        <f ca="1">IFERROR(__xludf.DUMMYFUNCTION("""COMPUTED_VALUE"""),320800)</f>
        <v>320800</v>
      </c>
      <c r="I787" s="1"/>
    </row>
    <row r="788" spans="1:9">
      <c r="A788" s="3">
        <f ca="1">IFERROR(__xludf.DUMMYFUNCTION("""COMPUTED_VALUE"""),30356.6666666666)</f>
        <v>30356.666666666599</v>
      </c>
      <c r="B788" s="1">
        <f ca="1">IFERROR(__xludf.DUMMYFUNCTION("""COMPUTED_VALUE"""),2.88)</f>
        <v>2.88</v>
      </c>
      <c r="C788" s="1">
        <f ca="1">IFERROR(__xludf.DUMMYFUNCTION("""COMPUTED_VALUE"""),2.9)</f>
        <v>2.9</v>
      </c>
      <c r="D788" s="1">
        <f ca="1">IFERROR(__xludf.DUMMYFUNCTION("""COMPUTED_VALUE"""),2.85)</f>
        <v>2.85</v>
      </c>
      <c r="E788" s="1">
        <f ca="1">IFERROR(__xludf.DUMMYFUNCTION("""COMPUTED_VALUE"""),2.88)</f>
        <v>2.88</v>
      </c>
      <c r="F788" s="1">
        <f ca="1">IFERROR(__xludf.DUMMYFUNCTION("""COMPUTED_VALUE"""),318600)</f>
        <v>318600</v>
      </c>
      <c r="I788" s="1"/>
    </row>
    <row r="789" spans="1:9">
      <c r="A789" s="3">
        <f ca="1">IFERROR(__xludf.DUMMYFUNCTION("""COMPUTED_VALUE"""),30357.6666666666)</f>
        <v>30357.666666666599</v>
      </c>
      <c r="B789" s="1">
        <f ca="1">IFERROR(__xludf.DUMMYFUNCTION("""COMPUTED_VALUE"""),2.88)</f>
        <v>2.88</v>
      </c>
      <c r="C789" s="1">
        <f ca="1">IFERROR(__xludf.DUMMYFUNCTION("""COMPUTED_VALUE"""),2.91)</f>
        <v>2.91</v>
      </c>
      <c r="D789" s="1">
        <f ca="1">IFERROR(__xludf.DUMMYFUNCTION("""COMPUTED_VALUE"""),2.87)</f>
        <v>2.87</v>
      </c>
      <c r="E789" s="1">
        <f ca="1">IFERROR(__xludf.DUMMYFUNCTION("""COMPUTED_VALUE"""),2.88)</f>
        <v>2.88</v>
      </c>
      <c r="F789" s="1">
        <f ca="1">IFERROR(__xludf.DUMMYFUNCTION("""COMPUTED_VALUE"""),279800)</f>
        <v>279800</v>
      </c>
      <c r="I789" s="1"/>
    </row>
    <row r="790" spans="1:9">
      <c r="A790" s="3">
        <f ca="1">IFERROR(__xludf.DUMMYFUNCTION("""COMPUTED_VALUE"""),30358.6666666666)</f>
        <v>30358.666666666599</v>
      </c>
      <c r="B790" s="1">
        <f ca="1">IFERROR(__xludf.DUMMYFUNCTION("""COMPUTED_VALUE"""),2.84)</f>
        <v>2.84</v>
      </c>
      <c r="C790" s="1">
        <f ca="1">IFERROR(__xludf.DUMMYFUNCTION("""COMPUTED_VALUE"""),2.91)</f>
        <v>2.91</v>
      </c>
      <c r="D790" s="1">
        <f ca="1">IFERROR(__xludf.DUMMYFUNCTION("""COMPUTED_VALUE"""),2.81)</f>
        <v>2.81</v>
      </c>
      <c r="E790" s="1">
        <f ca="1">IFERROR(__xludf.DUMMYFUNCTION("""COMPUTED_VALUE"""),2.84)</f>
        <v>2.84</v>
      </c>
      <c r="F790" s="1">
        <f ca="1">IFERROR(__xludf.DUMMYFUNCTION("""COMPUTED_VALUE"""),349200)</f>
        <v>349200</v>
      </c>
      <c r="I790" s="1"/>
    </row>
    <row r="791" spans="1:9">
      <c r="A791" s="3">
        <f ca="1">IFERROR(__xludf.DUMMYFUNCTION("""COMPUTED_VALUE"""),30361.6666666666)</f>
        <v>30361.666666666599</v>
      </c>
      <c r="B791" s="1">
        <f ca="1">IFERROR(__xludf.DUMMYFUNCTION("""COMPUTED_VALUE"""),2.88)</f>
        <v>2.88</v>
      </c>
      <c r="C791" s="1">
        <f ca="1">IFERROR(__xludf.DUMMYFUNCTION("""COMPUTED_VALUE"""),2.88)</f>
        <v>2.88</v>
      </c>
      <c r="D791" s="1">
        <f ca="1">IFERROR(__xludf.DUMMYFUNCTION("""COMPUTED_VALUE"""),2.84)</f>
        <v>2.84</v>
      </c>
      <c r="E791" s="1">
        <f ca="1">IFERROR(__xludf.DUMMYFUNCTION("""COMPUTED_VALUE"""),2.88)</f>
        <v>2.88</v>
      </c>
      <c r="F791" s="1">
        <f ca="1">IFERROR(__xludf.DUMMYFUNCTION("""COMPUTED_VALUE"""),323600)</f>
        <v>323600</v>
      </c>
      <c r="I791" s="1"/>
    </row>
    <row r="792" spans="1:9">
      <c r="A792" s="3">
        <f ca="1">IFERROR(__xludf.DUMMYFUNCTION("""COMPUTED_VALUE"""),30362.6666666666)</f>
        <v>30362.666666666599</v>
      </c>
      <c r="B792" s="1">
        <f ca="1">IFERROR(__xludf.DUMMYFUNCTION("""COMPUTED_VALUE"""),2.9)</f>
        <v>2.9</v>
      </c>
      <c r="C792" s="1">
        <f ca="1">IFERROR(__xludf.DUMMYFUNCTION("""COMPUTED_VALUE"""),2.91)</f>
        <v>2.91</v>
      </c>
      <c r="D792" s="1">
        <f ca="1">IFERROR(__xludf.DUMMYFUNCTION("""COMPUTED_VALUE"""),2.88)</f>
        <v>2.88</v>
      </c>
      <c r="E792" s="1">
        <f ca="1">IFERROR(__xludf.DUMMYFUNCTION("""COMPUTED_VALUE"""),2.9)</f>
        <v>2.9</v>
      </c>
      <c r="F792" s="1">
        <f ca="1">IFERROR(__xludf.DUMMYFUNCTION("""COMPUTED_VALUE"""),406600)</f>
        <v>406600</v>
      </c>
      <c r="I792" s="1"/>
    </row>
    <row r="793" spans="1:9">
      <c r="A793" s="3">
        <f ca="1">IFERROR(__xludf.DUMMYFUNCTION("""COMPUTED_VALUE"""),30363.6666666666)</f>
        <v>30363.666666666599</v>
      </c>
      <c r="B793" s="1">
        <f ca="1">IFERROR(__xludf.DUMMYFUNCTION("""COMPUTED_VALUE"""),2.88)</f>
        <v>2.88</v>
      </c>
      <c r="C793" s="1">
        <f ca="1">IFERROR(__xludf.DUMMYFUNCTION("""COMPUTED_VALUE"""),2.92)</f>
        <v>2.92</v>
      </c>
      <c r="D793" s="1">
        <f ca="1">IFERROR(__xludf.DUMMYFUNCTION("""COMPUTED_VALUE"""),2.86)</f>
        <v>2.86</v>
      </c>
      <c r="E793" s="1">
        <f ca="1">IFERROR(__xludf.DUMMYFUNCTION("""COMPUTED_VALUE"""),2.88)</f>
        <v>2.88</v>
      </c>
      <c r="F793" s="1">
        <f ca="1">IFERROR(__xludf.DUMMYFUNCTION("""COMPUTED_VALUE"""),339100)</f>
        <v>339100</v>
      </c>
      <c r="I793" s="1"/>
    </row>
    <row r="794" spans="1:9">
      <c r="A794" s="3">
        <f ca="1">IFERROR(__xludf.DUMMYFUNCTION("""COMPUTED_VALUE"""),30364.6666666666)</f>
        <v>30364.666666666599</v>
      </c>
      <c r="B794" s="1">
        <f ca="1">IFERROR(__xludf.DUMMYFUNCTION("""COMPUTED_VALUE"""),2.9)</f>
        <v>2.9</v>
      </c>
      <c r="C794" s="1">
        <f ca="1">IFERROR(__xludf.DUMMYFUNCTION("""COMPUTED_VALUE"""),2.9)</f>
        <v>2.9</v>
      </c>
      <c r="D794" s="1">
        <f ca="1">IFERROR(__xludf.DUMMYFUNCTION("""COMPUTED_VALUE"""),2.88)</f>
        <v>2.88</v>
      </c>
      <c r="E794" s="1">
        <f ca="1">IFERROR(__xludf.DUMMYFUNCTION("""COMPUTED_VALUE"""),2.9)</f>
        <v>2.9</v>
      </c>
      <c r="F794" s="1">
        <f ca="1">IFERROR(__xludf.DUMMYFUNCTION("""COMPUTED_VALUE"""),209800)</f>
        <v>209800</v>
      </c>
      <c r="I794" s="1"/>
    </row>
    <row r="795" spans="1:9">
      <c r="A795" s="3">
        <f ca="1">IFERROR(__xludf.DUMMYFUNCTION("""COMPUTED_VALUE"""),30365.6666666666)</f>
        <v>30365.666666666599</v>
      </c>
      <c r="B795" s="1">
        <f ca="1">IFERROR(__xludf.DUMMYFUNCTION("""COMPUTED_VALUE"""),2.89)</f>
        <v>2.89</v>
      </c>
      <c r="C795" s="1">
        <f ca="1">IFERROR(__xludf.DUMMYFUNCTION("""COMPUTED_VALUE"""),2.91)</f>
        <v>2.91</v>
      </c>
      <c r="D795" s="1">
        <f ca="1">IFERROR(__xludf.DUMMYFUNCTION("""COMPUTED_VALUE"""),2.88)</f>
        <v>2.88</v>
      </c>
      <c r="E795" s="1">
        <f ca="1">IFERROR(__xludf.DUMMYFUNCTION("""COMPUTED_VALUE"""),2.89)</f>
        <v>2.89</v>
      </c>
      <c r="F795" s="1">
        <f ca="1">IFERROR(__xludf.DUMMYFUNCTION("""COMPUTED_VALUE"""),351800)</f>
        <v>351800</v>
      </c>
      <c r="I795" s="1"/>
    </row>
    <row r="796" spans="1:9">
      <c r="A796" s="3">
        <f ca="1">IFERROR(__xludf.DUMMYFUNCTION("""COMPUTED_VALUE"""),30369.6666666666)</f>
        <v>30369.666666666599</v>
      </c>
      <c r="B796" s="1">
        <f ca="1">IFERROR(__xludf.DUMMYFUNCTION("""COMPUTED_VALUE"""),2.85)</f>
        <v>2.85</v>
      </c>
      <c r="C796" s="1">
        <f ca="1">IFERROR(__xludf.DUMMYFUNCTION("""COMPUTED_VALUE"""),2.93)</f>
        <v>2.93</v>
      </c>
      <c r="D796" s="1">
        <f ca="1">IFERROR(__xludf.DUMMYFUNCTION("""COMPUTED_VALUE"""),2.83)</f>
        <v>2.83</v>
      </c>
      <c r="E796" s="1">
        <f ca="1">IFERROR(__xludf.DUMMYFUNCTION("""COMPUTED_VALUE"""),2.85)</f>
        <v>2.85</v>
      </c>
      <c r="F796" s="1">
        <f ca="1">IFERROR(__xludf.DUMMYFUNCTION("""COMPUTED_VALUE"""),440700)</f>
        <v>440700</v>
      </c>
      <c r="I796" s="1"/>
    </row>
    <row r="797" spans="1:9">
      <c r="A797" s="3">
        <f ca="1">IFERROR(__xludf.DUMMYFUNCTION("""COMPUTED_VALUE"""),30370.6666666666)</f>
        <v>30370.666666666599</v>
      </c>
      <c r="B797" s="1">
        <f ca="1">IFERROR(__xludf.DUMMYFUNCTION("""COMPUTED_VALUE"""),2.86)</f>
        <v>2.86</v>
      </c>
      <c r="C797" s="1">
        <f ca="1">IFERROR(__xludf.DUMMYFUNCTION("""COMPUTED_VALUE"""),2.88)</f>
        <v>2.88</v>
      </c>
      <c r="D797" s="1">
        <f ca="1">IFERROR(__xludf.DUMMYFUNCTION("""COMPUTED_VALUE"""),2.82)</f>
        <v>2.82</v>
      </c>
      <c r="E797" s="1">
        <f ca="1">IFERROR(__xludf.DUMMYFUNCTION("""COMPUTED_VALUE"""),2.86)</f>
        <v>2.86</v>
      </c>
      <c r="F797" s="1">
        <f ca="1">IFERROR(__xludf.DUMMYFUNCTION("""COMPUTED_VALUE"""),458100)</f>
        <v>458100</v>
      </c>
      <c r="I797" s="1"/>
    </row>
    <row r="798" spans="1:9">
      <c r="A798" s="3">
        <f ca="1">IFERROR(__xludf.DUMMYFUNCTION("""COMPUTED_VALUE"""),30371.6666666666)</f>
        <v>30371.666666666599</v>
      </c>
      <c r="B798" s="1">
        <f ca="1">IFERROR(__xludf.DUMMYFUNCTION("""COMPUTED_VALUE"""),2.91)</f>
        <v>2.91</v>
      </c>
      <c r="C798" s="1">
        <f ca="1">IFERROR(__xludf.DUMMYFUNCTION("""COMPUTED_VALUE"""),2.91)</f>
        <v>2.91</v>
      </c>
      <c r="D798" s="1">
        <f ca="1">IFERROR(__xludf.DUMMYFUNCTION("""COMPUTED_VALUE"""),2.86)</f>
        <v>2.86</v>
      </c>
      <c r="E798" s="1">
        <f ca="1">IFERROR(__xludf.DUMMYFUNCTION("""COMPUTED_VALUE"""),2.91)</f>
        <v>2.91</v>
      </c>
      <c r="F798" s="1">
        <f ca="1">IFERROR(__xludf.DUMMYFUNCTION("""COMPUTED_VALUE"""),397100)</f>
        <v>397100</v>
      </c>
      <c r="I798" s="1"/>
    </row>
    <row r="799" spans="1:9">
      <c r="A799" s="3">
        <f ca="1">IFERROR(__xludf.DUMMYFUNCTION("""COMPUTED_VALUE"""),30372.6666666666)</f>
        <v>30372.666666666599</v>
      </c>
      <c r="B799" s="1">
        <f ca="1">IFERROR(__xludf.DUMMYFUNCTION("""COMPUTED_VALUE"""),2.96)</f>
        <v>2.96</v>
      </c>
      <c r="C799" s="1">
        <f ca="1">IFERROR(__xludf.DUMMYFUNCTION("""COMPUTED_VALUE"""),2.98)</f>
        <v>2.98</v>
      </c>
      <c r="D799" s="1">
        <f ca="1">IFERROR(__xludf.DUMMYFUNCTION("""COMPUTED_VALUE"""),2.92)</f>
        <v>2.92</v>
      </c>
      <c r="E799" s="1">
        <f ca="1">IFERROR(__xludf.DUMMYFUNCTION("""COMPUTED_VALUE"""),2.96)</f>
        <v>2.96</v>
      </c>
      <c r="F799" s="1">
        <f ca="1">IFERROR(__xludf.DUMMYFUNCTION("""COMPUTED_VALUE"""),570400)</f>
        <v>570400</v>
      </c>
      <c r="I799" s="1"/>
    </row>
    <row r="800" spans="1:9">
      <c r="A800" s="3">
        <f ca="1">IFERROR(__xludf.DUMMYFUNCTION("""COMPUTED_VALUE"""),30375.6666666666)</f>
        <v>30375.666666666599</v>
      </c>
      <c r="B800" s="1">
        <f ca="1">IFERROR(__xludf.DUMMYFUNCTION("""COMPUTED_VALUE"""),2.96)</f>
        <v>2.96</v>
      </c>
      <c r="C800" s="1">
        <f ca="1">IFERROR(__xludf.DUMMYFUNCTION("""COMPUTED_VALUE"""),2.98)</f>
        <v>2.98</v>
      </c>
      <c r="D800" s="1">
        <f ca="1">IFERROR(__xludf.DUMMYFUNCTION("""COMPUTED_VALUE"""),2.94)</f>
        <v>2.94</v>
      </c>
      <c r="E800" s="1">
        <f ca="1">IFERROR(__xludf.DUMMYFUNCTION("""COMPUTED_VALUE"""),2.96)</f>
        <v>2.96</v>
      </c>
      <c r="F800" s="1">
        <f ca="1">IFERROR(__xludf.DUMMYFUNCTION("""COMPUTED_VALUE"""),459500)</f>
        <v>459500</v>
      </c>
      <c r="I800" s="1"/>
    </row>
    <row r="801" spans="1:9">
      <c r="A801" s="3">
        <f ca="1">IFERROR(__xludf.DUMMYFUNCTION("""COMPUTED_VALUE"""),30376.6666666666)</f>
        <v>30376.666666666599</v>
      </c>
      <c r="B801" s="1">
        <f ca="1">IFERROR(__xludf.DUMMYFUNCTION("""COMPUTED_VALUE"""),3.06)</f>
        <v>3.06</v>
      </c>
      <c r="C801" s="1">
        <f ca="1">IFERROR(__xludf.DUMMYFUNCTION("""COMPUTED_VALUE"""),3.09)</f>
        <v>3.09</v>
      </c>
      <c r="D801" s="1">
        <f ca="1">IFERROR(__xludf.DUMMYFUNCTION("""COMPUTED_VALUE"""),2.97)</f>
        <v>2.97</v>
      </c>
      <c r="E801" s="1">
        <f ca="1">IFERROR(__xludf.DUMMYFUNCTION("""COMPUTED_VALUE"""),3.06)</f>
        <v>3.06</v>
      </c>
      <c r="F801" s="1">
        <f ca="1">IFERROR(__xludf.DUMMYFUNCTION("""COMPUTED_VALUE"""),588500)</f>
        <v>588500</v>
      </c>
      <c r="I801" s="1"/>
    </row>
    <row r="802" spans="1:9">
      <c r="A802" s="3">
        <f ca="1">IFERROR(__xludf.DUMMYFUNCTION("""COMPUTED_VALUE"""),30377.6666666666)</f>
        <v>30377.666666666599</v>
      </c>
      <c r="B802" s="1">
        <f ca="1">IFERROR(__xludf.DUMMYFUNCTION("""COMPUTED_VALUE"""),3.13)</f>
        <v>3.13</v>
      </c>
      <c r="C802" s="1">
        <f ca="1">IFERROR(__xludf.DUMMYFUNCTION("""COMPUTED_VALUE"""),3.13)</f>
        <v>3.13</v>
      </c>
      <c r="D802" s="1">
        <f ca="1">IFERROR(__xludf.DUMMYFUNCTION("""COMPUTED_VALUE"""),3.1)</f>
        <v>3.1</v>
      </c>
      <c r="E802" s="1">
        <f ca="1">IFERROR(__xludf.DUMMYFUNCTION("""COMPUTED_VALUE"""),3.13)</f>
        <v>3.13</v>
      </c>
      <c r="F802" s="1">
        <f ca="1">IFERROR(__xludf.DUMMYFUNCTION("""COMPUTED_VALUE"""),600500)</f>
        <v>600500</v>
      </c>
      <c r="I802" s="1"/>
    </row>
    <row r="803" spans="1:9">
      <c r="A803" s="3">
        <f ca="1">IFERROR(__xludf.DUMMYFUNCTION("""COMPUTED_VALUE"""),30378.6666666666)</f>
        <v>30378.666666666599</v>
      </c>
      <c r="B803" s="1">
        <f ca="1">IFERROR(__xludf.DUMMYFUNCTION("""COMPUTED_VALUE"""),3.14)</f>
        <v>3.14</v>
      </c>
      <c r="C803" s="1">
        <f ca="1">IFERROR(__xludf.DUMMYFUNCTION("""COMPUTED_VALUE"""),3.16)</f>
        <v>3.16</v>
      </c>
      <c r="D803" s="1">
        <f ca="1">IFERROR(__xludf.DUMMYFUNCTION("""COMPUTED_VALUE"""),3.1)</f>
        <v>3.1</v>
      </c>
      <c r="E803" s="1">
        <f ca="1">IFERROR(__xludf.DUMMYFUNCTION("""COMPUTED_VALUE"""),3.14)</f>
        <v>3.14</v>
      </c>
      <c r="F803" s="1">
        <f ca="1">IFERROR(__xludf.DUMMYFUNCTION("""COMPUTED_VALUE"""),324600)</f>
        <v>324600</v>
      </c>
      <c r="I803" s="1"/>
    </row>
    <row r="804" spans="1:9">
      <c r="A804" s="3">
        <f ca="1">IFERROR(__xludf.DUMMYFUNCTION("""COMPUTED_VALUE"""),30379.6666666666)</f>
        <v>30379.666666666599</v>
      </c>
      <c r="B804" s="1">
        <f ca="1">IFERROR(__xludf.DUMMYFUNCTION("""COMPUTED_VALUE"""),3)</f>
        <v>3</v>
      </c>
      <c r="C804" s="1">
        <f ca="1">IFERROR(__xludf.DUMMYFUNCTION("""COMPUTED_VALUE"""),3.14)</f>
        <v>3.14</v>
      </c>
      <c r="D804" s="1">
        <f ca="1">IFERROR(__xludf.DUMMYFUNCTION("""COMPUTED_VALUE"""),2.81)</f>
        <v>2.81</v>
      </c>
      <c r="E804" s="1">
        <f ca="1">IFERROR(__xludf.DUMMYFUNCTION("""COMPUTED_VALUE"""),3)</f>
        <v>3</v>
      </c>
      <c r="F804" s="1">
        <f ca="1">IFERROR(__xludf.DUMMYFUNCTION("""COMPUTED_VALUE"""),797600)</f>
        <v>797600</v>
      </c>
      <c r="I804" s="1"/>
    </row>
    <row r="805" spans="1:9">
      <c r="A805" s="3">
        <f ca="1">IFERROR(__xludf.DUMMYFUNCTION("""COMPUTED_VALUE"""),30382.6666666666)</f>
        <v>30382.666666666599</v>
      </c>
      <c r="B805" s="1">
        <f ca="1">IFERROR(__xludf.DUMMYFUNCTION("""COMPUTED_VALUE"""),2.89)</f>
        <v>2.89</v>
      </c>
      <c r="C805" s="1">
        <f ca="1">IFERROR(__xludf.DUMMYFUNCTION("""COMPUTED_VALUE"""),2.89)</f>
        <v>2.89</v>
      </c>
      <c r="D805" s="1">
        <f ca="1">IFERROR(__xludf.DUMMYFUNCTION("""COMPUTED_VALUE"""),2.81)</f>
        <v>2.81</v>
      </c>
      <c r="E805" s="1">
        <f ca="1">IFERROR(__xludf.DUMMYFUNCTION("""COMPUTED_VALUE"""),2.89)</f>
        <v>2.89</v>
      </c>
      <c r="F805" s="1">
        <f ca="1">IFERROR(__xludf.DUMMYFUNCTION("""COMPUTED_VALUE"""),1997500)</f>
        <v>1997500</v>
      </c>
      <c r="I805" s="1"/>
    </row>
    <row r="806" spans="1:9">
      <c r="A806" s="3">
        <f ca="1">IFERROR(__xludf.DUMMYFUNCTION("""COMPUTED_VALUE"""),30383.6666666666)</f>
        <v>30383.666666666599</v>
      </c>
      <c r="B806" s="1">
        <f ca="1">IFERROR(__xludf.DUMMYFUNCTION("""COMPUTED_VALUE"""),2.87)</f>
        <v>2.87</v>
      </c>
      <c r="C806" s="1">
        <f ca="1">IFERROR(__xludf.DUMMYFUNCTION("""COMPUTED_VALUE"""),2.88)</f>
        <v>2.88</v>
      </c>
      <c r="D806" s="1">
        <f ca="1">IFERROR(__xludf.DUMMYFUNCTION("""COMPUTED_VALUE"""),2.84)</f>
        <v>2.84</v>
      </c>
      <c r="E806" s="1">
        <f ca="1">IFERROR(__xludf.DUMMYFUNCTION("""COMPUTED_VALUE"""),2.87)</f>
        <v>2.87</v>
      </c>
      <c r="F806" s="1">
        <f ca="1">IFERROR(__xludf.DUMMYFUNCTION("""COMPUTED_VALUE"""),767600)</f>
        <v>767600</v>
      </c>
      <c r="I806" s="1"/>
    </row>
    <row r="807" spans="1:9">
      <c r="A807" s="3">
        <f ca="1">IFERROR(__xludf.DUMMYFUNCTION("""COMPUTED_VALUE"""),30384.6666666666)</f>
        <v>30384.666666666599</v>
      </c>
      <c r="B807" s="1">
        <f ca="1">IFERROR(__xludf.DUMMYFUNCTION("""COMPUTED_VALUE"""),2.92)</f>
        <v>2.92</v>
      </c>
      <c r="C807" s="1">
        <f ca="1">IFERROR(__xludf.DUMMYFUNCTION("""COMPUTED_VALUE"""),2.93)</f>
        <v>2.93</v>
      </c>
      <c r="D807" s="1">
        <f ca="1">IFERROR(__xludf.DUMMYFUNCTION("""COMPUTED_VALUE"""),2.85)</f>
        <v>2.85</v>
      </c>
      <c r="E807" s="1">
        <f ca="1">IFERROR(__xludf.DUMMYFUNCTION("""COMPUTED_VALUE"""),2.92)</f>
        <v>2.92</v>
      </c>
      <c r="F807" s="1">
        <f ca="1">IFERROR(__xludf.DUMMYFUNCTION("""COMPUTED_VALUE"""),785500)</f>
        <v>785500</v>
      </c>
      <c r="I807" s="1"/>
    </row>
    <row r="808" spans="1:9">
      <c r="A808" s="3">
        <f ca="1">IFERROR(__xludf.DUMMYFUNCTION("""COMPUTED_VALUE"""),30385.6666666666)</f>
        <v>30385.666666666599</v>
      </c>
      <c r="B808" s="1">
        <f ca="1">IFERROR(__xludf.DUMMYFUNCTION("""COMPUTED_VALUE"""),2.88)</f>
        <v>2.88</v>
      </c>
      <c r="C808" s="1">
        <f ca="1">IFERROR(__xludf.DUMMYFUNCTION("""COMPUTED_VALUE"""),2.95)</f>
        <v>2.95</v>
      </c>
      <c r="D808" s="1">
        <f ca="1">IFERROR(__xludf.DUMMYFUNCTION("""COMPUTED_VALUE"""),2.88)</f>
        <v>2.88</v>
      </c>
      <c r="E808" s="1">
        <f ca="1">IFERROR(__xludf.DUMMYFUNCTION("""COMPUTED_VALUE"""),2.88)</f>
        <v>2.88</v>
      </c>
      <c r="F808" s="1">
        <f ca="1">IFERROR(__xludf.DUMMYFUNCTION("""COMPUTED_VALUE"""),933300)</f>
        <v>933300</v>
      </c>
      <c r="I808" s="1"/>
    </row>
    <row r="809" spans="1:9">
      <c r="A809" s="3">
        <f ca="1">IFERROR(__xludf.DUMMYFUNCTION("""COMPUTED_VALUE"""),30386.6666666666)</f>
        <v>30386.666666666599</v>
      </c>
      <c r="B809" s="1">
        <f ca="1">IFERROR(__xludf.DUMMYFUNCTION("""COMPUTED_VALUE"""),2.88)</f>
        <v>2.88</v>
      </c>
      <c r="C809" s="1">
        <f ca="1">IFERROR(__xludf.DUMMYFUNCTION("""COMPUTED_VALUE"""),2.88)</f>
        <v>2.88</v>
      </c>
      <c r="D809" s="1">
        <f ca="1">IFERROR(__xludf.DUMMYFUNCTION("""COMPUTED_VALUE"""),2.84)</f>
        <v>2.84</v>
      </c>
      <c r="E809" s="1">
        <f ca="1">IFERROR(__xludf.DUMMYFUNCTION("""COMPUTED_VALUE"""),2.88)</f>
        <v>2.88</v>
      </c>
      <c r="F809" s="1">
        <f ca="1">IFERROR(__xludf.DUMMYFUNCTION("""COMPUTED_VALUE"""),713700)</f>
        <v>713700</v>
      </c>
      <c r="I809" s="1"/>
    </row>
    <row r="810" spans="1:9">
      <c r="A810" s="3">
        <f ca="1">IFERROR(__xludf.DUMMYFUNCTION("""COMPUTED_VALUE"""),30389.6666666666)</f>
        <v>30389.666666666599</v>
      </c>
      <c r="B810" s="1">
        <f ca="1">IFERROR(__xludf.DUMMYFUNCTION("""COMPUTED_VALUE"""),2.87)</f>
        <v>2.87</v>
      </c>
      <c r="C810" s="1">
        <f ca="1">IFERROR(__xludf.DUMMYFUNCTION("""COMPUTED_VALUE"""),2.88)</f>
        <v>2.88</v>
      </c>
      <c r="D810" s="1">
        <f ca="1">IFERROR(__xludf.DUMMYFUNCTION("""COMPUTED_VALUE"""),2.85)</f>
        <v>2.85</v>
      </c>
      <c r="E810" s="1">
        <f ca="1">IFERROR(__xludf.DUMMYFUNCTION("""COMPUTED_VALUE"""),2.87)</f>
        <v>2.87</v>
      </c>
      <c r="F810" s="1">
        <f ca="1">IFERROR(__xludf.DUMMYFUNCTION("""COMPUTED_VALUE"""),383400)</f>
        <v>383400</v>
      </c>
      <c r="I810" s="1"/>
    </row>
    <row r="811" spans="1:9">
      <c r="A811" s="3">
        <f ca="1">IFERROR(__xludf.DUMMYFUNCTION("""COMPUTED_VALUE"""),30390.6666666666)</f>
        <v>30390.666666666599</v>
      </c>
      <c r="B811" s="1">
        <f ca="1">IFERROR(__xludf.DUMMYFUNCTION("""COMPUTED_VALUE"""),2.84)</f>
        <v>2.84</v>
      </c>
      <c r="C811" s="1">
        <f ca="1">IFERROR(__xludf.DUMMYFUNCTION("""COMPUTED_VALUE"""),2.9)</f>
        <v>2.9</v>
      </c>
      <c r="D811" s="1">
        <f ca="1">IFERROR(__xludf.DUMMYFUNCTION("""COMPUTED_VALUE"""),2.82)</f>
        <v>2.82</v>
      </c>
      <c r="E811" s="1">
        <f ca="1">IFERROR(__xludf.DUMMYFUNCTION("""COMPUTED_VALUE"""),2.84)</f>
        <v>2.84</v>
      </c>
      <c r="F811" s="1">
        <f ca="1">IFERROR(__xludf.DUMMYFUNCTION("""COMPUTED_VALUE"""),458200)</f>
        <v>458200</v>
      </c>
      <c r="I811" s="1"/>
    </row>
    <row r="812" spans="1:9">
      <c r="A812" s="3">
        <f ca="1">IFERROR(__xludf.DUMMYFUNCTION("""COMPUTED_VALUE"""),30391.6666666666)</f>
        <v>30391.666666666599</v>
      </c>
      <c r="B812" s="1">
        <f ca="1">IFERROR(__xludf.DUMMYFUNCTION("""COMPUTED_VALUE"""),2.8)</f>
        <v>2.8</v>
      </c>
      <c r="C812" s="1">
        <f ca="1">IFERROR(__xludf.DUMMYFUNCTION("""COMPUTED_VALUE"""),2.85)</f>
        <v>2.85</v>
      </c>
      <c r="D812" s="1">
        <f ca="1">IFERROR(__xludf.DUMMYFUNCTION("""COMPUTED_VALUE"""),2.8)</f>
        <v>2.8</v>
      </c>
      <c r="E812" s="1">
        <f ca="1">IFERROR(__xludf.DUMMYFUNCTION("""COMPUTED_VALUE"""),2.8)</f>
        <v>2.8</v>
      </c>
      <c r="F812" s="1">
        <f ca="1">IFERROR(__xludf.DUMMYFUNCTION("""COMPUTED_VALUE"""),571100)</f>
        <v>571100</v>
      </c>
      <c r="I812" s="1"/>
    </row>
    <row r="813" spans="1:9">
      <c r="A813" s="3">
        <f ca="1">IFERROR(__xludf.DUMMYFUNCTION("""COMPUTED_VALUE"""),30392.6666666666)</f>
        <v>30392.666666666599</v>
      </c>
      <c r="B813" s="1">
        <f ca="1">IFERROR(__xludf.DUMMYFUNCTION("""COMPUTED_VALUE"""),2.83)</f>
        <v>2.83</v>
      </c>
      <c r="C813" s="1">
        <f ca="1">IFERROR(__xludf.DUMMYFUNCTION("""COMPUTED_VALUE"""),2.85)</f>
        <v>2.85</v>
      </c>
      <c r="D813" s="1">
        <f ca="1">IFERROR(__xludf.DUMMYFUNCTION("""COMPUTED_VALUE"""),2.79)</f>
        <v>2.79</v>
      </c>
      <c r="E813" s="1">
        <f ca="1">IFERROR(__xludf.DUMMYFUNCTION("""COMPUTED_VALUE"""),2.83)</f>
        <v>2.83</v>
      </c>
      <c r="F813" s="1">
        <f ca="1">IFERROR(__xludf.DUMMYFUNCTION("""COMPUTED_VALUE"""),328500)</f>
        <v>328500</v>
      </c>
      <c r="I813" s="1"/>
    </row>
    <row r="814" spans="1:9">
      <c r="A814" s="3">
        <f ca="1">IFERROR(__xludf.DUMMYFUNCTION("""COMPUTED_VALUE"""),30393.6666666666)</f>
        <v>30393.666666666599</v>
      </c>
      <c r="B814" s="1">
        <f ca="1">IFERROR(__xludf.DUMMYFUNCTION("""COMPUTED_VALUE"""),2.86)</f>
        <v>2.86</v>
      </c>
      <c r="C814" s="1">
        <f ca="1">IFERROR(__xludf.DUMMYFUNCTION("""COMPUTED_VALUE"""),2.88)</f>
        <v>2.88</v>
      </c>
      <c r="D814" s="1">
        <f ca="1">IFERROR(__xludf.DUMMYFUNCTION("""COMPUTED_VALUE"""),2.84)</f>
        <v>2.84</v>
      </c>
      <c r="E814" s="1">
        <f ca="1">IFERROR(__xludf.DUMMYFUNCTION("""COMPUTED_VALUE"""),2.86)</f>
        <v>2.86</v>
      </c>
      <c r="F814" s="1">
        <f ca="1">IFERROR(__xludf.DUMMYFUNCTION("""COMPUTED_VALUE"""),391700)</f>
        <v>391700</v>
      </c>
      <c r="I814" s="1"/>
    </row>
    <row r="815" spans="1:9">
      <c r="A815" s="3">
        <f ca="1">IFERROR(__xludf.DUMMYFUNCTION("""COMPUTED_VALUE"""),30396.6666666666)</f>
        <v>30396.666666666599</v>
      </c>
      <c r="B815" s="1">
        <f ca="1">IFERROR(__xludf.DUMMYFUNCTION("""COMPUTED_VALUE"""),2.86)</f>
        <v>2.86</v>
      </c>
      <c r="C815" s="1">
        <f ca="1">IFERROR(__xludf.DUMMYFUNCTION("""COMPUTED_VALUE"""),2.88)</f>
        <v>2.88</v>
      </c>
      <c r="D815" s="1">
        <f ca="1">IFERROR(__xludf.DUMMYFUNCTION("""COMPUTED_VALUE"""),2.84)</f>
        <v>2.84</v>
      </c>
      <c r="E815" s="1">
        <f ca="1">IFERROR(__xludf.DUMMYFUNCTION("""COMPUTED_VALUE"""),2.86)</f>
        <v>2.86</v>
      </c>
      <c r="F815" s="1">
        <f ca="1">IFERROR(__xludf.DUMMYFUNCTION("""COMPUTED_VALUE"""),255200)</f>
        <v>255200</v>
      </c>
      <c r="I815" s="1"/>
    </row>
    <row r="816" spans="1:9">
      <c r="A816" s="3">
        <f ca="1">IFERROR(__xludf.DUMMYFUNCTION("""COMPUTED_VALUE"""),30397.6666666666)</f>
        <v>30397.666666666599</v>
      </c>
      <c r="B816" s="1">
        <f ca="1">IFERROR(__xludf.DUMMYFUNCTION("""COMPUTED_VALUE"""),2.9)</f>
        <v>2.9</v>
      </c>
      <c r="C816" s="1">
        <f ca="1">IFERROR(__xludf.DUMMYFUNCTION("""COMPUTED_VALUE"""),2.9)</f>
        <v>2.9</v>
      </c>
      <c r="D816" s="1">
        <f ca="1">IFERROR(__xludf.DUMMYFUNCTION("""COMPUTED_VALUE"""),2.87)</f>
        <v>2.87</v>
      </c>
      <c r="E816" s="1">
        <f ca="1">IFERROR(__xludf.DUMMYFUNCTION("""COMPUTED_VALUE"""),2.9)</f>
        <v>2.9</v>
      </c>
      <c r="F816" s="1">
        <f ca="1">IFERROR(__xludf.DUMMYFUNCTION("""COMPUTED_VALUE"""),388100)</f>
        <v>388100</v>
      </c>
      <c r="I816" s="1"/>
    </row>
    <row r="817" spans="1:9">
      <c r="A817" s="3">
        <f ca="1">IFERROR(__xludf.DUMMYFUNCTION("""COMPUTED_VALUE"""),30398.6666666666)</f>
        <v>30398.666666666599</v>
      </c>
      <c r="B817" s="1">
        <f ca="1">IFERROR(__xludf.DUMMYFUNCTION("""COMPUTED_VALUE"""),2.94)</f>
        <v>2.94</v>
      </c>
      <c r="C817" s="1">
        <f ca="1">IFERROR(__xludf.DUMMYFUNCTION("""COMPUTED_VALUE"""),2.95)</f>
        <v>2.95</v>
      </c>
      <c r="D817" s="1">
        <f ca="1">IFERROR(__xludf.DUMMYFUNCTION("""COMPUTED_VALUE"""),2.91)</f>
        <v>2.91</v>
      </c>
      <c r="E817" s="1">
        <f ca="1">IFERROR(__xludf.DUMMYFUNCTION("""COMPUTED_VALUE"""),2.94)</f>
        <v>2.94</v>
      </c>
      <c r="F817" s="1">
        <f ca="1">IFERROR(__xludf.DUMMYFUNCTION("""COMPUTED_VALUE"""),453700)</f>
        <v>453700</v>
      </c>
      <c r="I817" s="1"/>
    </row>
    <row r="818" spans="1:9">
      <c r="A818" s="3">
        <f ca="1">IFERROR(__xludf.DUMMYFUNCTION("""COMPUTED_VALUE"""),30399.6666666666)</f>
        <v>30399.666666666599</v>
      </c>
      <c r="B818" s="1">
        <f ca="1">IFERROR(__xludf.DUMMYFUNCTION("""COMPUTED_VALUE"""),2.91)</f>
        <v>2.91</v>
      </c>
      <c r="C818" s="1">
        <f ca="1">IFERROR(__xludf.DUMMYFUNCTION("""COMPUTED_VALUE"""),2.95)</f>
        <v>2.95</v>
      </c>
      <c r="D818" s="1">
        <f ca="1">IFERROR(__xludf.DUMMYFUNCTION("""COMPUTED_VALUE"""),2.88)</f>
        <v>2.88</v>
      </c>
      <c r="E818" s="1">
        <f ca="1">IFERROR(__xludf.DUMMYFUNCTION("""COMPUTED_VALUE"""),2.91)</f>
        <v>2.91</v>
      </c>
      <c r="F818" s="1">
        <f ca="1">IFERROR(__xludf.DUMMYFUNCTION("""COMPUTED_VALUE"""),233900)</f>
        <v>233900</v>
      </c>
      <c r="I818" s="1"/>
    </row>
    <row r="819" spans="1:9">
      <c r="A819" s="3">
        <f ca="1">IFERROR(__xludf.DUMMYFUNCTION("""COMPUTED_VALUE"""),30400.6666666666)</f>
        <v>30400.666666666599</v>
      </c>
      <c r="B819" s="1">
        <f ca="1">IFERROR(__xludf.DUMMYFUNCTION("""COMPUTED_VALUE"""),2.94)</f>
        <v>2.94</v>
      </c>
      <c r="C819" s="1">
        <f ca="1">IFERROR(__xludf.DUMMYFUNCTION("""COMPUTED_VALUE"""),2.95)</f>
        <v>2.95</v>
      </c>
      <c r="D819" s="1">
        <f ca="1">IFERROR(__xludf.DUMMYFUNCTION("""COMPUTED_VALUE"""),2.91)</f>
        <v>2.91</v>
      </c>
      <c r="E819" s="1">
        <f ca="1">IFERROR(__xludf.DUMMYFUNCTION("""COMPUTED_VALUE"""),2.94)</f>
        <v>2.94</v>
      </c>
      <c r="F819" s="1">
        <f ca="1">IFERROR(__xludf.DUMMYFUNCTION("""COMPUTED_VALUE"""),370600)</f>
        <v>370600</v>
      </c>
      <c r="I819" s="1"/>
    </row>
    <row r="820" spans="1:9">
      <c r="A820" s="3">
        <f ca="1">IFERROR(__xludf.DUMMYFUNCTION("""COMPUTED_VALUE"""),30403.6666666666)</f>
        <v>30403.666666666599</v>
      </c>
      <c r="B820" s="1">
        <f ca="1">IFERROR(__xludf.DUMMYFUNCTION("""COMPUTED_VALUE"""),2.99)</f>
        <v>2.99</v>
      </c>
      <c r="C820" s="1">
        <f ca="1">IFERROR(__xludf.DUMMYFUNCTION("""COMPUTED_VALUE"""),2.99)</f>
        <v>2.99</v>
      </c>
      <c r="D820" s="1">
        <f ca="1">IFERROR(__xludf.DUMMYFUNCTION("""COMPUTED_VALUE"""),2.93)</f>
        <v>2.93</v>
      </c>
      <c r="E820" s="1">
        <f ca="1">IFERROR(__xludf.DUMMYFUNCTION("""COMPUTED_VALUE"""),2.99)</f>
        <v>2.99</v>
      </c>
      <c r="F820" s="1">
        <f ca="1">IFERROR(__xludf.DUMMYFUNCTION("""COMPUTED_VALUE"""),215900)</f>
        <v>215900</v>
      </c>
      <c r="I820" s="1"/>
    </row>
    <row r="821" spans="1:9">
      <c r="A821" s="3">
        <f ca="1">IFERROR(__xludf.DUMMYFUNCTION("""COMPUTED_VALUE"""),30404.6666666666)</f>
        <v>30404.666666666599</v>
      </c>
      <c r="B821" s="1">
        <f ca="1">IFERROR(__xludf.DUMMYFUNCTION("""COMPUTED_VALUE"""),2.97)</f>
        <v>2.97</v>
      </c>
      <c r="C821" s="1">
        <f ca="1">IFERROR(__xludf.DUMMYFUNCTION("""COMPUTED_VALUE"""),3)</f>
        <v>3</v>
      </c>
      <c r="D821" s="1">
        <f ca="1">IFERROR(__xludf.DUMMYFUNCTION("""COMPUTED_VALUE"""),2.96)</f>
        <v>2.96</v>
      </c>
      <c r="E821" s="1">
        <f ca="1">IFERROR(__xludf.DUMMYFUNCTION("""COMPUTED_VALUE"""),2.97)</f>
        <v>2.97</v>
      </c>
      <c r="F821" s="1">
        <f ca="1">IFERROR(__xludf.DUMMYFUNCTION("""COMPUTED_VALUE"""),239700)</f>
        <v>239700</v>
      </c>
      <c r="I821" s="1"/>
    </row>
    <row r="822" spans="1:9">
      <c r="A822" s="3">
        <f ca="1">IFERROR(__xludf.DUMMYFUNCTION("""COMPUTED_VALUE"""),30405.6666666666)</f>
        <v>30405.666666666599</v>
      </c>
      <c r="B822" s="1">
        <f ca="1">IFERROR(__xludf.DUMMYFUNCTION("""COMPUTED_VALUE"""),2.99)</f>
        <v>2.99</v>
      </c>
      <c r="C822" s="1">
        <f ca="1">IFERROR(__xludf.DUMMYFUNCTION("""COMPUTED_VALUE"""),3.02)</f>
        <v>3.02</v>
      </c>
      <c r="D822" s="1">
        <f ca="1">IFERROR(__xludf.DUMMYFUNCTION("""COMPUTED_VALUE"""),2.98)</f>
        <v>2.98</v>
      </c>
      <c r="E822" s="1">
        <f ca="1">IFERROR(__xludf.DUMMYFUNCTION("""COMPUTED_VALUE"""),2.99)</f>
        <v>2.99</v>
      </c>
      <c r="F822" s="1">
        <f ca="1">IFERROR(__xludf.DUMMYFUNCTION("""COMPUTED_VALUE"""),220400)</f>
        <v>220400</v>
      </c>
      <c r="I822" s="1"/>
    </row>
    <row r="823" spans="1:9">
      <c r="A823" s="3">
        <f ca="1">IFERROR(__xludf.DUMMYFUNCTION("""COMPUTED_VALUE"""),30406.6666666666)</f>
        <v>30406.666666666599</v>
      </c>
      <c r="B823" s="1">
        <f ca="1">IFERROR(__xludf.DUMMYFUNCTION("""COMPUTED_VALUE"""),2.96)</f>
        <v>2.96</v>
      </c>
      <c r="C823" s="1">
        <f ca="1">IFERROR(__xludf.DUMMYFUNCTION("""COMPUTED_VALUE"""),3.01)</f>
        <v>3.01</v>
      </c>
      <c r="D823" s="1">
        <f ca="1">IFERROR(__xludf.DUMMYFUNCTION("""COMPUTED_VALUE"""),2.95)</f>
        <v>2.95</v>
      </c>
      <c r="E823" s="1">
        <f ca="1">IFERROR(__xludf.DUMMYFUNCTION("""COMPUTED_VALUE"""),2.96)</f>
        <v>2.96</v>
      </c>
      <c r="F823" s="1">
        <f ca="1">IFERROR(__xludf.DUMMYFUNCTION("""COMPUTED_VALUE"""),161900)</f>
        <v>161900</v>
      </c>
      <c r="I823" s="1"/>
    </row>
    <row r="824" spans="1:9">
      <c r="A824" s="3">
        <f ca="1">IFERROR(__xludf.DUMMYFUNCTION("""COMPUTED_VALUE"""),30410.6666666666)</f>
        <v>30410.666666666599</v>
      </c>
      <c r="B824" s="1">
        <f ca="1">IFERROR(__xludf.DUMMYFUNCTION("""COMPUTED_VALUE"""),2.91)</f>
        <v>2.91</v>
      </c>
      <c r="C824" s="1">
        <f ca="1">IFERROR(__xludf.DUMMYFUNCTION("""COMPUTED_VALUE"""),2.91)</f>
        <v>2.91</v>
      </c>
      <c r="D824" s="1">
        <f ca="1">IFERROR(__xludf.DUMMYFUNCTION("""COMPUTED_VALUE"""),2.88)</f>
        <v>2.88</v>
      </c>
      <c r="E824" s="1">
        <f ca="1">IFERROR(__xludf.DUMMYFUNCTION("""COMPUTED_VALUE"""),2.91)</f>
        <v>2.91</v>
      </c>
      <c r="F824" s="1">
        <f ca="1">IFERROR(__xludf.DUMMYFUNCTION("""COMPUTED_VALUE"""),321900)</f>
        <v>321900</v>
      </c>
      <c r="I824" s="1"/>
    </row>
    <row r="825" spans="1:9">
      <c r="A825" s="3">
        <f ca="1">IFERROR(__xludf.DUMMYFUNCTION("""COMPUTED_VALUE"""),30411.6666666666)</f>
        <v>30411.666666666599</v>
      </c>
      <c r="B825" s="1">
        <f ca="1">IFERROR(__xludf.DUMMYFUNCTION("""COMPUTED_VALUE"""),2.91)</f>
        <v>2.91</v>
      </c>
      <c r="C825" s="1">
        <f ca="1">IFERROR(__xludf.DUMMYFUNCTION("""COMPUTED_VALUE"""),2.93)</f>
        <v>2.93</v>
      </c>
      <c r="D825" s="1">
        <f ca="1">IFERROR(__xludf.DUMMYFUNCTION("""COMPUTED_VALUE"""),2.9)</f>
        <v>2.9</v>
      </c>
      <c r="E825" s="1">
        <f ca="1">IFERROR(__xludf.DUMMYFUNCTION("""COMPUTED_VALUE"""),2.91)</f>
        <v>2.91</v>
      </c>
      <c r="F825" s="1">
        <f ca="1">IFERROR(__xludf.DUMMYFUNCTION("""COMPUTED_VALUE"""),240300)</f>
        <v>240300</v>
      </c>
      <c r="I825" s="1"/>
    </row>
    <row r="826" spans="1:9">
      <c r="A826" s="3">
        <f ca="1">IFERROR(__xludf.DUMMYFUNCTION("""COMPUTED_VALUE"""),30412.6666666666)</f>
        <v>30412.666666666599</v>
      </c>
      <c r="B826" s="1">
        <f ca="1">IFERROR(__xludf.DUMMYFUNCTION("""COMPUTED_VALUE"""),2.86)</f>
        <v>2.86</v>
      </c>
      <c r="C826" s="1">
        <f ca="1">IFERROR(__xludf.DUMMYFUNCTION("""COMPUTED_VALUE"""),2.9)</f>
        <v>2.9</v>
      </c>
      <c r="D826" s="1">
        <f ca="1">IFERROR(__xludf.DUMMYFUNCTION("""COMPUTED_VALUE"""),2.85)</f>
        <v>2.85</v>
      </c>
      <c r="E826" s="1">
        <f ca="1">IFERROR(__xludf.DUMMYFUNCTION("""COMPUTED_VALUE"""),2.86)</f>
        <v>2.86</v>
      </c>
      <c r="F826" s="1">
        <f ca="1">IFERROR(__xludf.DUMMYFUNCTION("""COMPUTED_VALUE"""),336600)</f>
        <v>336600</v>
      </c>
      <c r="I826" s="1"/>
    </row>
    <row r="827" spans="1:9">
      <c r="A827" s="3">
        <f ca="1">IFERROR(__xludf.DUMMYFUNCTION("""COMPUTED_VALUE"""),30413.6666666666)</f>
        <v>30413.666666666599</v>
      </c>
      <c r="B827" s="1">
        <f ca="1">IFERROR(__xludf.DUMMYFUNCTION("""COMPUTED_VALUE"""),2.84)</f>
        <v>2.84</v>
      </c>
      <c r="C827" s="1">
        <f ca="1">IFERROR(__xludf.DUMMYFUNCTION("""COMPUTED_VALUE"""),2.89)</f>
        <v>2.89</v>
      </c>
      <c r="D827" s="1">
        <f ca="1">IFERROR(__xludf.DUMMYFUNCTION("""COMPUTED_VALUE"""),2.82)</f>
        <v>2.82</v>
      </c>
      <c r="E827" s="1">
        <f ca="1">IFERROR(__xludf.DUMMYFUNCTION("""COMPUTED_VALUE"""),2.84)</f>
        <v>2.84</v>
      </c>
      <c r="F827" s="1">
        <f ca="1">IFERROR(__xludf.DUMMYFUNCTION("""COMPUTED_VALUE"""),566200)</f>
        <v>566200</v>
      </c>
      <c r="I827" s="1"/>
    </row>
    <row r="828" spans="1:9">
      <c r="A828" s="3">
        <f ca="1">IFERROR(__xludf.DUMMYFUNCTION("""COMPUTED_VALUE"""),30414.6666666666)</f>
        <v>30414.666666666599</v>
      </c>
      <c r="B828" s="1">
        <f ca="1">IFERROR(__xludf.DUMMYFUNCTION("""COMPUTED_VALUE"""),2.86)</f>
        <v>2.86</v>
      </c>
      <c r="C828" s="1">
        <f ca="1">IFERROR(__xludf.DUMMYFUNCTION("""COMPUTED_VALUE"""),2.86)</f>
        <v>2.86</v>
      </c>
      <c r="D828" s="1">
        <f ca="1">IFERROR(__xludf.DUMMYFUNCTION("""COMPUTED_VALUE"""),2.82)</f>
        <v>2.82</v>
      </c>
      <c r="E828" s="1">
        <f ca="1">IFERROR(__xludf.DUMMYFUNCTION("""COMPUTED_VALUE"""),2.86)</f>
        <v>2.86</v>
      </c>
      <c r="F828" s="1">
        <f ca="1">IFERROR(__xludf.DUMMYFUNCTION("""COMPUTED_VALUE"""),246300)</f>
        <v>246300</v>
      </c>
      <c r="I828" s="1"/>
    </row>
    <row r="829" spans="1:9">
      <c r="A829" s="3">
        <f ca="1">IFERROR(__xludf.DUMMYFUNCTION("""COMPUTED_VALUE"""),30417.6666666666)</f>
        <v>30417.666666666599</v>
      </c>
      <c r="B829" s="1">
        <f ca="1">IFERROR(__xludf.DUMMYFUNCTION("""COMPUTED_VALUE"""),2.84)</f>
        <v>2.84</v>
      </c>
      <c r="C829" s="1">
        <f ca="1">IFERROR(__xludf.DUMMYFUNCTION("""COMPUTED_VALUE"""),2.88)</f>
        <v>2.88</v>
      </c>
      <c r="D829" s="1">
        <f ca="1">IFERROR(__xludf.DUMMYFUNCTION("""COMPUTED_VALUE"""),2.82)</f>
        <v>2.82</v>
      </c>
      <c r="E829" s="1">
        <f ca="1">IFERROR(__xludf.DUMMYFUNCTION("""COMPUTED_VALUE"""),2.84)</f>
        <v>2.84</v>
      </c>
      <c r="F829" s="1">
        <f ca="1">IFERROR(__xludf.DUMMYFUNCTION("""COMPUTED_VALUE"""),265100)</f>
        <v>265100</v>
      </c>
      <c r="I829" s="1"/>
    </row>
    <row r="830" spans="1:9">
      <c r="A830" s="3">
        <f ca="1">IFERROR(__xludf.DUMMYFUNCTION("""COMPUTED_VALUE"""),30418.6666666666)</f>
        <v>30418.666666666599</v>
      </c>
      <c r="B830" s="1">
        <f ca="1">IFERROR(__xludf.DUMMYFUNCTION("""COMPUTED_VALUE"""),2.82)</f>
        <v>2.82</v>
      </c>
      <c r="C830" s="1">
        <f ca="1">IFERROR(__xludf.DUMMYFUNCTION("""COMPUTED_VALUE"""),2.84)</f>
        <v>2.84</v>
      </c>
      <c r="D830" s="1">
        <f ca="1">IFERROR(__xludf.DUMMYFUNCTION("""COMPUTED_VALUE"""),2.8)</f>
        <v>2.8</v>
      </c>
      <c r="E830" s="1">
        <f ca="1">IFERROR(__xludf.DUMMYFUNCTION("""COMPUTED_VALUE"""),2.82)</f>
        <v>2.82</v>
      </c>
      <c r="F830" s="1">
        <f ca="1">IFERROR(__xludf.DUMMYFUNCTION("""COMPUTED_VALUE"""),445000)</f>
        <v>445000</v>
      </c>
      <c r="I830" s="1"/>
    </row>
    <row r="831" spans="1:9">
      <c r="A831" s="3">
        <f ca="1">IFERROR(__xludf.DUMMYFUNCTION("""COMPUTED_VALUE"""),30419.6666666666)</f>
        <v>30419.666666666599</v>
      </c>
      <c r="B831" s="1">
        <f ca="1">IFERROR(__xludf.DUMMYFUNCTION("""COMPUTED_VALUE"""),2.84)</f>
        <v>2.84</v>
      </c>
      <c r="C831" s="1">
        <f ca="1">IFERROR(__xludf.DUMMYFUNCTION("""COMPUTED_VALUE"""),2.84)</f>
        <v>2.84</v>
      </c>
      <c r="D831" s="1">
        <f ca="1">IFERROR(__xludf.DUMMYFUNCTION("""COMPUTED_VALUE"""),2.81)</f>
        <v>2.81</v>
      </c>
      <c r="E831" s="1">
        <f ca="1">IFERROR(__xludf.DUMMYFUNCTION("""COMPUTED_VALUE"""),2.84)</f>
        <v>2.84</v>
      </c>
      <c r="F831" s="1">
        <f ca="1">IFERROR(__xludf.DUMMYFUNCTION("""COMPUTED_VALUE"""),506900)</f>
        <v>506900</v>
      </c>
      <c r="I831" s="1"/>
    </row>
    <row r="832" spans="1:9">
      <c r="A832" s="3">
        <f ca="1">IFERROR(__xludf.DUMMYFUNCTION("""COMPUTED_VALUE"""),30420.6666666666)</f>
        <v>30420.666666666599</v>
      </c>
      <c r="B832" s="1">
        <f ca="1">IFERROR(__xludf.DUMMYFUNCTION("""COMPUTED_VALUE"""),2.84)</f>
        <v>2.84</v>
      </c>
      <c r="C832" s="1">
        <f ca="1">IFERROR(__xludf.DUMMYFUNCTION("""COMPUTED_VALUE"""),2.85)</f>
        <v>2.85</v>
      </c>
      <c r="D832" s="1">
        <f ca="1">IFERROR(__xludf.DUMMYFUNCTION("""COMPUTED_VALUE"""),2.84)</f>
        <v>2.84</v>
      </c>
      <c r="E832" s="1">
        <f ca="1">IFERROR(__xludf.DUMMYFUNCTION("""COMPUTED_VALUE"""),2.84)</f>
        <v>2.84</v>
      </c>
      <c r="F832" s="1">
        <f ca="1">IFERROR(__xludf.DUMMYFUNCTION("""COMPUTED_VALUE"""),312200)</f>
        <v>312200</v>
      </c>
      <c r="I832" s="1"/>
    </row>
    <row r="833" spans="1:9">
      <c r="A833" s="3">
        <f ca="1">IFERROR(__xludf.DUMMYFUNCTION("""COMPUTED_VALUE"""),30421.6666666666)</f>
        <v>30421.666666666599</v>
      </c>
      <c r="B833" s="1">
        <f ca="1">IFERROR(__xludf.DUMMYFUNCTION("""COMPUTED_VALUE"""),2.88)</f>
        <v>2.88</v>
      </c>
      <c r="C833" s="1">
        <f ca="1">IFERROR(__xludf.DUMMYFUNCTION("""COMPUTED_VALUE"""),2.88)</f>
        <v>2.88</v>
      </c>
      <c r="D833" s="1">
        <f ca="1">IFERROR(__xludf.DUMMYFUNCTION("""COMPUTED_VALUE"""),2.83)</f>
        <v>2.83</v>
      </c>
      <c r="E833" s="1">
        <f ca="1">IFERROR(__xludf.DUMMYFUNCTION("""COMPUTED_VALUE"""),2.88)</f>
        <v>2.88</v>
      </c>
      <c r="F833" s="1">
        <f ca="1">IFERROR(__xludf.DUMMYFUNCTION("""COMPUTED_VALUE"""),367900)</f>
        <v>367900</v>
      </c>
      <c r="I833" s="1"/>
    </row>
    <row r="834" spans="1:9">
      <c r="A834" s="3">
        <f ca="1">IFERROR(__xludf.DUMMYFUNCTION("""COMPUTED_VALUE"""),30424.6666666666)</f>
        <v>30424.666666666599</v>
      </c>
      <c r="B834" s="1">
        <f ca="1">IFERROR(__xludf.DUMMYFUNCTION("""COMPUTED_VALUE"""),2.98)</f>
        <v>2.98</v>
      </c>
      <c r="C834" s="1">
        <f ca="1">IFERROR(__xludf.DUMMYFUNCTION("""COMPUTED_VALUE"""),2.98)</f>
        <v>2.98</v>
      </c>
      <c r="D834" s="1">
        <f ca="1">IFERROR(__xludf.DUMMYFUNCTION("""COMPUTED_VALUE"""),2.86)</f>
        <v>2.86</v>
      </c>
      <c r="E834" s="1">
        <f ca="1">IFERROR(__xludf.DUMMYFUNCTION("""COMPUTED_VALUE"""),2.98)</f>
        <v>2.98</v>
      </c>
      <c r="F834" s="1">
        <f ca="1">IFERROR(__xludf.DUMMYFUNCTION("""COMPUTED_VALUE"""),662600)</f>
        <v>662600</v>
      </c>
      <c r="I834" s="1"/>
    </row>
    <row r="835" spans="1:9">
      <c r="A835" s="3">
        <f ca="1">IFERROR(__xludf.DUMMYFUNCTION("""COMPUTED_VALUE"""),30425.6666666666)</f>
        <v>30425.666666666599</v>
      </c>
      <c r="B835" s="1">
        <f ca="1">IFERROR(__xludf.DUMMYFUNCTION("""COMPUTED_VALUE"""),2.98)</f>
        <v>2.98</v>
      </c>
      <c r="C835" s="1">
        <f ca="1">IFERROR(__xludf.DUMMYFUNCTION("""COMPUTED_VALUE"""),3.04)</f>
        <v>3.04</v>
      </c>
      <c r="D835" s="1">
        <f ca="1">IFERROR(__xludf.DUMMYFUNCTION("""COMPUTED_VALUE"""),2.97)</f>
        <v>2.97</v>
      </c>
      <c r="E835" s="1">
        <f ca="1">IFERROR(__xludf.DUMMYFUNCTION("""COMPUTED_VALUE"""),2.98)</f>
        <v>2.98</v>
      </c>
      <c r="F835" s="1">
        <f ca="1">IFERROR(__xludf.DUMMYFUNCTION("""COMPUTED_VALUE"""),589200)</f>
        <v>589200</v>
      </c>
      <c r="I835" s="1"/>
    </row>
    <row r="836" spans="1:9">
      <c r="A836" s="3">
        <f ca="1">IFERROR(__xludf.DUMMYFUNCTION("""COMPUTED_VALUE"""),30426.6666666666)</f>
        <v>30426.666666666599</v>
      </c>
      <c r="B836" s="1">
        <f ca="1">IFERROR(__xludf.DUMMYFUNCTION("""COMPUTED_VALUE"""),3.02)</f>
        <v>3.02</v>
      </c>
      <c r="C836" s="1">
        <f ca="1">IFERROR(__xludf.DUMMYFUNCTION("""COMPUTED_VALUE"""),3.04)</f>
        <v>3.04</v>
      </c>
      <c r="D836" s="1">
        <f ca="1">IFERROR(__xludf.DUMMYFUNCTION("""COMPUTED_VALUE"""),2.98)</f>
        <v>2.98</v>
      </c>
      <c r="E836" s="1">
        <f ca="1">IFERROR(__xludf.DUMMYFUNCTION("""COMPUTED_VALUE"""),3.02)</f>
        <v>3.02</v>
      </c>
      <c r="F836" s="1">
        <f ca="1">IFERROR(__xludf.DUMMYFUNCTION("""COMPUTED_VALUE"""),335800)</f>
        <v>335800</v>
      </c>
      <c r="I836" s="1"/>
    </row>
    <row r="837" spans="1:9">
      <c r="A837" s="3">
        <f ca="1">IFERROR(__xludf.DUMMYFUNCTION("""COMPUTED_VALUE"""),30427.6666666666)</f>
        <v>30427.666666666599</v>
      </c>
      <c r="B837" s="1">
        <f ca="1">IFERROR(__xludf.DUMMYFUNCTION("""COMPUTED_VALUE"""),3.02)</f>
        <v>3.02</v>
      </c>
      <c r="C837" s="1">
        <f ca="1">IFERROR(__xludf.DUMMYFUNCTION("""COMPUTED_VALUE"""),3.05)</f>
        <v>3.05</v>
      </c>
      <c r="D837" s="1">
        <f ca="1">IFERROR(__xludf.DUMMYFUNCTION("""COMPUTED_VALUE"""),2.99)</f>
        <v>2.99</v>
      </c>
      <c r="E837" s="1">
        <f ca="1">IFERROR(__xludf.DUMMYFUNCTION("""COMPUTED_VALUE"""),3.02)</f>
        <v>3.02</v>
      </c>
      <c r="F837" s="1">
        <f ca="1">IFERROR(__xludf.DUMMYFUNCTION("""COMPUTED_VALUE"""),427600)</f>
        <v>427600</v>
      </c>
      <c r="I837" s="1"/>
    </row>
    <row r="838" spans="1:9">
      <c r="A838" s="3">
        <f ca="1">IFERROR(__xludf.DUMMYFUNCTION("""COMPUTED_VALUE"""),30428.6666666666)</f>
        <v>30428.666666666599</v>
      </c>
      <c r="B838" s="1">
        <f ca="1">IFERROR(__xludf.DUMMYFUNCTION("""COMPUTED_VALUE"""),3.04)</f>
        <v>3.04</v>
      </c>
      <c r="C838" s="1">
        <f ca="1">IFERROR(__xludf.DUMMYFUNCTION("""COMPUTED_VALUE"""),3.06)</f>
        <v>3.06</v>
      </c>
      <c r="D838" s="1">
        <f ca="1">IFERROR(__xludf.DUMMYFUNCTION("""COMPUTED_VALUE"""),3.02)</f>
        <v>3.02</v>
      </c>
      <c r="E838" s="1">
        <f ca="1">IFERROR(__xludf.DUMMYFUNCTION("""COMPUTED_VALUE"""),3.04)</f>
        <v>3.04</v>
      </c>
      <c r="F838" s="1">
        <f ca="1">IFERROR(__xludf.DUMMYFUNCTION("""COMPUTED_VALUE"""),514900)</f>
        <v>514900</v>
      </c>
      <c r="I838" s="1"/>
    </row>
    <row r="839" spans="1:9">
      <c r="A839" s="3">
        <f ca="1">IFERROR(__xludf.DUMMYFUNCTION("""COMPUTED_VALUE"""),30431.6666666666)</f>
        <v>30431.666666666599</v>
      </c>
      <c r="B839" s="1">
        <f ca="1">IFERROR(__xludf.DUMMYFUNCTION("""COMPUTED_VALUE"""),3.02)</f>
        <v>3.02</v>
      </c>
      <c r="C839" s="1">
        <f ca="1">IFERROR(__xludf.DUMMYFUNCTION("""COMPUTED_VALUE"""),3.08)</f>
        <v>3.08</v>
      </c>
      <c r="D839" s="1">
        <f ca="1">IFERROR(__xludf.DUMMYFUNCTION("""COMPUTED_VALUE"""),3.01)</f>
        <v>3.01</v>
      </c>
      <c r="E839" s="1">
        <f ca="1">IFERROR(__xludf.DUMMYFUNCTION("""COMPUTED_VALUE"""),3.02)</f>
        <v>3.02</v>
      </c>
      <c r="F839" s="1">
        <f ca="1">IFERROR(__xludf.DUMMYFUNCTION("""COMPUTED_VALUE"""),462500)</f>
        <v>462500</v>
      </c>
      <c r="I839" s="1"/>
    </row>
    <row r="840" spans="1:9">
      <c r="A840" s="3">
        <f ca="1">IFERROR(__xludf.DUMMYFUNCTION("""COMPUTED_VALUE"""),30432.6666666666)</f>
        <v>30432.666666666599</v>
      </c>
      <c r="B840" s="1">
        <f ca="1">IFERROR(__xludf.DUMMYFUNCTION("""COMPUTED_VALUE"""),3)</f>
        <v>3</v>
      </c>
      <c r="C840" s="1">
        <f ca="1">IFERROR(__xludf.DUMMYFUNCTION("""COMPUTED_VALUE"""),3.02)</f>
        <v>3.02</v>
      </c>
      <c r="D840" s="1">
        <f ca="1">IFERROR(__xludf.DUMMYFUNCTION("""COMPUTED_VALUE"""),2.98)</f>
        <v>2.98</v>
      </c>
      <c r="E840" s="1">
        <f ca="1">IFERROR(__xludf.DUMMYFUNCTION("""COMPUTED_VALUE"""),3)</f>
        <v>3</v>
      </c>
      <c r="F840" s="1">
        <f ca="1">IFERROR(__xludf.DUMMYFUNCTION("""COMPUTED_VALUE"""),261700)</f>
        <v>261700</v>
      </c>
      <c r="I840" s="1"/>
    </row>
    <row r="841" spans="1:9">
      <c r="A841" s="3">
        <f ca="1">IFERROR(__xludf.DUMMYFUNCTION("""COMPUTED_VALUE"""),30433.6666666666)</f>
        <v>30433.666666666599</v>
      </c>
      <c r="B841" s="1">
        <f ca="1">IFERROR(__xludf.DUMMYFUNCTION("""COMPUTED_VALUE"""),3.05)</f>
        <v>3.05</v>
      </c>
      <c r="C841" s="1">
        <f ca="1">IFERROR(__xludf.DUMMYFUNCTION("""COMPUTED_VALUE"""),3.05)</f>
        <v>3.05</v>
      </c>
      <c r="D841" s="1">
        <f ca="1">IFERROR(__xludf.DUMMYFUNCTION("""COMPUTED_VALUE"""),3)</f>
        <v>3</v>
      </c>
      <c r="E841" s="1">
        <f ca="1">IFERROR(__xludf.DUMMYFUNCTION("""COMPUTED_VALUE"""),3.05)</f>
        <v>3.05</v>
      </c>
      <c r="F841" s="1">
        <f ca="1">IFERROR(__xludf.DUMMYFUNCTION("""COMPUTED_VALUE"""),368500)</f>
        <v>368500</v>
      </c>
      <c r="I841" s="1"/>
    </row>
    <row r="842" spans="1:9">
      <c r="A842" s="3">
        <f ca="1">IFERROR(__xludf.DUMMYFUNCTION("""COMPUTED_VALUE"""),30434.6666666666)</f>
        <v>30434.666666666599</v>
      </c>
      <c r="B842" s="1">
        <f ca="1">IFERROR(__xludf.DUMMYFUNCTION("""COMPUTED_VALUE"""),3.14)</f>
        <v>3.14</v>
      </c>
      <c r="C842" s="1">
        <f ca="1">IFERROR(__xludf.DUMMYFUNCTION("""COMPUTED_VALUE"""),3.16)</f>
        <v>3.16</v>
      </c>
      <c r="D842" s="1">
        <f ca="1">IFERROR(__xludf.DUMMYFUNCTION("""COMPUTED_VALUE"""),3.06)</f>
        <v>3.06</v>
      </c>
      <c r="E842" s="1">
        <f ca="1">IFERROR(__xludf.DUMMYFUNCTION("""COMPUTED_VALUE"""),3.14)</f>
        <v>3.14</v>
      </c>
      <c r="F842" s="1">
        <f ca="1">IFERROR(__xludf.DUMMYFUNCTION("""COMPUTED_VALUE"""),771000)</f>
        <v>771000</v>
      </c>
      <c r="I842" s="1"/>
    </row>
    <row r="843" spans="1:9">
      <c r="A843" s="3">
        <f ca="1">IFERROR(__xludf.DUMMYFUNCTION("""COMPUTED_VALUE"""),30435.6666666666)</f>
        <v>30435.666666666599</v>
      </c>
      <c r="B843" s="1">
        <f ca="1">IFERROR(__xludf.DUMMYFUNCTION("""COMPUTED_VALUE"""),3.13)</f>
        <v>3.13</v>
      </c>
      <c r="C843" s="1">
        <f ca="1">IFERROR(__xludf.DUMMYFUNCTION("""COMPUTED_VALUE"""),3.16)</f>
        <v>3.16</v>
      </c>
      <c r="D843" s="1">
        <f ca="1">IFERROR(__xludf.DUMMYFUNCTION("""COMPUTED_VALUE"""),3.11)</f>
        <v>3.11</v>
      </c>
      <c r="E843" s="1">
        <f ca="1">IFERROR(__xludf.DUMMYFUNCTION("""COMPUTED_VALUE"""),3.13)</f>
        <v>3.13</v>
      </c>
      <c r="F843" s="1">
        <f ca="1">IFERROR(__xludf.DUMMYFUNCTION("""COMPUTED_VALUE"""),924000)</f>
        <v>924000</v>
      </c>
      <c r="I843" s="1"/>
    </row>
    <row r="844" spans="1:9">
      <c r="A844" s="3">
        <f ca="1">IFERROR(__xludf.DUMMYFUNCTION("""COMPUTED_VALUE"""),30438.6666666666)</f>
        <v>30438.666666666599</v>
      </c>
      <c r="B844" s="1">
        <f ca="1">IFERROR(__xludf.DUMMYFUNCTION("""COMPUTED_VALUE"""),3.09)</f>
        <v>3.09</v>
      </c>
      <c r="C844" s="1">
        <f ca="1">IFERROR(__xludf.DUMMYFUNCTION("""COMPUTED_VALUE"""),3.14)</f>
        <v>3.14</v>
      </c>
      <c r="D844" s="1">
        <f ca="1">IFERROR(__xludf.DUMMYFUNCTION("""COMPUTED_VALUE"""),3.04)</f>
        <v>3.04</v>
      </c>
      <c r="E844" s="1">
        <f ca="1">IFERROR(__xludf.DUMMYFUNCTION("""COMPUTED_VALUE"""),3.09)</f>
        <v>3.09</v>
      </c>
      <c r="F844" s="1">
        <f ca="1">IFERROR(__xludf.DUMMYFUNCTION("""COMPUTED_VALUE"""),600200)</f>
        <v>600200</v>
      </c>
      <c r="I844" s="1"/>
    </row>
    <row r="845" spans="1:9">
      <c r="A845" s="3">
        <f ca="1">IFERROR(__xludf.DUMMYFUNCTION("""COMPUTED_VALUE"""),30439.6666666666)</f>
        <v>30439.666666666599</v>
      </c>
      <c r="B845" s="1">
        <f ca="1">IFERROR(__xludf.DUMMYFUNCTION("""COMPUTED_VALUE"""),3.18)</f>
        <v>3.18</v>
      </c>
      <c r="C845" s="1">
        <f ca="1">IFERROR(__xludf.DUMMYFUNCTION("""COMPUTED_VALUE"""),3.22)</f>
        <v>3.22</v>
      </c>
      <c r="D845" s="1">
        <f ca="1">IFERROR(__xludf.DUMMYFUNCTION("""COMPUTED_VALUE"""),3.11)</f>
        <v>3.11</v>
      </c>
      <c r="E845" s="1">
        <f ca="1">IFERROR(__xludf.DUMMYFUNCTION("""COMPUTED_VALUE"""),3.18)</f>
        <v>3.18</v>
      </c>
      <c r="F845" s="1">
        <f ca="1">IFERROR(__xludf.DUMMYFUNCTION("""COMPUTED_VALUE"""),662500)</f>
        <v>662500</v>
      </c>
      <c r="I845" s="1"/>
    </row>
    <row r="846" spans="1:9">
      <c r="A846" s="3">
        <f ca="1">IFERROR(__xludf.DUMMYFUNCTION("""COMPUTED_VALUE"""),30440.6666666666)</f>
        <v>30440.666666666599</v>
      </c>
      <c r="B846" s="1">
        <f ca="1">IFERROR(__xludf.DUMMYFUNCTION("""COMPUTED_VALUE"""),3.15)</f>
        <v>3.15</v>
      </c>
      <c r="C846" s="1">
        <f ca="1">IFERROR(__xludf.DUMMYFUNCTION("""COMPUTED_VALUE"""),3.18)</f>
        <v>3.18</v>
      </c>
      <c r="D846" s="1">
        <f ca="1">IFERROR(__xludf.DUMMYFUNCTION("""COMPUTED_VALUE"""),3.1)</f>
        <v>3.1</v>
      </c>
      <c r="E846" s="1">
        <f ca="1">IFERROR(__xludf.DUMMYFUNCTION("""COMPUTED_VALUE"""),3.15)</f>
        <v>3.15</v>
      </c>
      <c r="F846" s="1">
        <f ca="1">IFERROR(__xludf.DUMMYFUNCTION("""COMPUTED_VALUE"""),529500)</f>
        <v>529500</v>
      </c>
      <c r="I846" s="1"/>
    </row>
    <row r="847" spans="1:9">
      <c r="A847" s="3">
        <f ca="1">IFERROR(__xludf.DUMMYFUNCTION("""COMPUTED_VALUE"""),30441.6666666666)</f>
        <v>30441.666666666599</v>
      </c>
      <c r="B847" s="1">
        <f ca="1">IFERROR(__xludf.DUMMYFUNCTION("""COMPUTED_VALUE"""),3.15)</f>
        <v>3.15</v>
      </c>
      <c r="C847" s="1">
        <f ca="1">IFERROR(__xludf.DUMMYFUNCTION("""COMPUTED_VALUE"""),3.17)</f>
        <v>3.17</v>
      </c>
      <c r="D847" s="1">
        <f ca="1">IFERROR(__xludf.DUMMYFUNCTION("""COMPUTED_VALUE"""),3.13)</f>
        <v>3.13</v>
      </c>
      <c r="E847" s="1">
        <f ca="1">IFERROR(__xludf.DUMMYFUNCTION("""COMPUTED_VALUE"""),3.15)</f>
        <v>3.15</v>
      </c>
      <c r="F847" s="1">
        <f ca="1">IFERROR(__xludf.DUMMYFUNCTION("""COMPUTED_VALUE"""),246700)</f>
        <v>246700</v>
      </c>
      <c r="I847" s="1"/>
    </row>
    <row r="848" spans="1:9">
      <c r="A848" s="3">
        <f ca="1">IFERROR(__xludf.DUMMYFUNCTION("""COMPUTED_VALUE"""),30442.6666666666)</f>
        <v>30442.666666666599</v>
      </c>
      <c r="B848" s="1">
        <f ca="1">IFERROR(__xludf.DUMMYFUNCTION("""COMPUTED_VALUE"""),3.15)</f>
        <v>3.15</v>
      </c>
      <c r="C848" s="1">
        <f ca="1">IFERROR(__xludf.DUMMYFUNCTION("""COMPUTED_VALUE"""),3.2)</f>
        <v>3.2</v>
      </c>
      <c r="D848" s="1">
        <f ca="1">IFERROR(__xludf.DUMMYFUNCTION("""COMPUTED_VALUE"""),3.15)</f>
        <v>3.15</v>
      </c>
      <c r="E848" s="1">
        <f ca="1">IFERROR(__xludf.DUMMYFUNCTION("""COMPUTED_VALUE"""),3.15)</f>
        <v>3.15</v>
      </c>
      <c r="F848" s="1">
        <f ca="1">IFERROR(__xludf.DUMMYFUNCTION("""COMPUTED_VALUE"""),327500)</f>
        <v>327500</v>
      </c>
      <c r="I848" s="1"/>
    </row>
    <row r="849" spans="1:9">
      <c r="A849" s="3">
        <f ca="1">IFERROR(__xludf.DUMMYFUNCTION("""COMPUTED_VALUE"""),30445.6666666666)</f>
        <v>30445.666666666599</v>
      </c>
      <c r="B849" s="1">
        <f ca="1">IFERROR(__xludf.DUMMYFUNCTION("""COMPUTED_VALUE"""),3.1)</f>
        <v>3.1</v>
      </c>
      <c r="C849" s="1">
        <f ca="1">IFERROR(__xludf.DUMMYFUNCTION("""COMPUTED_VALUE"""),3.14)</f>
        <v>3.14</v>
      </c>
      <c r="D849" s="1">
        <f ca="1">IFERROR(__xludf.DUMMYFUNCTION("""COMPUTED_VALUE"""),3.08)</f>
        <v>3.08</v>
      </c>
      <c r="E849" s="1">
        <f ca="1">IFERROR(__xludf.DUMMYFUNCTION("""COMPUTED_VALUE"""),3.1)</f>
        <v>3.1</v>
      </c>
      <c r="F849" s="1">
        <f ca="1">IFERROR(__xludf.DUMMYFUNCTION("""COMPUTED_VALUE"""),263300)</f>
        <v>263300</v>
      </c>
      <c r="I849" s="1"/>
    </row>
    <row r="850" spans="1:9">
      <c r="A850" s="3">
        <f ca="1">IFERROR(__xludf.DUMMYFUNCTION("""COMPUTED_VALUE"""),30446.6666666666)</f>
        <v>30446.666666666599</v>
      </c>
      <c r="B850" s="1">
        <f ca="1">IFERROR(__xludf.DUMMYFUNCTION("""COMPUTED_VALUE"""),3.16)</f>
        <v>3.16</v>
      </c>
      <c r="C850" s="1">
        <f ca="1">IFERROR(__xludf.DUMMYFUNCTION("""COMPUTED_VALUE"""),3.16)</f>
        <v>3.16</v>
      </c>
      <c r="D850" s="1">
        <f ca="1">IFERROR(__xludf.DUMMYFUNCTION("""COMPUTED_VALUE"""),3.11)</f>
        <v>3.11</v>
      </c>
      <c r="E850" s="1">
        <f ca="1">IFERROR(__xludf.DUMMYFUNCTION("""COMPUTED_VALUE"""),3.16)</f>
        <v>3.16</v>
      </c>
      <c r="F850" s="1">
        <f ca="1">IFERROR(__xludf.DUMMYFUNCTION("""COMPUTED_VALUE"""),343700)</f>
        <v>343700</v>
      </c>
      <c r="I850" s="1"/>
    </row>
    <row r="851" spans="1:9">
      <c r="A851" s="3">
        <f ca="1">IFERROR(__xludf.DUMMYFUNCTION("""COMPUTED_VALUE"""),30447.6666666666)</f>
        <v>30447.666666666599</v>
      </c>
      <c r="B851" s="1">
        <f ca="1">IFERROR(__xludf.DUMMYFUNCTION("""COMPUTED_VALUE"""),3.13)</f>
        <v>3.13</v>
      </c>
      <c r="C851" s="1">
        <f ca="1">IFERROR(__xludf.DUMMYFUNCTION("""COMPUTED_VALUE"""),3.16)</f>
        <v>3.16</v>
      </c>
      <c r="D851" s="1">
        <f ca="1">IFERROR(__xludf.DUMMYFUNCTION("""COMPUTED_VALUE"""),3.1)</f>
        <v>3.1</v>
      </c>
      <c r="E851" s="1">
        <f ca="1">IFERROR(__xludf.DUMMYFUNCTION("""COMPUTED_VALUE"""),3.13)</f>
        <v>3.13</v>
      </c>
      <c r="F851" s="1">
        <f ca="1">IFERROR(__xludf.DUMMYFUNCTION("""COMPUTED_VALUE"""),239500)</f>
        <v>239500</v>
      </c>
      <c r="I851" s="1"/>
    </row>
    <row r="852" spans="1:9">
      <c r="A852" s="3">
        <f ca="1">IFERROR(__xludf.DUMMYFUNCTION("""COMPUTED_VALUE"""),30448.6666666666)</f>
        <v>30448.666666666599</v>
      </c>
      <c r="B852" s="1">
        <f ca="1">IFERROR(__xludf.DUMMYFUNCTION("""COMPUTED_VALUE"""),3.06)</f>
        <v>3.06</v>
      </c>
      <c r="C852" s="1">
        <f ca="1">IFERROR(__xludf.DUMMYFUNCTION("""COMPUTED_VALUE"""),3.13)</f>
        <v>3.13</v>
      </c>
      <c r="D852" s="1">
        <f ca="1">IFERROR(__xludf.DUMMYFUNCTION("""COMPUTED_VALUE"""),3.04)</f>
        <v>3.04</v>
      </c>
      <c r="E852" s="1">
        <f ca="1">IFERROR(__xludf.DUMMYFUNCTION("""COMPUTED_VALUE"""),3.06)</f>
        <v>3.06</v>
      </c>
      <c r="F852" s="1">
        <f ca="1">IFERROR(__xludf.DUMMYFUNCTION("""COMPUTED_VALUE"""),302900)</f>
        <v>302900</v>
      </c>
      <c r="I852" s="1"/>
    </row>
    <row r="853" spans="1:9">
      <c r="A853" s="3">
        <f ca="1">IFERROR(__xludf.DUMMYFUNCTION("""COMPUTED_VALUE"""),30449.6666666666)</f>
        <v>30449.666666666599</v>
      </c>
      <c r="B853" s="1">
        <f ca="1">IFERROR(__xludf.DUMMYFUNCTION("""COMPUTED_VALUE"""),3.06)</f>
        <v>3.06</v>
      </c>
      <c r="C853" s="1">
        <f ca="1">IFERROR(__xludf.DUMMYFUNCTION("""COMPUTED_VALUE"""),3.11)</f>
        <v>3.11</v>
      </c>
      <c r="D853" s="1">
        <f ca="1">IFERROR(__xludf.DUMMYFUNCTION("""COMPUTED_VALUE"""),3.06)</f>
        <v>3.06</v>
      </c>
      <c r="E853" s="1">
        <f ca="1">IFERROR(__xludf.DUMMYFUNCTION("""COMPUTED_VALUE"""),3.06)</f>
        <v>3.06</v>
      </c>
      <c r="F853" s="1">
        <f ca="1">IFERROR(__xludf.DUMMYFUNCTION("""COMPUTED_VALUE"""),206400)</f>
        <v>206400</v>
      </c>
      <c r="I853" s="1"/>
    </row>
    <row r="854" spans="1:9">
      <c r="A854" s="3">
        <f ca="1">IFERROR(__xludf.DUMMYFUNCTION("""COMPUTED_VALUE"""),30452.6666666666)</f>
        <v>30452.666666666599</v>
      </c>
      <c r="B854" s="1">
        <f ca="1">IFERROR(__xludf.DUMMYFUNCTION("""COMPUTED_VALUE"""),3.04)</f>
        <v>3.04</v>
      </c>
      <c r="C854" s="1">
        <f ca="1">IFERROR(__xludf.DUMMYFUNCTION("""COMPUTED_VALUE"""),3.06)</f>
        <v>3.06</v>
      </c>
      <c r="D854" s="1">
        <f ca="1">IFERROR(__xludf.DUMMYFUNCTION("""COMPUTED_VALUE"""),3.02)</f>
        <v>3.02</v>
      </c>
      <c r="E854" s="1">
        <f ca="1">IFERROR(__xludf.DUMMYFUNCTION("""COMPUTED_VALUE"""),3.04)</f>
        <v>3.04</v>
      </c>
      <c r="F854" s="1">
        <f ca="1">IFERROR(__xludf.DUMMYFUNCTION("""COMPUTED_VALUE"""),156000)</f>
        <v>156000</v>
      </c>
      <c r="I854" s="1"/>
    </row>
    <row r="855" spans="1:9">
      <c r="A855" s="3">
        <f ca="1">IFERROR(__xludf.DUMMYFUNCTION("""COMPUTED_VALUE"""),30453.6666666666)</f>
        <v>30453.666666666599</v>
      </c>
      <c r="B855" s="1">
        <f ca="1">IFERROR(__xludf.DUMMYFUNCTION("""COMPUTED_VALUE"""),3.07)</f>
        <v>3.07</v>
      </c>
      <c r="C855" s="1">
        <f ca="1">IFERROR(__xludf.DUMMYFUNCTION("""COMPUTED_VALUE"""),3.09)</f>
        <v>3.09</v>
      </c>
      <c r="D855" s="1">
        <f ca="1">IFERROR(__xludf.DUMMYFUNCTION("""COMPUTED_VALUE"""),3.06)</f>
        <v>3.06</v>
      </c>
      <c r="E855" s="1">
        <f ca="1">IFERROR(__xludf.DUMMYFUNCTION("""COMPUTED_VALUE"""),3.07)</f>
        <v>3.07</v>
      </c>
      <c r="F855" s="1">
        <f ca="1">IFERROR(__xludf.DUMMYFUNCTION("""COMPUTED_VALUE"""),170800)</f>
        <v>170800</v>
      </c>
      <c r="I855" s="1"/>
    </row>
    <row r="856" spans="1:9">
      <c r="A856" s="3">
        <f ca="1">IFERROR(__xludf.DUMMYFUNCTION("""COMPUTED_VALUE"""),30454.6666666666)</f>
        <v>30454.666666666599</v>
      </c>
      <c r="B856" s="1">
        <f ca="1">IFERROR(__xludf.DUMMYFUNCTION("""COMPUTED_VALUE"""),3.04)</f>
        <v>3.04</v>
      </c>
      <c r="C856" s="1">
        <f ca="1">IFERROR(__xludf.DUMMYFUNCTION("""COMPUTED_VALUE"""),3.11)</f>
        <v>3.11</v>
      </c>
      <c r="D856" s="1">
        <f ca="1">IFERROR(__xludf.DUMMYFUNCTION("""COMPUTED_VALUE"""),3.04)</f>
        <v>3.04</v>
      </c>
      <c r="E856" s="1">
        <f ca="1">IFERROR(__xludf.DUMMYFUNCTION("""COMPUTED_VALUE"""),3.04)</f>
        <v>3.04</v>
      </c>
      <c r="F856" s="1">
        <f ca="1">IFERROR(__xludf.DUMMYFUNCTION("""COMPUTED_VALUE"""),259200)</f>
        <v>259200</v>
      </c>
      <c r="I856" s="1"/>
    </row>
    <row r="857" spans="1:9">
      <c r="A857" s="3">
        <f ca="1">IFERROR(__xludf.DUMMYFUNCTION("""COMPUTED_VALUE"""),30455.6666666666)</f>
        <v>30455.666666666599</v>
      </c>
      <c r="B857" s="1">
        <f ca="1">IFERROR(__xludf.DUMMYFUNCTION("""COMPUTED_VALUE"""),2.98)</f>
        <v>2.98</v>
      </c>
      <c r="C857" s="1">
        <f ca="1">IFERROR(__xludf.DUMMYFUNCTION("""COMPUTED_VALUE"""),3.05)</f>
        <v>3.05</v>
      </c>
      <c r="D857" s="1">
        <f ca="1">IFERROR(__xludf.DUMMYFUNCTION("""COMPUTED_VALUE"""),2.98)</f>
        <v>2.98</v>
      </c>
      <c r="E857" s="1">
        <f ca="1">IFERROR(__xludf.DUMMYFUNCTION("""COMPUTED_VALUE"""),2.98)</f>
        <v>2.98</v>
      </c>
      <c r="F857" s="1">
        <f ca="1">IFERROR(__xludf.DUMMYFUNCTION("""COMPUTED_VALUE"""),216900)</f>
        <v>216900</v>
      </c>
      <c r="I857" s="1"/>
    </row>
    <row r="858" spans="1:9">
      <c r="A858" s="3">
        <f ca="1">IFERROR(__xludf.DUMMYFUNCTION("""COMPUTED_VALUE"""),30456.6666666666)</f>
        <v>30456.666666666599</v>
      </c>
      <c r="B858" s="1">
        <f ca="1">IFERROR(__xludf.DUMMYFUNCTION("""COMPUTED_VALUE"""),2.95)</f>
        <v>2.95</v>
      </c>
      <c r="C858" s="1">
        <f ca="1">IFERROR(__xludf.DUMMYFUNCTION("""COMPUTED_VALUE"""),2.97)</f>
        <v>2.97</v>
      </c>
      <c r="D858" s="1">
        <f ca="1">IFERROR(__xludf.DUMMYFUNCTION("""COMPUTED_VALUE"""),2.94)</f>
        <v>2.94</v>
      </c>
      <c r="E858" s="1">
        <f ca="1">IFERROR(__xludf.DUMMYFUNCTION("""COMPUTED_VALUE"""),2.95)</f>
        <v>2.95</v>
      </c>
      <c r="F858" s="1">
        <f ca="1">IFERROR(__xludf.DUMMYFUNCTION("""COMPUTED_VALUE"""),504200)</f>
        <v>504200</v>
      </c>
      <c r="I858" s="1"/>
    </row>
    <row r="859" spans="1:9">
      <c r="A859" s="3">
        <f ca="1">IFERROR(__xludf.DUMMYFUNCTION("""COMPUTED_VALUE"""),30459.6666666666)</f>
        <v>30459.666666666599</v>
      </c>
      <c r="B859" s="1">
        <f ca="1">IFERROR(__xludf.DUMMYFUNCTION("""COMPUTED_VALUE"""),2.98)</f>
        <v>2.98</v>
      </c>
      <c r="C859" s="1">
        <f ca="1">IFERROR(__xludf.DUMMYFUNCTION("""COMPUTED_VALUE"""),2.99)</f>
        <v>2.99</v>
      </c>
      <c r="D859" s="1">
        <f ca="1">IFERROR(__xludf.DUMMYFUNCTION("""COMPUTED_VALUE"""),2.92)</f>
        <v>2.92</v>
      </c>
      <c r="E859" s="1">
        <f ca="1">IFERROR(__xludf.DUMMYFUNCTION("""COMPUTED_VALUE"""),2.98)</f>
        <v>2.98</v>
      </c>
      <c r="F859" s="1">
        <f ca="1">IFERROR(__xludf.DUMMYFUNCTION("""COMPUTED_VALUE"""),428400)</f>
        <v>428400</v>
      </c>
      <c r="I859" s="1"/>
    </row>
    <row r="860" spans="1:9">
      <c r="A860" s="3">
        <f ca="1">IFERROR(__xludf.DUMMYFUNCTION("""COMPUTED_VALUE"""),30460.6666666666)</f>
        <v>30460.666666666599</v>
      </c>
      <c r="B860" s="1">
        <f ca="1">IFERROR(__xludf.DUMMYFUNCTION("""COMPUTED_VALUE"""),3.03)</f>
        <v>3.03</v>
      </c>
      <c r="C860" s="1">
        <f ca="1">IFERROR(__xludf.DUMMYFUNCTION("""COMPUTED_VALUE"""),3.07)</f>
        <v>3.07</v>
      </c>
      <c r="D860" s="1">
        <f ca="1">IFERROR(__xludf.DUMMYFUNCTION("""COMPUTED_VALUE"""),2.99)</f>
        <v>2.99</v>
      </c>
      <c r="E860" s="1">
        <f ca="1">IFERROR(__xludf.DUMMYFUNCTION("""COMPUTED_VALUE"""),3.03)</f>
        <v>3.03</v>
      </c>
      <c r="F860" s="1">
        <f ca="1">IFERROR(__xludf.DUMMYFUNCTION("""COMPUTED_VALUE"""),377400)</f>
        <v>377400</v>
      </c>
      <c r="I860" s="1"/>
    </row>
    <row r="861" spans="1:9">
      <c r="A861" s="3">
        <f ca="1">IFERROR(__xludf.DUMMYFUNCTION("""COMPUTED_VALUE"""),30461.6666666666)</f>
        <v>30461.666666666599</v>
      </c>
      <c r="B861" s="1">
        <f ca="1">IFERROR(__xludf.DUMMYFUNCTION("""COMPUTED_VALUE"""),3.02)</f>
        <v>3.02</v>
      </c>
      <c r="C861" s="1">
        <f ca="1">IFERROR(__xludf.DUMMYFUNCTION("""COMPUTED_VALUE"""),3.05)</f>
        <v>3.05</v>
      </c>
      <c r="D861" s="1">
        <f ca="1">IFERROR(__xludf.DUMMYFUNCTION("""COMPUTED_VALUE"""),3)</f>
        <v>3</v>
      </c>
      <c r="E861" s="1">
        <f ca="1">IFERROR(__xludf.DUMMYFUNCTION("""COMPUTED_VALUE"""),3.02)</f>
        <v>3.02</v>
      </c>
      <c r="F861" s="1">
        <f ca="1">IFERROR(__xludf.DUMMYFUNCTION("""COMPUTED_VALUE"""),732400)</f>
        <v>732400</v>
      </c>
      <c r="I861" s="1"/>
    </row>
    <row r="862" spans="1:9">
      <c r="A862" s="3">
        <f ca="1">IFERROR(__xludf.DUMMYFUNCTION("""COMPUTED_VALUE"""),30462.6666666666)</f>
        <v>30462.666666666599</v>
      </c>
      <c r="B862" s="1">
        <f ca="1">IFERROR(__xludf.DUMMYFUNCTION("""COMPUTED_VALUE"""),3.02)</f>
        <v>3.02</v>
      </c>
      <c r="C862" s="1">
        <f ca="1">IFERROR(__xludf.DUMMYFUNCTION("""COMPUTED_VALUE"""),3.02)</f>
        <v>3.02</v>
      </c>
      <c r="D862" s="1">
        <f ca="1">IFERROR(__xludf.DUMMYFUNCTION("""COMPUTED_VALUE"""),2.99)</f>
        <v>2.99</v>
      </c>
      <c r="E862" s="1">
        <f ca="1">IFERROR(__xludf.DUMMYFUNCTION("""COMPUTED_VALUE"""),3.02)</f>
        <v>3.02</v>
      </c>
      <c r="F862" s="1">
        <f ca="1">IFERROR(__xludf.DUMMYFUNCTION("""COMPUTED_VALUE"""),506200)</f>
        <v>506200</v>
      </c>
      <c r="I862" s="1"/>
    </row>
    <row r="863" spans="1:9">
      <c r="A863" s="3">
        <f ca="1">IFERROR(__xludf.DUMMYFUNCTION("""COMPUTED_VALUE"""),30463.6666666666)</f>
        <v>30463.666666666599</v>
      </c>
      <c r="B863" s="1">
        <f ca="1">IFERROR(__xludf.DUMMYFUNCTION("""COMPUTED_VALUE"""),2.95)</f>
        <v>2.95</v>
      </c>
      <c r="C863" s="1">
        <f ca="1">IFERROR(__xludf.DUMMYFUNCTION("""COMPUTED_VALUE"""),3.02)</f>
        <v>3.02</v>
      </c>
      <c r="D863" s="1">
        <f ca="1">IFERROR(__xludf.DUMMYFUNCTION("""COMPUTED_VALUE"""),2.94)</f>
        <v>2.94</v>
      </c>
      <c r="E863" s="1">
        <f ca="1">IFERROR(__xludf.DUMMYFUNCTION("""COMPUTED_VALUE"""),2.95)</f>
        <v>2.95</v>
      </c>
      <c r="F863" s="1">
        <f ca="1">IFERROR(__xludf.DUMMYFUNCTION("""COMPUTED_VALUE"""),546900)</f>
        <v>546900</v>
      </c>
      <c r="I863" s="1"/>
    </row>
    <row r="864" spans="1:9">
      <c r="A864" s="3">
        <f ca="1">IFERROR(__xludf.DUMMYFUNCTION("""COMPUTED_VALUE"""),30467.6666666666)</f>
        <v>30467.666666666599</v>
      </c>
      <c r="B864" s="1">
        <f ca="1">IFERROR(__xludf.DUMMYFUNCTION("""COMPUTED_VALUE"""),2.88)</f>
        <v>2.88</v>
      </c>
      <c r="C864" s="1">
        <f ca="1">IFERROR(__xludf.DUMMYFUNCTION("""COMPUTED_VALUE"""),2.92)</f>
        <v>2.92</v>
      </c>
      <c r="D864" s="1">
        <f ca="1">IFERROR(__xludf.DUMMYFUNCTION("""COMPUTED_VALUE"""),2.86)</f>
        <v>2.86</v>
      </c>
      <c r="E864" s="1">
        <f ca="1">IFERROR(__xludf.DUMMYFUNCTION("""COMPUTED_VALUE"""),2.88)</f>
        <v>2.88</v>
      </c>
      <c r="F864" s="1">
        <f ca="1">IFERROR(__xludf.DUMMYFUNCTION("""COMPUTED_VALUE"""),301000)</f>
        <v>301000</v>
      </c>
      <c r="I864" s="1"/>
    </row>
    <row r="865" spans="1:9">
      <c r="A865" s="3">
        <f ca="1">IFERROR(__xludf.DUMMYFUNCTION("""COMPUTED_VALUE"""),30468.6666666666)</f>
        <v>30468.666666666599</v>
      </c>
      <c r="B865" s="1">
        <f ca="1">IFERROR(__xludf.DUMMYFUNCTION("""COMPUTED_VALUE"""),2.88)</f>
        <v>2.88</v>
      </c>
      <c r="C865" s="1">
        <f ca="1">IFERROR(__xludf.DUMMYFUNCTION("""COMPUTED_VALUE"""),2.91)</f>
        <v>2.91</v>
      </c>
      <c r="D865" s="1">
        <f ca="1">IFERROR(__xludf.DUMMYFUNCTION("""COMPUTED_VALUE"""),2.88)</f>
        <v>2.88</v>
      </c>
      <c r="E865" s="1">
        <f ca="1">IFERROR(__xludf.DUMMYFUNCTION("""COMPUTED_VALUE"""),2.88)</f>
        <v>2.88</v>
      </c>
      <c r="F865" s="1">
        <f ca="1">IFERROR(__xludf.DUMMYFUNCTION("""COMPUTED_VALUE"""),327500)</f>
        <v>327500</v>
      </c>
      <c r="I865" s="1"/>
    </row>
    <row r="866" spans="1:9">
      <c r="A866" s="3">
        <f ca="1">IFERROR(__xludf.DUMMYFUNCTION("""COMPUTED_VALUE"""),30469.6666666666)</f>
        <v>30469.666666666599</v>
      </c>
      <c r="B866" s="1">
        <f ca="1">IFERROR(__xludf.DUMMYFUNCTION("""COMPUTED_VALUE"""),2.94)</f>
        <v>2.94</v>
      </c>
      <c r="C866" s="1">
        <f ca="1">IFERROR(__xludf.DUMMYFUNCTION("""COMPUTED_VALUE"""),2.94)</f>
        <v>2.94</v>
      </c>
      <c r="D866" s="1">
        <f ca="1">IFERROR(__xludf.DUMMYFUNCTION("""COMPUTED_VALUE"""),2.92)</f>
        <v>2.92</v>
      </c>
      <c r="E866" s="1">
        <f ca="1">IFERROR(__xludf.DUMMYFUNCTION("""COMPUTED_VALUE"""),2.94)</f>
        <v>2.94</v>
      </c>
      <c r="F866" s="1">
        <f ca="1">IFERROR(__xludf.DUMMYFUNCTION("""COMPUTED_VALUE"""),378900)</f>
        <v>378900</v>
      </c>
      <c r="I866" s="1"/>
    </row>
    <row r="867" spans="1:9">
      <c r="A867" s="3">
        <f ca="1">IFERROR(__xludf.DUMMYFUNCTION("""COMPUTED_VALUE"""),30470.6666666666)</f>
        <v>30470.666666666599</v>
      </c>
      <c r="B867" s="1">
        <f ca="1">IFERROR(__xludf.DUMMYFUNCTION("""COMPUTED_VALUE"""),2.96)</f>
        <v>2.96</v>
      </c>
      <c r="C867" s="1">
        <f ca="1">IFERROR(__xludf.DUMMYFUNCTION("""COMPUTED_VALUE"""),2.97)</f>
        <v>2.97</v>
      </c>
      <c r="D867" s="1">
        <f ca="1">IFERROR(__xludf.DUMMYFUNCTION("""COMPUTED_VALUE"""),2.91)</f>
        <v>2.91</v>
      </c>
      <c r="E867" s="1">
        <f ca="1">IFERROR(__xludf.DUMMYFUNCTION("""COMPUTED_VALUE"""),2.96)</f>
        <v>2.96</v>
      </c>
      <c r="F867" s="1">
        <f ca="1">IFERROR(__xludf.DUMMYFUNCTION("""COMPUTED_VALUE"""),308800)</f>
        <v>308800</v>
      </c>
      <c r="I867" s="1"/>
    </row>
    <row r="868" spans="1:9">
      <c r="A868" s="3">
        <f ca="1">IFERROR(__xludf.DUMMYFUNCTION("""COMPUTED_VALUE"""),30473.6666666666)</f>
        <v>30473.666666666599</v>
      </c>
      <c r="B868" s="1">
        <f ca="1">IFERROR(__xludf.DUMMYFUNCTION("""COMPUTED_VALUE"""),2.95)</f>
        <v>2.95</v>
      </c>
      <c r="C868" s="1">
        <f ca="1">IFERROR(__xludf.DUMMYFUNCTION("""COMPUTED_VALUE"""),2.96)</f>
        <v>2.96</v>
      </c>
      <c r="D868" s="1">
        <f ca="1">IFERROR(__xludf.DUMMYFUNCTION("""COMPUTED_VALUE"""),2.94)</f>
        <v>2.94</v>
      </c>
      <c r="E868" s="1">
        <f ca="1">IFERROR(__xludf.DUMMYFUNCTION("""COMPUTED_VALUE"""),2.95)</f>
        <v>2.95</v>
      </c>
      <c r="F868" s="1">
        <f ca="1">IFERROR(__xludf.DUMMYFUNCTION("""COMPUTED_VALUE"""),216900)</f>
        <v>216900</v>
      </c>
      <c r="I868" s="1"/>
    </row>
    <row r="869" spans="1:9">
      <c r="A869" s="3">
        <f ca="1">IFERROR(__xludf.DUMMYFUNCTION("""COMPUTED_VALUE"""),30474.6666666666)</f>
        <v>30474.666666666599</v>
      </c>
      <c r="B869" s="1">
        <f ca="1">IFERROR(__xludf.DUMMYFUNCTION("""COMPUTED_VALUE"""),2.92)</f>
        <v>2.92</v>
      </c>
      <c r="C869" s="1">
        <f ca="1">IFERROR(__xludf.DUMMYFUNCTION("""COMPUTED_VALUE"""),2.95)</f>
        <v>2.95</v>
      </c>
      <c r="D869" s="1">
        <f ca="1">IFERROR(__xludf.DUMMYFUNCTION("""COMPUTED_VALUE"""),2.9)</f>
        <v>2.9</v>
      </c>
      <c r="E869" s="1">
        <f ca="1">IFERROR(__xludf.DUMMYFUNCTION("""COMPUTED_VALUE"""),2.92)</f>
        <v>2.92</v>
      </c>
      <c r="F869" s="1">
        <f ca="1">IFERROR(__xludf.DUMMYFUNCTION("""COMPUTED_VALUE"""),174800)</f>
        <v>174800</v>
      </c>
      <c r="I869" s="1"/>
    </row>
    <row r="870" spans="1:9">
      <c r="A870" s="3">
        <f ca="1">IFERROR(__xludf.DUMMYFUNCTION("""COMPUTED_VALUE"""),30475.6666666666)</f>
        <v>30475.666666666599</v>
      </c>
      <c r="B870" s="1">
        <f ca="1">IFERROR(__xludf.DUMMYFUNCTION("""COMPUTED_VALUE"""),2.88)</f>
        <v>2.88</v>
      </c>
      <c r="C870" s="1">
        <f ca="1">IFERROR(__xludf.DUMMYFUNCTION("""COMPUTED_VALUE"""),2.93)</f>
        <v>2.93</v>
      </c>
      <c r="D870" s="1">
        <f ca="1">IFERROR(__xludf.DUMMYFUNCTION("""COMPUTED_VALUE"""),2.86)</f>
        <v>2.86</v>
      </c>
      <c r="E870" s="1">
        <f ca="1">IFERROR(__xludf.DUMMYFUNCTION("""COMPUTED_VALUE"""),2.88)</f>
        <v>2.88</v>
      </c>
      <c r="F870" s="1">
        <f ca="1">IFERROR(__xludf.DUMMYFUNCTION("""COMPUTED_VALUE"""),501800)</f>
        <v>501800</v>
      </c>
      <c r="I870" s="1"/>
    </row>
    <row r="871" spans="1:9">
      <c r="A871" s="3">
        <f ca="1">IFERROR(__xludf.DUMMYFUNCTION("""COMPUTED_VALUE"""),30476.6666666666)</f>
        <v>30476.666666666599</v>
      </c>
      <c r="B871" s="1">
        <f ca="1">IFERROR(__xludf.DUMMYFUNCTION("""COMPUTED_VALUE"""),2.88)</f>
        <v>2.88</v>
      </c>
      <c r="C871" s="1">
        <f ca="1">IFERROR(__xludf.DUMMYFUNCTION("""COMPUTED_VALUE"""),2.9)</f>
        <v>2.9</v>
      </c>
      <c r="D871" s="1">
        <f ca="1">IFERROR(__xludf.DUMMYFUNCTION("""COMPUTED_VALUE"""),2.86)</f>
        <v>2.86</v>
      </c>
      <c r="E871" s="1">
        <f ca="1">IFERROR(__xludf.DUMMYFUNCTION("""COMPUTED_VALUE"""),2.88)</f>
        <v>2.88</v>
      </c>
      <c r="F871" s="1">
        <f ca="1">IFERROR(__xludf.DUMMYFUNCTION("""COMPUTED_VALUE"""),513800)</f>
        <v>513800</v>
      </c>
      <c r="I871" s="1"/>
    </row>
    <row r="872" spans="1:9">
      <c r="A872" s="3">
        <f ca="1">IFERROR(__xludf.DUMMYFUNCTION("""COMPUTED_VALUE"""),30477.6666666666)</f>
        <v>30477.666666666599</v>
      </c>
      <c r="B872" s="1">
        <f ca="1">IFERROR(__xludf.DUMMYFUNCTION("""COMPUTED_VALUE"""),2.87)</f>
        <v>2.87</v>
      </c>
      <c r="C872" s="1">
        <f ca="1">IFERROR(__xludf.DUMMYFUNCTION("""COMPUTED_VALUE"""),2.88)</f>
        <v>2.88</v>
      </c>
      <c r="D872" s="1">
        <f ca="1">IFERROR(__xludf.DUMMYFUNCTION("""COMPUTED_VALUE"""),2.85)</f>
        <v>2.85</v>
      </c>
      <c r="E872" s="1">
        <f ca="1">IFERROR(__xludf.DUMMYFUNCTION("""COMPUTED_VALUE"""),2.87)</f>
        <v>2.87</v>
      </c>
      <c r="F872" s="1">
        <f ca="1">IFERROR(__xludf.DUMMYFUNCTION("""COMPUTED_VALUE"""),375700)</f>
        <v>375700</v>
      </c>
      <c r="I872" s="1"/>
    </row>
    <row r="873" spans="1:9">
      <c r="A873" s="3">
        <f ca="1">IFERROR(__xludf.DUMMYFUNCTION("""COMPUTED_VALUE"""),30480.6666666666)</f>
        <v>30480.666666666599</v>
      </c>
      <c r="B873" s="1">
        <f ca="1">IFERROR(__xludf.DUMMYFUNCTION("""COMPUTED_VALUE"""),2.85)</f>
        <v>2.85</v>
      </c>
      <c r="C873" s="1">
        <f ca="1">IFERROR(__xludf.DUMMYFUNCTION("""COMPUTED_VALUE"""),2.88)</f>
        <v>2.88</v>
      </c>
      <c r="D873" s="1">
        <f ca="1">IFERROR(__xludf.DUMMYFUNCTION("""COMPUTED_VALUE"""),2.84)</f>
        <v>2.84</v>
      </c>
      <c r="E873" s="1">
        <f ca="1">IFERROR(__xludf.DUMMYFUNCTION("""COMPUTED_VALUE"""),2.85)</f>
        <v>2.85</v>
      </c>
      <c r="F873" s="1">
        <f ca="1">IFERROR(__xludf.DUMMYFUNCTION("""COMPUTED_VALUE"""),445400)</f>
        <v>445400</v>
      </c>
      <c r="I873" s="1"/>
    </row>
    <row r="874" spans="1:9">
      <c r="A874" s="3">
        <f ca="1">IFERROR(__xludf.DUMMYFUNCTION("""COMPUTED_VALUE"""),30481.6666666666)</f>
        <v>30481.666666666599</v>
      </c>
      <c r="B874" s="1">
        <f ca="1">IFERROR(__xludf.DUMMYFUNCTION("""COMPUTED_VALUE"""),2.87)</f>
        <v>2.87</v>
      </c>
      <c r="C874" s="1">
        <f ca="1">IFERROR(__xludf.DUMMYFUNCTION("""COMPUTED_VALUE"""),2.87)</f>
        <v>2.87</v>
      </c>
      <c r="D874" s="1">
        <f ca="1">IFERROR(__xludf.DUMMYFUNCTION("""COMPUTED_VALUE"""),2.84)</f>
        <v>2.84</v>
      </c>
      <c r="E874" s="1">
        <f ca="1">IFERROR(__xludf.DUMMYFUNCTION("""COMPUTED_VALUE"""),2.87)</f>
        <v>2.87</v>
      </c>
      <c r="F874" s="1">
        <f ca="1">IFERROR(__xludf.DUMMYFUNCTION("""COMPUTED_VALUE"""),393500)</f>
        <v>393500</v>
      </c>
      <c r="I874" s="1"/>
    </row>
    <row r="875" spans="1:9">
      <c r="A875" s="3">
        <f ca="1">IFERROR(__xludf.DUMMYFUNCTION("""COMPUTED_VALUE"""),30482.6666666666)</f>
        <v>30482.666666666599</v>
      </c>
      <c r="B875" s="1">
        <f ca="1">IFERROR(__xludf.DUMMYFUNCTION("""COMPUTED_VALUE"""),2.88)</f>
        <v>2.88</v>
      </c>
      <c r="C875" s="1">
        <f ca="1">IFERROR(__xludf.DUMMYFUNCTION("""COMPUTED_VALUE"""),2.89)</f>
        <v>2.89</v>
      </c>
      <c r="D875" s="1">
        <f ca="1">IFERROR(__xludf.DUMMYFUNCTION("""COMPUTED_VALUE"""),2.86)</f>
        <v>2.86</v>
      </c>
      <c r="E875" s="1">
        <f ca="1">IFERROR(__xludf.DUMMYFUNCTION("""COMPUTED_VALUE"""),2.88)</f>
        <v>2.88</v>
      </c>
      <c r="F875" s="1">
        <f ca="1">IFERROR(__xludf.DUMMYFUNCTION("""COMPUTED_VALUE"""),386200)</f>
        <v>386200</v>
      </c>
      <c r="I875" s="1"/>
    </row>
    <row r="876" spans="1:9">
      <c r="A876" s="3">
        <f ca="1">IFERROR(__xludf.DUMMYFUNCTION("""COMPUTED_VALUE"""),30483.6666666666)</f>
        <v>30483.666666666599</v>
      </c>
      <c r="B876" s="1">
        <f ca="1">IFERROR(__xludf.DUMMYFUNCTION("""COMPUTED_VALUE"""),2.98)</f>
        <v>2.98</v>
      </c>
      <c r="C876" s="1">
        <f ca="1">IFERROR(__xludf.DUMMYFUNCTION("""COMPUTED_VALUE"""),2.98)</f>
        <v>2.98</v>
      </c>
      <c r="D876" s="1">
        <f ca="1">IFERROR(__xludf.DUMMYFUNCTION("""COMPUTED_VALUE"""),2.86)</f>
        <v>2.86</v>
      </c>
      <c r="E876" s="1">
        <f ca="1">IFERROR(__xludf.DUMMYFUNCTION("""COMPUTED_VALUE"""),2.98)</f>
        <v>2.98</v>
      </c>
      <c r="F876" s="1">
        <f ca="1">IFERROR(__xludf.DUMMYFUNCTION("""COMPUTED_VALUE"""),2231100)</f>
        <v>2231100</v>
      </c>
      <c r="I876" s="1"/>
    </row>
    <row r="877" spans="1:9">
      <c r="A877" s="3">
        <f ca="1">IFERROR(__xludf.DUMMYFUNCTION("""COMPUTED_VALUE"""),30484.6666666666)</f>
        <v>30484.666666666599</v>
      </c>
      <c r="B877" s="1">
        <f ca="1">IFERROR(__xludf.DUMMYFUNCTION("""COMPUTED_VALUE"""),2.98)</f>
        <v>2.98</v>
      </c>
      <c r="C877" s="1">
        <f ca="1">IFERROR(__xludf.DUMMYFUNCTION("""COMPUTED_VALUE"""),3.01)</f>
        <v>3.01</v>
      </c>
      <c r="D877" s="1">
        <f ca="1">IFERROR(__xludf.DUMMYFUNCTION("""COMPUTED_VALUE"""),2.95)</f>
        <v>2.95</v>
      </c>
      <c r="E877" s="1">
        <f ca="1">IFERROR(__xludf.DUMMYFUNCTION("""COMPUTED_VALUE"""),2.98)</f>
        <v>2.98</v>
      </c>
      <c r="F877" s="1">
        <f ca="1">IFERROR(__xludf.DUMMYFUNCTION("""COMPUTED_VALUE"""),818500)</f>
        <v>818500</v>
      </c>
      <c r="I877" s="1"/>
    </row>
    <row r="878" spans="1:9">
      <c r="A878" s="3">
        <f ca="1">IFERROR(__xludf.DUMMYFUNCTION("""COMPUTED_VALUE"""),30487.6666666666)</f>
        <v>30487.666666666599</v>
      </c>
      <c r="B878" s="1">
        <f ca="1">IFERROR(__xludf.DUMMYFUNCTION("""COMPUTED_VALUE"""),2.95)</f>
        <v>2.95</v>
      </c>
      <c r="C878" s="1">
        <f ca="1">IFERROR(__xludf.DUMMYFUNCTION("""COMPUTED_VALUE"""),3.02)</f>
        <v>3.02</v>
      </c>
      <c r="D878" s="1">
        <f ca="1">IFERROR(__xludf.DUMMYFUNCTION("""COMPUTED_VALUE"""),2.95)</f>
        <v>2.95</v>
      </c>
      <c r="E878" s="1">
        <f ca="1">IFERROR(__xludf.DUMMYFUNCTION("""COMPUTED_VALUE"""),2.95)</f>
        <v>2.95</v>
      </c>
      <c r="F878" s="1">
        <f ca="1">IFERROR(__xludf.DUMMYFUNCTION("""COMPUTED_VALUE"""),512700)</f>
        <v>512700</v>
      </c>
      <c r="I878" s="1"/>
    </row>
    <row r="879" spans="1:9">
      <c r="A879" s="3">
        <f ca="1">IFERROR(__xludf.DUMMYFUNCTION("""COMPUTED_VALUE"""),30488.6666666666)</f>
        <v>30488.666666666599</v>
      </c>
      <c r="B879" s="1">
        <f ca="1">IFERROR(__xludf.DUMMYFUNCTION("""COMPUTED_VALUE"""),3.02)</f>
        <v>3.02</v>
      </c>
      <c r="C879" s="1">
        <f ca="1">IFERROR(__xludf.DUMMYFUNCTION("""COMPUTED_VALUE"""),3.02)</f>
        <v>3.02</v>
      </c>
      <c r="D879" s="1">
        <f ca="1">IFERROR(__xludf.DUMMYFUNCTION("""COMPUTED_VALUE"""),2.94)</f>
        <v>2.94</v>
      </c>
      <c r="E879" s="1">
        <f ca="1">IFERROR(__xludf.DUMMYFUNCTION("""COMPUTED_VALUE"""),3.02)</f>
        <v>3.02</v>
      </c>
      <c r="F879" s="1">
        <f ca="1">IFERROR(__xludf.DUMMYFUNCTION("""COMPUTED_VALUE"""),456100)</f>
        <v>456100</v>
      </c>
      <c r="I879" s="1"/>
    </row>
    <row r="880" spans="1:9">
      <c r="A880" s="3">
        <f ca="1">IFERROR(__xludf.DUMMYFUNCTION("""COMPUTED_VALUE"""),30489.6666666666)</f>
        <v>30489.666666666599</v>
      </c>
      <c r="B880" s="1">
        <f ca="1">IFERROR(__xludf.DUMMYFUNCTION("""COMPUTED_VALUE"""),2.97)</f>
        <v>2.97</v>
      </c>
      <c r="C880" s="1">
        <f ca="1">IFERROR(__xludf.DUMMYFUNCTION("""COMPUTED_VALUE"""),3.06)</f>
        <v>3.06</v>
      </c>
      <c r="D880" s="1">
        <f ca="1">IFERROR(__xludf.DUMMYFUNCTION("""COMPUTED_VALUE"""),2.95)</f>
        <v>2.95</v>
      </c>
      <c r="E880" s="1">
        <f ca="1">IFERROR(__xludf.DUMMYFUNCTION("""COMPUTED_VALUE"""),2.97)</f>
        <v>2.97</v>
      </c>
      <c r="F880" s="1">
        <f ca="1">IFERROR(__xludf.DUMMYFUNCTION("""COMPUTED_VALUE"""),512300)</f>
        <v>512300</v>
      </c>
      <c r="I880" s="1"/>
    </row>
    <row r="881" spans="1:9">
      <c r="A881" s="3">
        <f ca="1">IFERROR(__xludf.DUMMYFUNCTION("""COMPUTED_VALUE"""),30490.6666666666)</f>
        <v>30490.666666666599</v>
      </c>
      <c r="B881" s="1">
        <f ca="1">IFERROR(__xludf.DUMMYFUNCTION("""COMPUTED_VALUE"""),2.97)</f>
        <v>2.97</v>
      </c>
      <c r="C881" s="1">
        <f ca="1">IFERROR(__xludf.DUMMYFUNCTION("""COMPUTED_VALUE"""),2.97)</f>
        <v>2.97</v>
      </c>
      <c r="D881" s="1">
        <f ca="1">IFERROR(__xludf.DUMMYFUNCTION("""COMPUTED_VALUE"""),2.94)</f>
        <v>2.94</v>
      </c>
      <c r="E881" s="1">
        <f ca="1">IFERROR(__xludf.DUMMYFUNCTION("""COMPUTED_VALUE"""),2.97)</f>
        <v>2.97</v>
      </c>
      <c r="F881" s="1">
        <f ca="1">IFERROR(__xludf.DUMMYFUNCTION("""COMPUTED_VALUE"""),466800)</f>
        <v>466800</v>
      </c>
      <c r="I881" s="1"/>
    </row>
    <row r="882" spans="1:9">
      <c r="A882" s="3">
        <f ca="1">IFERROR(__xludf.DUMMYFUNCTION("""COMPUTED_VALUE"""),30491.6666666666)</f>
        <v>30491.666666666599</v>
      </c>
      <c r="B882" s="1">
        <f ca="1">IFERROR(__xludf.DUMMYFUNCTION("""COMPUTED_VALUE"""),3.05)</f>
        <v>3.05</v>
      </c>
      <c r="C882" s="1">
        <f ca="1">IFERROR(__xludf.DUMMYFUNCTION("""COMPUTED_VALUE"""),3.08)</f>
        <v>3.08</v>
      </c>
      <c r="D882" s="1">
        <f ca="1">IFERROR(__xludf.DUMMYFUNCTION("""COMPUTED_VALUE"""),2.97)</f>
        <v>2.97</v>
      </c>
      <c r="E882" s="1">
        <f ca="1">IFERROR(__xludf.DUMMYFUNCTION("""COMPUTED_VALUE"""),3.05)</f>
        <v>3.05</v>
      </c>
      <c r="F882" s="1">
        <f ca="1">IFERROR(__xludf.DUMMYFUNCTION("""COMPUTED_VALUE"""),891400)</f>
        <v>891400</v>
      </c>
      <c r="I882" s="1"/>
    </row>
    <row r="883" spans="1:9">
      <c r="A883" s="3">
        <f ca="1">IFERROR(__xludf.DUMMYFUNCTION("""COMPUTED_VALUE"""),30494.6666666666)</f>
        <v>30494.666666666599</v>
      </c>
      <c r="B883" s="1">
        <f ca="1">IFERROR(__xludf.DUMMYFUNCTION("""COMPUTED_VALUE"""),3.06)</f>
        <v>3.06</v>
      </c>
      <c r="C883" s="1">
        <f ca="1">IFERROR(__xludf.DUMMYFUNCTION("""COMPUTED_VALUE"""),3.08)</f>
        <v>3.08</v>
      </c>
      <c r="D883" s="1">
        <f ca="1">IFERROR(__xludf.DUMMYFUNCTION("""COMPUTED_VALUE"""),3.03)</f>
        <v>3.03</v>
      </c>
      <c r="E883" s="1">
        <f ca="1">IFERROR(__xludf.DUMMYFUNCTION("""COMPUTED_VALUE"""),3.06)</f>
        <v>3.06</v>
      </c>
      <c r="F883" s="1">
        <f ca="1">IFERROR(__xludf.DUMMYFUNCTION("""COMPUTED_VALUE"""),297300)</f>
        <v>297300</v>
      </c>
      <c r="I883" s="1"/>
    </row>
    <row r="884" spans="1:9">
      <c r="A884" s="3">
        <f ca="1">IFERROR(__xludf.DUMMYFUNCTION("""COMPUTED_VALUE"""),30495.6666666666)</f>
        <v>30495.666666666599</v>
      </c>
      <c r="B884" s="1">
        <f ca="1">IFERROR(__xludf.DUMMYFUNCTION("""COMPUTED_VALUE"""),2.99)</f>
        <v>2.99</v>
      </c>
      <c r="C884" s="1">
        <f ca="1">IFERROR(__xludf.DUMMYFUNCTION("""COMPUTED_VALUE"""),3.09)</f>
        <v>3.09</v>
      </c>
      <c r="D884" s="1">
        <f ca="1">IFERROR(__xludf.DUMMYFUNCTION("""COMPUTED_VALUE"""),2.99)</f>
        <v>2.99</v>
      </c>
      <c r="E884" s="1">
        <f ca="1">IFERROR(__xludf.DUMMYFUNCTION("""COMPUTED_VALUE"""),2.99)</f>
        <v>2.99</v>
      </c>
      <c r="F884" s="1">
        <f ca="1">IFERROR(__xludf.DUMMYFUNCTION("""COMPUTED_VALUE"""),297500)</f>
        <v>297500</v>
      </c>
      <c r="I884" s="1"/>
    </row>
    <row r="885" spans="1:9">
      <c r="A885" s="3">
        <f ca="1">IFERROR(__xludf.DUMMYFUNCTION("""COMPUTED_VALUE"""),30496.6666666666)</f>
        <v>30496.666666666599</v>
      </c>
      <c r="B885" s="1">
        <f ca="1">IFERROR(__xludf.DUMMYFUNCTION("""COMPUTED_VALUE"""),3.03)</f>
        <v>3.03</v>
      </c>
      <c r="C885" s="1">
        <f ca="1">IFERROR(__xludf.DUMMYFUNCTION("""COMPUTED_VALUE"""),3.06)</f>
        <v>3.06</v>
      </c>
      <c r="D885" s="1">
        <f ca="1">IFERROR(__xludf.DUMMYFUNCTION("""COMPUTED_VALUE"""),3)</f>
        <v>3</v>
      </c>
      <c r="E885" s="1">
        <f ca="1">IFERROR(__xludf.DUMMYFUNCTION("""COMPUTED_VALUE"""),3.03)</f>
        <v>3.03</v>
      </c>
      <c r="F885" s="1">
        <f ca="1">IFERROR(__xludf.DUMMYFUNCTION("""COMPUTED_VALUE"""),193700)</f>
        <v>193700</v>
      </c>
      <c r="I885" s="1"/>
    </row>
    <row r="886" spans="1:9">
      <c r="A886" s="3">
        <f ca="1">IFERROR(__xludf.DUMMYFUNCTION("""COMPUTED_VALUE"""),30497.6666666666)</f>
        <v>30497.666666666599</v>
      </c>
      <c r="B886" s="1">
        <f ca="1">IFERROR(__xludf.DUMMYFUNCTION("""COMPUTED_VALUE"""),3.08)</f>
        <v>3.08</v>
      </c>
      <c r="C886" s="1">
        <f ca="1">IFERROR(__xludf.DUMMYFUNCTION("""COMPUTED_VALUE"""),3.08)</f>
        <v>3.08</v>
      </c>
      <c r="D886" s="1">
        <f ca="1">IFERROR(__xludf.DUMMYFUNCTION("""COMPUTED_VALUE"""),3.05)</f>
        <v>3.05</v>
      </c>
      <c r="E886" s="1">
        <f ca="1">IFERROR(__xludf.DUMMYFUNCTION("""COMPUTED_VALUE"""),3.08)</f>
        <v>3.08</v>
      </c>
      <c r="F886" s="1">
        <f ca="1">IFERROR(__xludf.DUMMYFUNCTION("""COMPUTED_VALUE"""),275900)</f>
        <v>275900</v>
      </c>
      <c r="I886" s="1"/>
    </row>
    <row r="887" spans="1:9">
      <c r="A887" s="3">
        <f ca="1">IFERROR(__xludf.DUMMYFUNCTION("""COMPUTED_VALUE"""),30498.6666666666)</f>
        <v>30498.666666666599</v>
      </c>
      <c r="B887" s="1">
        <f ca="1">IFERROR(__xludf.DUMMYFUNCTION("""COMPUTED_VALUE"""),3.08)</f>
        <v>3.08</v>
      </c>
      <c r="C887" s="1">
        <f ca="1">IFERROR(__xludf.DUMMYFUNCTION("""COMPUTED_VALUE"""),3.09)</f>
        <v>3.09</v>
      </c>
      <c r="D887" s="1">
        <f ca="1">IFERROR(__xludf.DUMMYFUNCTION("""COMPUTED_VALUE"""),3.06)</f>
        <v>3.06</v>
      </c>
      <c r="E887" s="1">
        <f ca="1">IFERROR(__xludf.DUMMYFUNCTION("""COMPUTED_VALUE"""),3.08)</f>
        <v>3.08</v>
      </c>
      <c r="F887" s="1">
        <f ca="1">IFERROR(__xludf.DUMMYFUNCTION("""COMPUTED_VALUE"""),303500)</f>
        <v>303500</v>
      </c>
      <c r="I887" s="1"/>
    </row>
    <row r="888" spans="1:9">
      <c r="A888" s="3">
        <f ca="1">IFERROR(__xludf.DUMMYFUNCTION("""COMPUTED_VALUE"""),30502.6666666666)</f>
        <v>30502.666666666599</v>
      </c>
      <c r="B888" s="1">
        <f ca="1">IFERROR(__xludf.DUMMYFUNCTION("""COMPUTED_VALUE"""),2.99)</f>
        <v>2.99</v>
      </c>
      <c r="C888" s="1">
        <f ca="1">IFERROR(__xludf.DUMMYFUNCTION("""COMPUTED_VALUE"""),3.02)</f>
        <v>3.02</v>
      </c>
      <c r="D888" s="1">
        <f ca="1">IFERROR(__xludf.DUMMYFUNCTION("""COMPUTED_VALUE"""),2.98)</f>
        <v>2.98</v>
      </c>
      <c r="E888" s="1">
        <f ca="1">IFERROR(__xludf.DUMMYFUNCTION("""COMPUTED_VALUE"""),2.99)</f>
        <v>2.99</v>
      </c>
      <c r="F888" s="1">
        <f ca="1">IFERROR(__xludf.DUMMYFUNCTION("""COMPUTED_VALUE"""),215400)</f>
        <v>215400</v>
      </c>
      <c r="I888" s="1"/>
    </row>
    <row r="889" spans="1:9">
      <c r="A889" s="3">
        <f ca="1">IFERROR(__xludf.DUMMYFUNCTION("""COMPUTED_VALUE"""),30503.6666666666)</f>
        <v>30503.666666666599</v>
      </c>
      <c r="B889" s="1">
        <f ca="1">IFERROR(__xludf.DUMMYFUNCTION("""COMPUTED_VALUE"""),3.02)</f>
        <v>3.02</v>
      </c>
      <c r="C889" s="1">
        <f ca="1">IFERROR(__xludf.DUMMYFUNCTION("""COMPUTED_VALUE"""),3.04)</f>
        <v>3.04</v>
      </c>
      <c r="D889" s="1">
        <f ca="1">IFERROR(__xludf.DUMMYFUNCTION("""COMPUTED_VALUE"""),2.98)</f>
        <v>2.98</v>
      </c>
      <c r="E889" s="1">
        <f ca="1">IFERROR(__xludf.DUMMYFUNCTION("""COMPUTED_VALUE"""),3.02)</f>
        <v>3.02</v>
      </c>
      <c r="F889" s="1">
        <f ca="1">IFERROR(__xludf.DUMMYFUNCTION("""COMPUTED_VALUE"""),183400)</f>
        <v>183400</v>
      </c>
      <c r="I889" s="1"/>
    </row>
    <row r="890" spans="1:9">
      <c r="A890" s="3">
        <f ca="1">IFERROR(__xludf.DUMMYFUNCTION("""COMPUTED_VALUE"""),30504.6666666666)</f>
        <v>30504.666666666599</v>
      </c>
      <c r="B890" s="1">
        <f ca="1">IFERROR(__xludf.DUMMYFUNCTION("""COMPUTED_VALUE"""),3.05)</f>
        <v>3.05</v>
      </c>
      <c r="C890" s="1">
        <f ca="1">IFERROR(__xludf.DUMMYFUNCTION("""COMPUTED_VALUE"""),3.09)</f>
        <v>3.09</v>
      </c>
      <c r="D890" s="1">
        <f ca="1">IFERROR(__xludf.DUMMYFUNCTION("""COMPUTED_VALUE"""),3)</f>
        <v>3</v>
      </c>
      <c r="E890" s="1">
        <f ca="1">IFERROR(__xludf.DUMMYFUNCTION("""COMPUTED_VALUE"""),3.05)</f>
        <v>3.05</v>
      </c>
      <c r="F890" s="1">
        <f ca="1">IFERROR(__xludf.DUMMYFUNCTION("""COMPUTED_VALUE"""),319400)</f>
        <v>319400</v>
      </c>
      <c r="I890" s="1"/>
    </row>
    <row r="891" spans="1:9">
      <c r="A891" s="3">
        <f ca="1">IFERROR(__xludf.DUMMYFUNCTION("""COMPUTED_VALUE"""),30505.6666666666)</f>
        <v>30505.666666666599</v>
      </c>
      <c r="B891" s="1">
        <f ca="1">IFERROR(__xludf.DUMMYFUNCTION("""COMPUTED_VALUE"""),3.08)</f>
        <v>3.08</v>
      </c>
      <c r="C891" s="1">
        <f ca="1">IFERROR(__xludf.DUMMYFUNCTION("""COMPUTED_VALUE"""),3.1)</f>
        <v>3.1</v>
      </c>
      <c r="D891" s="1">
        <f ca="1">IFERROR(__xludf.DUMMYFUNCTION("""COMPUTED_VALUE"""),3.06)</f>
        <v>3.06</v>
      </c>
      <c r="E891" s="1">
        <f ca="1">IFERROR(__xludf.DUMMYFUNCTION("""COMPUTED_VALUE"""),3.08)</f>
        <v>3.08</v>
      </c>
      <c r="F891" s="1">
        <f ca="1">IFERROR(__xludf.DUMMYFUNCTION("""COMPUTED_VALUE"""),317900)</f>
        <v>317900</v>
      </c>
      <c r="I891" s="1"/>
    </row>
    <row r="892" spans="1:9">
      <c r="A892" s="3">
        <f ca="1">IFERROR(__xludf.DUMMYFUNCTION("""COMPUTED_VALUE"""),30508.6666666666)</f>
        <v>30508.666666666599</v>
      </c>
      <c r="B892" s="1">
        <f ca="1">IFERROR(__xludf.DUMMYFUNCTION("""COMPUTED_VALUE"""),3.08)</f>
        <v>3.08</v>
      </c>
      <c r="C892" s="1">
        <f ca="1">IFERROR(__xludf.DUMMYFUNCTION("""COMPUTED_VALUE"""),3.11)</f>
        <v>3.11</v>
      </c>
      <c r="D892" s="1">
        <f ca="1">IFERROR(__xludf.DUMMYFUNCTION("""COMPUTED_VALUE"""),3.07)</f>
        <v>3.07</v>
      </c>
      <c r="E892" s="1">
        <f ca="1">IFERROR(__xludf.DUMMYFUNCTION("""COMPUTED_VALUE"""),3.08)</f>
        <v>3.08</v>
      </c>
      <c r="F892" s="1">
        <f ca="1">IFERROR(__xludf.DUMMYFUNCTION("""COMPUTED_VALUE"""),277500)</f>
        <v>277500</v>
      </c>
      <c r="I892" s="1"/>
    </row>
    <row r="893" spans="1:9">
      <c r="A893" s="3">
        <f ca="1">IFERROR(__xludf.DUMMYFUNCTION("""COMPUTED_VALUE"""),30509.6666666666)</f>
        <v>30509.666666666599</v>
      </c>
      <c r="B893" s="1">
        <f ca="1">IFERROR(__xludf.DUMMYFUNCTION("""COMPUTED_VALUE"""),3.01)</f>
        <v>3.01</v>
      </c>
      <c r="C893" s="1">
        <f ca="1">IFERROR(__xludf.DUMMYFUNCTION("""COMPUTED_VALUE"""),3.08)</f>
        <v>3.08</v>
      </c>
      <c r="D893" s="1">
        <f ca="1">IFERROR(__xludf.DUMMYFUNCTION("""COMPUTED_VALUE"""),3.01)</f>
        <v>3.01</v>
      </c>
      <c r="E893" s="1">
        <f ca="1">IFERROR(__xludf.DUMMYFUNCTION("""COMPUTED_VALUE"""),3.01)</f>
        <v>3.01</v>
      </c>
      <c r="F893" s="1">
        <f ca="1">IFERROR(__xludf.DUMMYFUNCTION("""COMPUTED_VALUE"""),276500)</f>
        <v>276500</v>
      </c>
      <c r="I893" s="1"/>
    </row>
    <row r="894" spans="1:9">
      <c r="A894" s="3">
        <f ca="1">IFERROR(__xludf.DUMMYFUNCTION("""COMPUTED_VALUE"""),30510.6666666666)</f>
        <v>30510.666666666599</v>
      </c>
      <c r="B894" s="1">
        <f ca="1">IFERROR(__xludf.DUMMYFUNCTION("""COMPUTED_VALUE"""),2.97)</f>
        <v>2.97</v>
      </c>
      <c r="C894" s="1">
        <f ca="1">IFERROR(__xludf.DUMMYFUNCTION("""COMPUTED_VALUE"""),2.99)</f>
        <v>2.99</v>
      </c>
      <c r="D894" s="1">
        <f ca="1">IFERROR(__xludf.DUMMYFUNCTION("""COMPUTED_VALUE"""),2.95)</f>
        <v>2.95</v>
      </c>
      <c r="E894" s="1">
        <f ca="1">IFERROR(__xludf.DUMMYFUNCTION("""COMPUTED_VALUE"""),2.97)</f>
        <v>2.97</v>
      </c>
      <c r="F894" s="1">
        <f ca="1">IFERROR(__xludf.DUMMYFUNCTION("""COMPUTED_VALUE"""),339000)</f>
        <v>339000</v>
      </c>
      <c r="I894" s="1"/>
    </row>
    <row r="895" spans="1:9">
      <c r="A895" s="3">
        <f ca="1">IFERROR(__xludf.DUMMYFUNCTION("""COMPUTED_VALUE"""),30511.6666666666)</f>
        <v>30511.666666666599</v>
      </c>
      <c r="B895" s="1">
        <f ca="1">IFERROR(__xludf.DUMMYFUNCTION("""COMPUTED_VALUE"""),2.92)</f>
        <v>2.92</v>
      </c>
      <c r="C895" s="1">
        <f ca="1">IFERROR(__xludf.DUMMYFUNCTION("""COMPUTED_VALUE"""),2.97)</f>
        <v>2.97</v>
      </c>
      <c r="D895" s="1">
        <f ca="1">IFERROR(__xludf.DUMMYFUNCTION("""COMPUTED_VALUE"""),2.91)</f>
        <v>2.91</v>
      </c>
      <c r="E895" s="1">
        <f ca="1">IFERROR(__xludf.DUMMYFUNCTION("""COMPUTED_VALUE"""),2.92)</f>
        <v>2.92</v>
      </c>
      <c r="F895" s="1">
        <f ca="1">IFERROR(__xludf.DUMMYFUNCTION("""COMPUTED_VALUE"""),419000)</f>
        <v>419000</v>
      </c>
      <c r="I895" s="1"/>
    </row>
    <row r="896" spans="1:9">
      <c r="A896" s="3">
        <f ca="1">IFERROR(__xludf.DUMMYFUNCTION("""COMPUTED_VALUE"""),30512.6666666666)</f>
        <v>30512.666666666599</v>
      </c>
      <c r="B896" s="1">
        <f ca="1">IFERROR(__xludf.DUMMYFUNCTION("""COMPUTED_VALUE"""),2.9)</f>
        <v>2.9</v>
      </c>
      <c r="C896" s="1">
        <f ca="1">IFERROR(__xludf.DUMMYFUNCTION("""COMPUTED_VALUE"""),2.91)</f>
        <v>2.91</v>
      </c>
      <c r="D896" s="1">
        <f ca="1">IFERROR(__xludf.DUMMYFUNCTION("""COMPUTED_VALUE"""),2.88)</f>
        <v>2.88</v>
      </c>
      <c r="E896" s="1">
        <f ca="1">IFERROR(__xludf.DUMMYFUNCTION("""COMPUTED_VALUE"""),2.9)</f>
        <v>2.9</v>
      </c>
      <c r="F896" s="1">
        <f ca="1">IFERROR(__xludf.DUMMYFUNCTION("""COMPUTED_VALUE"""),374400)</f>
        <v>374400</v>
      </c>
      <c r="I896" s="1"/>
    </row>
    <row r="897" spans="1:9">
      <c r="A897" s="3">
        <f ca="1">IFERROR(__xludf.DUMMYFUNCTION("""COMPUTED_VALUE"""),30515.6666666666)</f>
        <v>30515.666666666599</v>
      </c>
      <c r="B897" s="1">
        <f ca="1">IFERROR(__xludf.DUMMYFUNCTION("""COMPUTED_VALUE"""),2.88)</f>
        <v>2.88</v>
      </c>
      <c r="C897" s="1">
        <f ca="1">IFERROR(__xludf.DUMMYFUNCTION("""COMPUTED_VALUE"""),2.91)</f>
        <v>2.91</v>
      </c>
      <c r="D897" s="1">
        <f ca="1">IFERROR(__xludf.DUMMYFUNCTION("""COMPUTED_VALUE"""),2.88)</f>
        <v>2.88</v>
      </c>
      <c r="E897" s="1">
        <f ca="1">IFERROR(__xludf.DUMMYFUNCTION("""COMPUTED_VALUE"""),2.88)</f>
        <v>2.88</v>
      </c>
      <c r="F897" s="1">
        <f ca="1">IFERROR(__xludf.DUMMYFUNCTION("""COMPUTED_VALUE"""),238800)</f>
        <v>238800</v>
      </c>
      <c r="I897" s="1"/>
    </row>
    <row r="898" spans="1:9">
      <c r="A898" s="3">
        <f ca="1">IFERROR(__xludf.DUMMYFUNCTION("""COMPUTED_VALUE"""),30516.6666666666)</f>
        <v>30516.666666666599</v>
      </c>
      <c r="B898" s="1">
        <f ca="1">IFERROR(__xludf.DUMMYFUNCTION("""COMPUTED_VALUE"""),2.88)</f>
        <v>2.88</v>
      </c>
      <c r="C898" s="1">
        <f ca="1">IFERROR(__xludf.DUMMYFUNCTION("""COMPUTED_VALUE"""),2.91)</f>
        <v>2.91</v>
      </c>
      <c r="D898" s="1">
        <f ca="1">IFERROR(__xludf.DUMMYFUNCTION("""COMPUTED_VALUE"""),2.85)</f>
        <v>2.85</v>
      </c>
      <c r="E898" s="1">
        <f ca="1">IFERROR(__xludf.DUMMYFUNCTION("""COMPUTED_VALUE"""),2.88)</f>
        <v>2.88</v>
      </c>
      <c r="F898" s="1">
        <f ca="1">IFERROR(__xludf.DUMMYFUNCTION("""COMPUTED_VALUE"""),530200)</f>
        <v>530200</v>
      </c>
      <c r="I898" s="1"/>
    </row>
    <row r="899" spans="1:9">
      <c r="A899" s="3">
        <f ca="1">IFERROR(__xludf.DUMMYFUNCTION("""COMPUTED_VALUE"""),30517.6666666666)</f>
        <v>30517.666666666599</v>
      </c>
      <c r="B899" s="1">
        <f ca="1">IFERROR(__xludf.DUMMYFUNCTION("""COMPUTED_VALUE"""),2.97)</f>
        <v>2.97</v>
      </c>
      <c r="C899" s="1">
        <f ca="1">IFERROR(__xludf.DUMMYFUNCTION("""COMPUTED_VALUE"""),2.97)</f>
        <v>2.97</v>
      </c>
      <c r="D899" s="1">
        <f ca="1">IFERROR(__xludf.DUMMYFUNCTION("""COMPUTED_VALUE"""),2.91)</f>
        <v>2.91</v>
      </c>
      <c r="E899" s="1">
        <f ca="1">IFERROR(__xludf.DUMMYFUNCTION("""COMPUTED_VALUE"""),2.97)</f>
        <v>2.97</v>
      </c>
      <c r="F899" s="1">
        <f ca="1">IFERROR(__xludf.DUMMYFUNCTION("""COMPUTED_VALUE"""),377800)</f>
        <v>377800</v>
      </c>
      <c r="I899" s="1"/>
    </row>
    <row r="900" spans="1:9">
      <c r="A900" s="3">
        <f ca="1">IFERROR(__xludf.DUMMYFUNCTION("""COMPUTED_VALUE"""),30518.6666666666)</f>
        <v>30518.666666666599</v>
      </c>
      <c r="B900" s="1">
        <f ca="1">IFERROR(__xludf.DUMMYFUNCTION("""COMPUTED_VALUE"""),2.96)</f>
        <v>2.96</v>
      </c>
      <c r="C900" s="1">
        <f ca="1">IFERROR(__xludf.DUMMYFUNCTION("""COMPUTED_VALUE"""),2.98)</f>
        <v>2.98</v>
      </c>
      <c r="D900" s="1">
        <f ca="1">IFERROR(__xludf.DUMMYFUNCTION("""COMPUTED_VALUE"""),2.93)</f>
        <v>2.93</v>
      </c>
      <c r="E900" s="1">
        <f ca="1">IFERROR(__xludf.DUMMYFUNCTION("""COMPUTED_VALUE"""),2.96)</f>
        <v>2.96</v>
      </c>
      <c r="F900" s="1">
        <f ca="1">IFERROR(__xludf.DUMMYFUNCTION("""COMPUTED_VALUE"""),483200)</f>
        <v>483200</v>
      </c>
      <c r="I900" s="1"/>
    </row>
    <row r="901" spans="1:9">
      <c r="A901" s="3">
        <f ca="1">IFERROR(__xludf.DUMMYFUNCTION("""COMPUTED_VALUE"""),30519.6666666666)</f>
        <v>30519.666666666599</v>
      </c>
      <c r="B901" s="1">
        <f ca="1">IFERROR(__xludf.DUMMYFUNCTION("""COMPUTED_VALUE"""),2.94)</f>
        <v>2.94</v>
      </c>
      <c r="C901" s="1">
        <f ca="1">IFERROR(__xludf.DUMMYFUNCTION("""COMPUTED_VALUE"""),2.97)</f>
        <v>2.97</v>
      </c>
      <c r="D901" s="1">
        <f ca="1">IFERROR(__xludf.DUMMYFUNCTION("""COMPUTED_VALUE"""),2.91)</f>
        <v>2.91</v>
      </c>
      <c r="E901" s="1">
        <f ca="1">IFERROR(__xludf.DUMMYFUNCTION("""COMPUTED_VALUE"""),2.94)</f>
        <v>2.94</v>
      </c>
      <c r="F901" s="1">
        <f ca="1">IFERROR(__xludf.DUMMYFUNCTION("""COMPUTED_VALUE"""),251000)</f>
        <v>251000</v>
      </c>
      <c r="I901" s="1"/>
    </row>
    <row r="902" spans="1:9">
      <c r="A902" s="3">
        <f ca="1">IFERROR(__xludf.DUMMYFUNCTION("""COMPUTED_VALUE"""),30522.6666666666)</f>
        <v>30522.666666666599</v>
      </c>
      <c r="B902" s="1">
        <f ca="1">IFERROR(__xludf.DUMMYFUNCTION("""COMPUTED_VALUE"""),2.88)</f>
        <v>2.88</v>
      </c>
      <c r="C902" s="1">
        <f ca="1">IFERROR(__xludf.DUMMYFUNCTION("""COMPUTED_VALUE"""),2.93)</f>
        <v>2.93</v>
      </c>
      <c r="D902" s="1">
        <f ca="1">IFERROR(__xludf.DUMMYFUNCTION("""COMPUTED_VALUE"""),2.87)</f>
        <v>2.87</v>
      </c>
      <c r="E902" s="1">
        <f ca="1">IFERROR(__xludf.DUMMYFUNCTION("""COMPUTED_VALUE"""),2.88)</f>
        <v>2.88</v>
      </c>
      <c r="F902" s="1">
        <f ca="1">IFERROR(__xludf.DUMMYFUNCTION("""COMPUTED_VALUE"""),297700)</f>
        <v>297700</v>
      </c>
      <c r="I902" s="1"/>
    </row>
    <row r="903" spans="1:9">
      <c r="A903" s="3">
        <f ca="1">IFERROR(__xludf.DUMMYFUNCTION("""COMPUTED_VALUE"""),30523.6666666666)</f>
        <v>30523.666666666599</v>
      </c>
      <c r="B903" s="1">
        <f ca="1">IFERROR(__xludf.DUMMYFUNCTION("""COMPUTED_VALUE"""),2.88)</f>
        <v>2.88</v>
      </c>
      <c r="C903" s="1">
        <f ca="1">IFERROR(__xludf.DUMMYFUNCTION("""COMPUTED_VALUE"""),2.88)</f>
        <v>2.88</v>
      </c>
      <c r="D903" s="1">
        <f ca="1">IFERROR(__xludf.DUMMYFUNCTION("""COMPUTED_VALUE"""),2.85)</f>
        <v>2.85</v>
      </c>
      <c r="E903" s="1">
        <f ca="1">IFERROR(__xludf.DUMMYFUNCTION("""COMPUTED_VALUE"""),2.88)</f>
        <v>2.88</v>
      </c>
      <c r="F903" s="1">
        <f ca="1">IFERROR(__xludf.DUMMYFUNCTION("""COMPUTED_VALUE"""),392500)</f>
        <v>392500</v>
      </c>
      <c r="I903" s="1"/>
    </row>
    <row r="904" spans="1:9">
      <c r="A904" s="3">
        <f ca="1">IFERROR(__xludf.DUMMYFUNCTION("""COMPUTED_VALUE"""),30524.6666666666)</f>
        <v>30524.666666666599</v>
      </c>
      <c r="B904" s="1">
        <f ca="1">IFERROR(__xludf.DUMMYFUNCTION("""COMPUTED_VALUE"""),2.84)</f>
        <v>2.84</v>
      </c>
      <c r="C904" s="1">
        <f ca="1">IFERROR(__xludf.DUMMYFUNCTION("""COMPUTED_VALUE"""),2.91)</f>
        <v>2.91</v>
      </c>
      <c r="D904" s="1">
        <f ca="1">IFERROR(__xludf.DUMMYFUNCTION("""COMPUTED_VALUE"""),2.81)</f>
        <v>2.81</v>
      </c>
      <c r="E904" s="1">
        <f ca="1">IFERROR(__xludf.DUMMYFUNCTION("""COMPUTED_VALUE"""),2.84)</f>
        <v>2.84</v>
      </c>
      <c r="F904" s="1">
        <f ca="1">IFERROR(__xludf.DUMMYFUNCTION("""COMPUTED_VALUE"""),580300)</f>
        <v>580300</v>
      </c>
      <c r="I904" s="1"/>
    </row>
    <row r="905" spans="1:9">
      <c r="A905" s="3">
        <f ca="1">IFERROR(__xludf.DUMMYFUNCTION("""COMPUTED_VALUE"""),30525.6666666666)</f>
        <v>30525.666666666599</v>
      </c>
      <c r="B905" s="1">
        <f ca="1">IFERROR(__xludf.DUMMYFUNCTION("""COMPUTED_VALUE"""),2.8)</f>
        <v>2.8</v>
      </c>
      <c r="C905" s="1">
        <f ca="1">IFERROR(__xludf.DUMMYFUNCTION("""COMPUTED_VALUE"""),2.84)</f>
        <v>2.84</v>
      </c>
      <c r="D905" s="1">
        <f ca="1">IFERROR(__xludf.DUMMYFUNCTION("""COMPUTED_VALUE"""),2.79)</f>
        <v>2.79</v>
      </c>
      <c r="E905" s="1">
        <f ca="1">IFERROR(__xludf.DUMMYFUNCTION("""COMPUTED_VALUE"""),2.8)</f>
        <v>2.8</v>
      </c>
      <c r="F905" s="1">
        <f ca="1">IFERROR(__xludf.DUMMYFUNCTION("""COMPUTED_VALUE"""),571100)</f>
        <v>571100</v>
      </c>
      <c r="I905" s="1"/>
    </row>
    <row r="906" spans="1:9">
      <c r="A906" s="3">
        <f ca="1">IFERROR(__xludf.DUMMYFUNCTION("""COMPUTED_VALUE"""),30526.6666666666)</f>
        <v>30526.666666666599</v>
      </c>
      <c r="B906" s="1">
        <f ca="1">IFERROR(__xludf.DUMMYFUNCTION("""COMPUTED_VALUE"""),2.75)</f>
        <v>2.75</v>
      </c>
      <c r="C906" s="1">
        <f ca="1">IFERROR(__xludf.DUMMYFUNCTION("""COMPUTED_VALUE"""),2.81)</f>
        <v>2.81</v>
      </c>
      <c r="D906" s="1">
        <f ca="1">IFERROR(__xludf.DUMMYFUNCTION("""COMPUTED_VALUE"""),2.67)</f>
        <v>2.67</v>
      </c>
      <c r="E906" s="1">
        <f ca="1">IFERROR(__xludf.DUMMYFUNCTION("""COMPUTED_VALUE"""),2.75)</f>
        <v>2.75</v>
      </c>
      <c r="F906" s="1">
        <f ca="1">IFERROR(__xludf.DUMMYFUNCTION("""COMPUTED_VALUE"""),451700)</f>
        <v>451700</v>
      </c>
      <c r="I906" s="1"/>
    </row>
    <row r="907" spans="1:9">
      <c r="A907" s="3">
        <f ca="1">IFERROR(__xludf.DUMMYFUNCTION("""COMPUTED_VALUE"""),30529.6666666666)</f>
        <v>30529.666666666599</v>
      </c>
      <c r="B907" s="1">
        <f ca="1">IFERROR(__xludf.DUMMYFUNCTION("""COMPUTED_VALUE"""),2.73)</f>
        <v>2.73</v>
      </c>
      <c r="C907" s="1">
        <f ca="1">IFERROR(__xludf.DUMMYFUNCTION("""COMPUTED_VALUE"""),2.74)</f>
        <v>2.74</v>
      </c>
      <c r="D907" s="1">
        <f ca="1">IFERROR(__xludf.DUMMYFUNCTION("""COMPUTED_VALUE"""),2.71)</f>
        <v>2.71</v>
      </c>
      <c r="E907" s="1">
        <f ca="1">IFERROR(__xludf.DUMMYFUNCTION("""COMPUTED_VALUE"""),2.73)</f>
        <v>2.73</v>
      </c>
      <c r="F907" s="1">
        <f ca="1">IFERROR(__xludf.DUMMYFUNCTION("""COMPUTED_VALUE"""),365700)</f>
        <v>365700</v>
      </c>
      <c r="I907" s="1"/>
    </row>
    <row r="908" spans="1:9">
      <c r="A908" s="3">
        <f ca="1">IFERROR(__xludf.DUMMYFUNCTION("""COMPUTED_VALUE"""),30530.6666666666)</f>
        <v>30530.666666666599</v>
      </c>
      <c r="B908" s="1">
        <f ca="1">IFERROR(__xludf.DUMMYFUNCTION("""COMPUTED_VALUE"""),2.71)</f>
        <v>2.71</v>
      </c>
      <c r="C908" s="1">
        <f ca="1">IFERROR(__xludf.DUMMYFUNCTION("""COMPUTED_VALUE"""),2.76)</f>
        <v>2.76</v>
      </c>
      <c r="D908" s="1">
        <f ca="1">IFERROR(__xludf.DUMMYFUNCTION("""COMPUTED_VALUE"""),2.7)</f>
        <v>2.7</v>
      </c>
      <c r="E908" s="1">
        <f ca="1">IFERROR(__xludf.DUMMYFUNCTION("""COMPUTED_VALUE"""),2.71)</f>
        <v>2.71</v>
      </c>
      <c r="F908" s="1">
        <f ca="1">IFERROR(__xludf.DUMMYFUNCTION("""COMPUTED_VALUE"""),330200)</f>
        <v>330200</v>
      </c>
      <c r="I908" s="1"/>
    </row>
    <row r="909" spans="1:9">
      <c r="A909" s="3">
        <f ca="1">IFERROR(__xludf.DUMMYFUNCTION("""COMPUTED_VALUE"""),30531.6666666666)</f>
        <v>30531.666666666599</v>
      </c>
      <c r="B909" s="1">
        <f ca="1">IFERROR(__xludf.DUMMYFUNCTION("""COMPUTED_VALUE"""),2.7)</f>
        <v>2.7</v>
      </c>
      <c r="C909" s="1">
        <f ca="1">IFERROR(__xludf.DUMMYFUNCTION("""COMPUTED_VALUE"""),2.72)</f>
        <v>2.72</v>
      </c>
      <c r="D909" s="1">
        <f ca="1">IFERROR(__xludf.DUMMYFUNCTION("""COMPUTED_VALUE"""),2.67)</f>
        <v>2.67</v>
      </c>
      <c r="E909" s="1">
        <f ca="1">IFERROR(__xludf.DUMMYFUNCTION("""COMPUTED_VALUE"""),2.7)</f>
        <v>2.7</v>
      </c>
      <c r="F909" s="1">
        <f ca="1">IFERROR(__xludf.DUMMYFUNCTION("""COMPUTED_VALUE"""),506700)</f>
        <v>506700</v>
      </c>
      <c r="I909" s="1"/>
    </row>
    <row r="910" spans="1:9">
      <c r="A910" s="3">
        <f ca="1">IFERROR(__xludf.DUMMYFUNCTION("""COMPUTED_VALUE"""),30532.6666666666)</f>
        <v>30532.666666666599</v>
      </c>
      <c r="B910" s="1">
        <f ca="1">IFERROR(__xludf.DUMMYFUNCTION("""COMPUTED_VALUE"""),2.67)</f>
        <v>2.67</v>
      </c>
      <c r="C910" s="1">
        <f ca="1">IFERROR(__xludf.DUMMYFUNCTION("""COMPUTED_VALUE"""),2.7)</f>
        <v>2.7</v>
      </c>
      <c r="D910" s="1">
        <f ca="1">IFERROR(__xludf.DUMMYFUNCTION("""COMPUTED_VALUE"""),2.57)</f>
        <v>2.57</v>
      </c>
      <c r="E910" s="1">
        <f ca="1">IFERROR(__xludf.DUMMYFUNCTION("""COMPUTED_VALUE"""),2.67)</f>
        <v>2.67</v>
      </c>
      <c r="F910" s="1">
        <f ca="1">IFERROR(__xludf.DUMMYFUNCTION("""COMPUTED_VALUE"""),570200)</f>
        <v>570200</v>
      </c>
      <c r="I910" s="1"/>
    </row>
    <row r="911" spans="1:9">
      <c r="A911" s="3">
        <f ca="1">IFERROR(__xludf.DUMMYFUNCTION("""COMPUTED_VALUE"""),30533.6666666666)</f>
        <v>30533.666666666599</v>
      </c>
      <c r="B911" s="1">
        <f ca="1">IFERROR(__xludf.DUMMYFUNCTION("""COMPUTED_VALUE"""),2.66)</f>
        <v>2.66</v>
      </c>
      <c r="C911" s="1">
        <f ca="1">IFERROR(__xludf.DUMMYFUNCTION("""COMPUTED_VALUE"""),2.67)</f>
        <v>2.67</v>
      </c>
      <c r="D911" s="1">
        <f ca="1">IFERROR(__xludf.DUMMYFUNCTION("""COMPUTED_VALUE"""),2.63)</f>
        <v>2.63</v>
      </c>
      <c r="E911" s="1">
        <f ca="1">IFERROR(__xludf.DUMMYFUNCTION("""COMPUTED_VALUE"""),2.66)</f>
        <v>2.66</v>
      </c>
      <c r="F911" s="1">
        <f ca="1">IFERROR(__xludf.DUMMYFUNCTION("""COMPUTED_VALUE"""),267500)</f>
        <v>267500</v>
      </c>
      <c r="I911" s="1"/>
    </row>
    <row r="912" spans="1:9">
      <c r="A912" s="3">
        <f ca="1">IFERROR(__xludf.DUMMYFUNCTION("""COMPUTED_VALUE"""),30536.6666666666)</f>
        <v>30536.666666666599</v>
      </c>
      <c r="B912" s="1">
        <f ca="1">IFERROR(__xludf.DUMMYFUNCTION("""COMPUTED_VALUE"""),2.61)</f>
        <v>2.61</v>
      </c>
      <c r="C912" s="1">
        <f ca="1">IFERROR(__xludf.DUMMYFUNCTION("""COMPUTED_VALUE"""),2.67)</f>
        <v>2.67</v>
      </c>
      <c r="D912" s="1">
        <f ca="1">IFERROR(__xludf.DUMMYFUNCTION("""COMPUTED_VALUE"""),2.59)</f>
        <v>2.59</v>
      </c>
      <c r="E912" s="1">
        <f ca="1">IFERROR(__xludf.DUMMYFUNCTION("""COMPUTED_VALUE"""),2.61)</f>
        <v>2.61</v>
      </c>
      <c r="F912" s="1">
        <f ca="1">IFERROR(__xludf.DUMMYFUNCTION("""COMPUTED_VALUE"""),690400)</f>
        <v>690400</v>
      </c>
      <c r="I912" s="1"/>
    </row>
    <row r="913" spans="1:9">
      <c r="A913" s="3">
        <f ca="1">IFERROR(__xludf.DUMMYFUNCTION("""COMPUTED_VALUE"""),30537.6666666666)</f>
        <v>30537.666666666599</v>
      </c>
      <c r="B913" s="1">
        <f ca="1">IFERROR(__xludf.DUMMYFUNCTION("""COMPUTED_VALUE"""),2.63)</f>
        <v>2.63</v>
      </c>
      <c r="C913" s="1">
        <f ca="1">IFERROR(__xludf.DUMMYFUNCTION("""COMPUTED_VALUE"""),2.63)</f>
        <v>2.63</v>
      </c>
      <c r="D913" s="1">
        <f ca="1">IFERROR(__xludf.DUMMYFUNCTION("""COMPUTED_VALUE"""),2.55)</f>
        <v>2.5499999999999998</v>
      </c>
      <c r="E913" s="1">
        <f ca="1">IFERROR(__xludf.DUMMYFUNCTION("""COMPUTED_VALUE"""),2.63)</f>
        <v>2.63</v>
      </c>
      <c r="F913" s="1">
        <f ca="1">IFERROR(__xludf.DUMMYFUNCTION("""COMPUTED_VALUE"""),544100)</f>
        <v>544100</v>
      </c>
      <c r="I913" s="1"/>
    </row>
    <row r="914" spans="1:9">
      <c r="A914" s="3">
        <f ca="1">IFERROR(__xludf.DUMMYFUNCTION("""COMPUTED_VALUE"""),30538.6666666666)</f>
        <v>30538.666666666599</v>
      </c>
      <c r="B914" s="1">
        <f ca="1">IFERROR(__xludf.DUMMYFUNCTION("""COMPUTED_VALUE"""),2.68)</f>
        <v>2.68</v>
      </c>
      <c r="C914" s="1">
        <f ca="1">IFERROR(__xludf.DUMMYFUNCTION("""COMPUTED_VALUE"""),2.68)</f>
        <v>2.68</v>
      </c>
      <c r="D914" s="1">
        <f ca="1">IFERROR(__xludf.DUMMYFUNCTION("""COMPUTED_VALUE"""),2.62)</f>
        <v>2.62</v>
      </c>
      <c r="E914" s="1">
        <f ca="1">IFERROR(__xludf.DUMMYFUNCTION("""COMPUTED_VALUE"""),2.68)</f>
        <v>2.68</v>
      </c>
      <c r="F914" s="1">
        <f ca="1">IFERROR(__xludf.DUMMYFUNCTION("""COMPUTED_VALUE"""),488400)</f>
        <v>488400</v>
      </c>
      <c r="I914" s="1"/>
    </row>
    <row r="915" spans="1:9">
      <c r="A915" s="3">
        <f ca="1">IFERROR(__xludf.DUMMYFUNCTION("""COMPUTED_VALUE"""),30539.6666666666)</f>
        <v>30539.666666666599</v>
      </c>
      <c r="B915" s="1">
        <f ca="1">IFERROR(__xludf.DUMMYFUNCTION("""COMPUTED_VALUE"""),2.71)</f>
        <v>2.71</v>
      </c>
      <c r="C915" s="1">
        <f ca="1">IFERROR(__xludf.DUMMYFUNCTION("""COMPUTED_VALUE"""),2.71)</f>
        <v>2.71</v>
      </c>
      <c r="D915" s="1">
        <f ca="1">IFERROR(__xludf.DUMMYFUNCTION("""COMPUTED_VALUE"""),2.66)</f>
        <v>2.66</v>
      </c>
      <c r="E915" s="1">
        <f ca="1">IFERROR(__xludf.DUMMYFUNCTION("""COMPUTED_VALUE"""),2.71)</f>
        <v>2.71</v>
      </c>
      <c r="F915" s="1">
        <f ca="1">IFERROR(__xludf.DUMMYFUNCTION("""COMPUTED_VALUE"""),309300)</f>
        <v>309300</v>
      </c>
      <c r="I915" s="1"/>
    </row>
    <row r="916" spans="1:9">
      <c r="A916" s="3">
        <f ca="1">IFERROR(__xludf.DUMMYFUNCTION("""COMPUTED_VALUE"""),30540.6666666666)</f>
        <v>30540.666666666599</v>
      </c>
      <c r="B916" s="1">
        <f ca="1">IFERROR(__xludf.DUMMYFUNCTION("""COMPUTED_VALUE"""),2.74)</f>
        <v>2.74</v>
      </c>
      <c r="C916" s="1">
        <f ca="1">IFERROR(__xludf.DUMMYFUNCTION("""COMPUTED_VALUE"""),2.74)</f>
        <v>2.74</v>
      </c>
      <c r="D916" s="1">
        <f ca="1">IFERROR(__xludf.DUMMYFUNCTION("""COMPUTED_VALUE"""),2.72)</f>
        <v>2.72</v>
      </c>
      <c r="E916" s="1">
        <f ca="1">IFERROR(__xludf.DUMMYFUNCTION("""COMPUTED_VALUE"""),2.74)</f>
        <v>2.74</v>
      </c>
      <c r="F916" s="1">
        <f ca="1">IFERROR(__xludf.DUMMYFUNCTION("""COMPUTED_VALUE"""),158900)</f>
        <v>158900</v>
      </c>
      <c r="I916" s="1"/>
    </row>
    <row r="917" spans="1:9">
      <c r="A917" s="3">
        <f ca="1">IFERROR(__xludf.DUMMYFUNCTION("""COMPUTED_VALUE"""),30543.6666666666)</f>
        <v>30543.666666666599</v>
      </c>
      <c r="B917" s="1">
        <f ca="1">IFERROR(__xludf.DUMMYFUNCTION("""COMPUTED_VALUE"""),2.75)</f>
        <v>2.75</v>
      </c>
      <c r="C917" s="1">
        <f ca="1">IFERROR(__xludf.DUMMYFUNCTION("""COMPUTED_VALUE"""),2.79)</f>
        <v>2.79</v>
      </c>
      <c r="D917" s="1">
        <f ca="1">IFERROR(__xludf.DUMMYFUNCTION("""COMPUTED_VALUE"""),2.75)</f>
        <v>2.75</v>
      </c>
      <c r="E917" s="1">
        <f ca="1">IFERROR(__xludf.DUMMYFUNCTION("""COMPUTED_VALUE"""),2.75)</f>
        <v>2.75</v>
      </c>
      <c r="F917" s="1">
        <f ca="1">IFERROR(__xludf.DUMMYFUNCTION("""COMPUTED_VALUE"""),361900)</f>
        <v>361900</v>
      </c>
      <c r="I917" s="1"/>
    </row>
    <row r="918" spans="1:9">
      <c r="A918" s="3">
        <f ca="1">IFERROR(__xludf.DUMMYFUNCTION("""COMPUTED_VALUE"""),30544.6666666666)</f>
        <v>30544.666666666599</v>
      </c>
      <c r="B918" s="1">
        <f ca="1">IFERROR(__xludf.DUMMYFUNCTION("""COMPUTED_VALUE"""),2.7)</f>
        <v>2.7</v>
      </c>
      <c r="C918" s="1">
        <f ca="1">IFERROR(__xludf.DUMMYFUNCTION("""COMPUTED_VALUE"""),2.74)</f>
        <v>2.74</v>
      </c>
      <c r="D918" s="1">
        <f ca="1">IFERROR(__xludf.DUMMYFUNCTION("""COMPUTED_VALUE"""),2.68)</f>
        <v>2.68</v>
      </c>
      <c r="E918" s="1">
        <f ca="1">IFERROR(__xludf.DUMMYFUNCTION("""COMPUTED_VALUE"""),2.7)</f>
        <v>2.7</v>
      </c>
      <c r="F918" s="1">
        <f ca="1">IFERROR(__xludf.DUMMYFUNCTION("""COMPUTED_VALUE"""),433200)</f>
        <v>433200</v>
      </c>
      <c r="I918" s="1"/>
    </row>
    <row r="919" spans="1:9">
      <c r="A919" s="3">
        <f ca="1">IFERROR(__xludf.DUMMYFUNCTION("""COMPUTED_VALUE"""),30545.6666666666)</f>
        <v>30545.666666666599</v>
      </c>
      <c r="B919" s="1">
        <f ca="1">IFERROR(__xludf.DUMMYFUNCTION("""COMPUTED_VALUE"""),2.69)</f>
        <v>2.69</v>
      </c>
      <c r="C919" s="1">
        <f ca="1">IFERROR(__xludf.DUMMYFUNCTION("""COMPUTED_VALUE"""),2.71)</f>
        <v>2.71</v>
      </c>
      <c r="D919" s="1">
        <f ca="1">IFERROR(__xludf.DUMMYFUNCTION("""COMPUTED_VALUE"""),2.63)</f>
        <v>2.63</v>
      </c>
      <c r="E919" s="1">
        <f ca="1">IFERROR(__xludf.DUMMYFUNCTION("""COMPUTED_VALUE"""),2.69)</f>
        <v>2.69</v>
      </c>
      <c r="F919" s="1">
        <f ca="1">IFERROR(__xludf.DUMMYFUNCTION("""COMPUTED_VALUE"""),249400)</f>
        <v>249400</v>
      </c>
      <c r="I919" s="1"/>
    </row>
    <row r="920" spans="1:9">
      <c r="A920" s="3">
        <f ca="1">IFERROR(__xludf.DUMMYFUNCTION("""COMPUTED_VALUE"""),30546.6666666666)</f>
        <v>30546.666666666599</v>
      </c>
      <c r="B920" s="1">
        <f ca="1">IFERROR(__xludf.DUMMYFUNCTION("""COMPUTED_VALUE"""),2.7)</f>
        <v>2.7</v>
      </c>
      <c r="C920" s="1">
        <f ca="1">IFERROR(__xludf.DUMMYFUNCTION("""COMPUTED_VALUE"""),2.71)</f>
        <v>2.71</v>
      </c>
      <c r="D920" s="1">
        <f ca="1">IFERROR(__xludf.DUMMYFUNCTION("""COMPUTED_VALUE"""),2.69)</f>
        <v>2.69</v>
      </c>
      <c r="E920" s="1">
        <f ca="1">IFERROR(__xludf.DUMMYFUNCTION("""COMPUTED_VALUE"""),2.7)</f>
        <v>2.7</v>
      </c>
      <c r="F920" s="1">
        <f ca="1">IFERROR(__xludf.DUMMYFUNCTION("""COMPUTED_VALUE"""),238900)</f>
        <v>238900</v>
      </c>
      <c r="I920" s="1"/>
    </row>
    <row r="921" spans="1:9">
      <c r="A921" s="3">
        <f ca="1">IFERROR(__xludf.DUMMYFUNCTION("""COMPUTED_VALUE"""),30547.6666666666)</f>
        <v>30547.666666666599</v>
      </c>
      <c r="B921" s="1">
        <f ca="1">IFERROR(__xludf.DUMMYFUNCTION("""COMPUTED_VALUE"""),2.63)</f>
        <v>2.63</v>
      </c>
      <c r="C921" s="1">
        <f ca="1">IFERROR(__xludf.DUMMYFUNCTION("""COMPUTED_VALUE"""),2.63)</f>
        <v>2.63</v>
      </c>
      <c r="D921" s="1">
        <f ca="1">IFERROR(__xludf.DUMMYFUNCTION("""COMPUTED_VALUE"""),2.6)</f>
        <v>2.6</v>
      </c>
      <c r="E921" s="1">
        <f ca="1">IFERROR(__xludf.DUMMYFUNCTION("""COMPUTED_VALUE"""),2.63)</f>
        <v>2.63</v>
      </c>
      <c r="F921" s="1">
        <f ca="1">IFERROR(__xludf.DUMMYFUNCTION("""COMPUTED_VALUE"""),665100)</f>
        <v>665100</v>
      </c>
      <c r="I921" s="1"/>
    </row>
    <row r="922" spans="1:9">
      <c r="A922" s="3">
        <f ca="1">IFERROR(__xludf.DUMMYFUNCTION("""COMPUTED_VALUE"""),30550.6666666666)</f>
        <v>30550.666666666599</v>
      </c>
      <c r="B922" s="1">
        <f ca="1">IFERROR(__xludf.DUMMYFUNCTION("""COMPUTED_VALUE"""),2.65)</f>
        <v>2.65</v>
      </c>
      <c r="C922" s="1">
        <f ca="1">IFERROR(__xludf.DUMMYFUNCTION("""COMPUTED_VALUE"""),2.66)</f>
        <v>2.66</v>
      </c>
      <c r="D922" s="1">
        <f ca="1">IFERROR(__xludf.DUMMYFUNCTION("""COMPUTED_VALUE"""),2.62)</f>
        <v>2.62</v>
      </c>
      <c r="E922" s="1">
        <f ca="1">IFERROR(__xludf.DUMMYFUNCTION("""COMPUTED_VALUE"""),2.65)</f>
        <v>2.65</v>
      </c>
      <c r="F922" s="1">
        <f ca="1">IFERROR(__xludf.DUMMYFUNCTION("""COMPUTED_VALUE"""),397100)</f>
        <v>397100</v>
      </c>
      <c r="I922" s="1"/>
    </row>
    <row r="923" spans="1:9">
      <c r="A923" s="3">
        <f ca="1">IFERROR(__xludf.DUMMYFUNCTION("""COMPUTED_VALUE"""),30551.6666666666)</f>
        <v>30551.666666666599</v>
      </c>
      <c r="B923" s="1">
        <f ca="1">IFERROR(__xludf.DUMMYFUNCTION("""COMPUTED_VALUE"""),2.61)</f>
        <v>2.61</v>
      </c>
      <c r="C923" s="1">
        <f ca="1">IFERROR(__xludf.DUMMYFUNCTION("""COMPUTED_VALUE"""),2.66)</f>
        <v>2.66</v>
      </c>
      <c r="D923" s="1">
        <f ca="1">IFERROR(__xludf.DUMMYFUNCTION("""COMPUTED_VALUE"""),2.59)</f>
        <v>2.59</v>
      </c>
      <c r="E923" s="1">
        <f ca="1">IFERROR(__xludf.DUMMYFUNCTION("""COMPUTED_VALUE"""),2.61)</f>
        <v>2.61</v>
      </c>
      <c r="F923" s="1">
        <f ca="1">IFERROR(__xludf.DUMMYFUNCTION("""COMPUTED_VALUE"""),309300)</f>
        <v>309300</v>
      </c>
      <c r="I923" s="1"/>
    </row>
    <row r="924" spans="1:9">
      <c r="A924" s="3">
        <f ca="1">IFERROR(__xludf.DUMMYFUNCTION("""COMPUTED_VALUE"""),30552.6666666666)</f>
        <v>30552.666666666599</v>
      </c>
      <c r="B924" s="1">
        <f ca="1">IFERROR(__xludf.DUMMYFUNCTION("""COMPUTED_VALUE"""),2.56)</f>
        <v>2.56</v>
      </c>
      <c r="C924" s="1">
        <f ca="1">IFERROR(__xludf.DUMMYFUNCTION("""COMPUTED_VALUE"""),2.61)</f>
        <v>2.61</v>
      </c>
      <c r="D924" s="1">
        <f ca="1">IFERROR(__xludf.DUMMYFUNCTION("""COMPUTED_VALUE"""),2.55)</f>
        <v>2.5499999999999998</v>
      </c>
      <c r="E924" s="1">
        <f ca="1">IFERROR(__xludf.DUMMYFUNCTION("""COMPUTED_VALUE"""),2.56)</f>
        <v>2.56</v>
      </c>
      <c r="F924" s="1">
        <f ca="1">IFERROR(__xludf.DUMMYFUNCTION("""COMPUTED_VALUE"""),676300)</f>
        <v>676300</v>
      </c>
      <c r="I924" s="1"/>
    </row>
    <row r="925" spans="1:9">
      <c r="A925" s="3">
        <f ca="1">IFERROR(__xludf.DUMMYFUNCTION("""COMPUTED_VALUE"""),30553.6666666666)</f>
        <v>30553.666666666599</v>
      </c>
      <c r="B925" s="1">
        <f ca="1">IFERROR(__xludf.DUMMYFUNCTION("""COMPUTED_VALUE"""),2.55)</f>
        <v>2.5499999999999998</v>
      </c>
      <c r="C925" s="1">
        <f ca="1">IFERROR(__xludf.DUMMYFUNCTION("""COMPUTED_VALUE"""),2.58)</f>
        <v>2.58</v>
      </c>
      <c r="D925" s="1">
        <f ca="1">IFERROR(__xludf.DUMMYFUNCTION("""COMPUTED_VALUE"""),2.52)</f>
        <v>2.52</v>
      </c>
      <c r="E925" s="1">
        <f ca="1">IFERROR(__xludf.DUMMYFUNCTION("""COMPUTED_VALUE"""),2.55)</f>
        <v>2.5499999999999998</v>
      </c>
      <c r="F925" s="1">
        <f ca="1">IFERROR(__xludf.DUMMYFUNCTION("""COMPUTED_VALUE"""),473400)</f>
        <v>473400</v>
      </c>
      <c r="I925" s="1"/>
    </row>
    <row r="926" spans="1:9">
      <c r="A926" s="3">
        <f ca="1">IFERROR(__xludf.DUMMYFUNCTION("""COMPUTED_VALUE"""),30554.6666666666)</f>
        <v>30554.666666666599</v>
      </c>
      <c r="B926" s="1">
        <f ca="1">IFERROR(__xludf.DUMMYFUNCTION("""COMPUTED_VALUE"""),2.55)</f>
        <v>2.5499999999999998</v>
      </c>
      <c r="C926" s="1">
        <f ca="1">IFERROR(__xludf.DUMMYFUNCTION("""COMPUTED_VALUE"""),2.58)</f>
        <v>2.58</v>
      </c>
      <c r="D926" s="1">
        <f ca="1">IFERROR(__xludf.DUMMYFUNCTION("""COMPUTED_VALUE"""),2.54)</f>
        <v>2.54</v>
      </c>
      <c r="E926" s="1">
        <f ca="1">IFERROR(__xludf.DUMMYFUNCTION("""COMPUTED_VALUE"""),2.55)</f>
        <v>2.5499999999999998</v>
      </c>
      <c r="F926" s="1">
        <f ca="1">IFERROR(__xludf.DUMMYFUNCTION("""COMPUTED_VALUE"""),302100)</f>
        <v>302100</v>
      </c>
      <c r="I926" s="1"/>
    </row>
    <row r="927" spans="1:9">
      <c r="A927" s="3">
        <f ca="1">IFERROR(__xludf.DUMMYFUNCTION("""COMPUTED_VALUE"""),30557.6666666666)</f>
        <v>30557.666666666599</v>
      </c>
      <c r="B927" s="1">
        <f ca="1">IFERROR(__xludf.DUMMYFUNCTION("""COMPUTED_VALUE"""),2.57)</f>
        <v>2.57</v>
      </c>
      <c r="C927" s="1">
        <f ca="1">IFERROR(__xludf.DUMMYFUNCTION("""COMPUTED_VALUE"""),2.58)</f>
        <v>2.58</v>
      </c>
      <c r="D927" s="1">
        <f ca="1">IFERROR(__xludf.DUMMYFUNCTION("""COMPUTED_VALUE"""),2.54)</f>
        <v>2.54</v>
      </c>
      <c r="E927" s="1">
        <f ca="1">IFERROR(__xludf.DUMMYFUNCTION("""COMPUTED_VALUE"""),2.57)</f>
        <v>2.57</v>
      </c>
      <c r="F927" s="1">
        <f ca="1">IFERROR(__xludf.DUMMYFUNCTION("""COMPUTED_VALUE"""),247100)</f>
        <v>247100</v>
      </c>
      <c r="I927" s="1"/>
    </row>
    <row r="928" spans="1:9">
      <c r="A928" s="3">
        <f ca="1">IFERROR(__xludf.DUMMYFUNCTION("""COMPUTED_VALUE"""),30558.6666666666)</f>
        <v>30558.666666666599</v>
      </c>
      <c r="B928" s="1">
        <f ca="1">IFERROR(__xludf.DUMMYFUNCTION("""COMPUTED_VALUE"""),2.55)</f>
        <v>2.5499999999999998</v>
      </c>
      <c r="C928" s="1">
        <f ca="1">IFERROR(__xludf.DUMMYFUNCTION("""COMPUTED_VALUE"""),2.59)</f>
        <v>2.59</v>
      </c>
      <c r="D928" s="1">
        <f ca="1">IFERROR(__xludf.DUMMYFUNCTION("""COMPUTED_VALUE"""),2.51)</f>
        <v>2.5099999999999998</v>
      </c>
      <c r="E928" s="1">
        <f ca="1">IFERROR(__xludf.DUMMYFUNCTION("""COMPUTED_VALUE"""),2.55)</f>
        <v>2.5499999999999998</v>
      </c>
      <c r="F928" s="1">
        <f ca="1">IFERROR(__xludf.DUMMYFUNCTION("""COMPUTED_VALUE"""),298900)</f>
        <v>298900</v>
      </c>
      <c r="I928" s="1"/>
    </row>
    <row r="929" spans="1:9">
      <c r="A929" s="3">
        <f ca="1">IFERROR(__xludf.DUMMYFUNCTION("""COMPUTED_VALUE"""),30559.6666666666)</f>
        <v>30559.666666666599</v>
      </c>
      <c r="B929" s="1">
        <f ca="1">IFERROR(__xludf.DUMMYFUNCTION("""COMPUTED_VALUE"""),2.57)</f>
        <v>2.57</v>
      </c>
      <c r="C929" s="1">
        <f ca="1">IFERROR(__xludf.DUMMYFUNCTION("""COMPUTED_VALUE"""),2.61)</f>
        <v>2.61</v>
      </c>
      <c r="D929" s="1">
        <f ca="1">IFERROR(__xludf.DUMMYFUNCTION("""COMPUTED_VALUE"""),2.54)</f>
        <v>2.54</v>
      </c>
      <c r="E929" s="1">
        <f ca="1">IFERROR(__xludf.DUMMYFUNCTION("""COMPUTED_VALUE"""),2.57)</f>
        <v>2.57</v>
      </c>
      <c r="F929" s="1">
        <f ca="1">IFERROR(__xludf.DUMMYFUNCTION("""COMPUTED_VALUE"""),356500)</f>
        <v>356500</v>
      </c>
      <c r="I929" s="1"/>
    </row>
    <row r="930" spans="1:9">
      <c r="A930" s="3">
        <f ca="1">IFERROR(__xludf.DUMMYFUNCTION("""COMPUTED_VALUE"""),30560.6666666666)</f>
        <v>30560.666666666599</v>
      </c>
      <c r="B930" s="1">
        <f ca="1">IFERROR(__xludf.DUMMYFUNCTION("""COMPUTED_VALUE"""),2.58)</f>
        <v>2.58</v>
      </c>
      <c r="C930" s="1">
        <f ca="1">IFERROR(__xludf.DUMMYFUNCTION("""COMPUTED_VALUE"""),2.6)</f>
        <v>2.6</v>
      </c>
      <c r="D930" s="1">
        <f ca="1">IFERROR(__xludf.DUMMYFUNCTION("""COMPUTED_VALUE"""),2.52)</f>
        <v>2.52</v>
      </c>
      <c r="E930" s="1">
        <f ca="1">IFERROR(__xludf.DUMMYFUNCTION("""COMPUTED_VALUE"""),2.58)</f>
        <v>2.58</v>
      </c>
      <c r="F930" s="1">
        <f ca="1">IFERROR(__xludf.DUMMYFUNCTION("""COMPUTED_VALUE"""),304600)</f>
        <v>304600</v>
      </c>
      <c r="I930" s="1"/>
    </row>
    <row r="931" spans="1:9">
      <c r="A931" s="3">
        <f ca="1">IFERROR(__xludf.DUMMYFUNCTION("""COMPUTED_VALUE"""),30561.6666666666)</f>
        <v>30561.666666666599</v>
      </c>
      <c r="B931" s="1">
        <f ca="1">IFERROR(__xludf.DUMMYFUNCTION("""COMPUTED_VALUE"""),2.59)</f>
        <v>2.59</v>
      </c>
      <c r="C931" s="1">
        <f ca="1">IFERROR(__xludf.DUMMYFUNCTION("""COMPUTED_VALUE"""),2.61)</f>
        <v>2.61</v>
      </c>
      <c r="D931" s="1">
        <f ca="1">IFERROR(__xludf.DUMMYFUNCTION("""COMPUTED_VALUE"""),2.58)</f>
        <v>2.58</v>
      </c>
      <c r="E931" s="1">
        <f ca="1">IFERROR(__xludf.DUMMYFUNCTION("""COMPUTED_VALUE"""),2.59)</f>
        <v>2.59</v>
      </c>
      <c r="F931" s="1">
        <f ca="1">IFERROR(__xludf.DUMMYFUNCTION("""COMPUTED_VALUE"""),222400)</f>
        <v>222400</v>
      </c>
      <c r="I931" s="1"/>
    </row>
    <row r="932" spans="1:9">
      <c r="A932" s="3">
        <f ca="1">IFERROR(__xludf.DUMMYFUNCTION("""COMPUTED_VALUE"""),30565.6666666666)</f>
        <v>30565.666666666599</v>
      </c>
      <c r="B932" s="1">
        <f ca="1">IFERROR(__xludf.DUMMYFUNCTION("""COMPUTED_VALUE"""),2.63)</f>
        <v>2.63</v>
      </c>
      <c r="C932" s="1">
        <f ca="1">IFERROR(__xludf.DUMMYFUNCTION("""COMPUTED_VALUE"""),2.65)</f>
        <v>2.65</v>
      </c>
      <c r="D932" s="1">
        <f ca="1">IFERROR(__xludf.DUMMYFUNCTION("""COMPUTED_VALUE"""),2.59)</f>
        <v>2.59</v>
      </c>
      <c r="E932" s="1">
        <f ca="1">IFERROR(__xludf.DUMMYFUNCTION("""COMPUTED_VALUE"""),2.63)</f>
        <v>2.63</v>
      </c>
      <c r="F932" s="1">
        <f ca="1">IFERROR(__xludf.DUMMYFUNCTION("""COMPUTED_VALUE"""),541800)</f>
        <v>541800</v>
      </c>
      <c r="I932" s="1"/>
    </row>
    <row r="933" spans="1:9">
      <c r="A933" s="3">
        <f ca="1">IFERROR(__xludf.DUMMYFUNCTION("""COMPUTED_VALUE"""),30566.6666666666)</f>
        <v>30566.666666666599</v>
      </c>
      <c r="B933" s="1">
        <f ca="1">IFERROR(__xludf.DUMMYFUNCTION("""COMPUTED_VALUE"""),2.66)</f>
        <v>2.66</v>
      </c>
      <c r="C933" s="1">
        <f ca="1">IFERROR(__xludf.DUMMYFUNCTION("""COMPUTED_VALUE"""),2.69)</f>
        <v>2.69</v>
      </c>
      <c r="D933" s="1">
        <f ca="1">IFERROR(__xludf.DUMMYFUNCTION("""COMPUTED_VALUE"""),2.63)</f>
        <v>2.63</v>
      </c>
      <c r="E933" s="1">
        <f ca="1">IFERROR(__xludf.DUMMYFUNCTION("""COMPUTED_VALUE"""),2.66)</f>
        <v>2.66</v>
      </c>
      <c r="F933" s="1">
        <f ca="1">IFERROR(__xludf.DUMMYFUNCTION("""COMPUTED_VALUE"""),634900)</f>
        <v>634900</v>
      </c>
      <c r="I933" s="1"/>
    </row>
    <row r="934" spans="1:9">
      <c r="A934" s="3">
        <f ca="1">IFERROR(__xludf.DUMMYFUNCTION("""COMPUTED_VALUE"""),30567.6666666666)</f>
        <v>30567.666666666599</v>
      </c>
      <c r="B934" s="1">
        <f ca="1">IFERROR(__xludf.DUMMYFUNCTION("""COMPUTED_VALUE"""),2.64)</f>
        <v>2.64</v>
      </c>
      <c r="C934" s="1">
        <f ca="1">IFERROR(__xludf.DUMMYFUNCTION("""COMPUTED_VALUE"""),2.66)</f>
        <v>2.66</v>
      </c>
      <c r="D934" s="1">
        <f ca="1">IFERROR(__xludf.DUMMYFUNCTION("""COMPUTED_VALUE"""),2.63)</f>
        <v>2.63</v>
      </c>
      <c r="E934" s="1">
        <f ca="1">IFERROR(__xludf.DUMMYFUNCTION("""COMPUTED_VALUE"""),2.64)</f>
        <v>2.64</v>
      </c>
      <c r="F934" s="1">
        <f ca="1">IFERROR(__xludf.DUMMYFUNCTION("""COMPUTED_VALUE"""),408500)</f>
        <v>408500</v>
      </c>
      <c r="I934" s="1"/>
    </row>
    <row r="935" spans="1:9">
      <c r="A935" s="3">
        <f ca="1">IFERROR(__xludf.DUMMYFUNCTION("""COMPUTED_VALUE"""),30568.6666666666)</f>
        <v>30568.666666666599</v>
      </c>
      <c r="B935" s="1">
        <f ca="1">IFERROR(__xludf.DUMMYFUNCTION("""COMPUTED_VALUE"""),2.63)</f>
        <v>2.63</v>
      </c>
      <c r="C935" s="1">
        <f ca="1">IFERROR(__xludf.DUMMYFUNCTION("""COMPUTED_VALUE"""),2.66)</f>
        <v>2.66</v>
      </c>
      <c r="D935" s="1">
        <f ca="1">IFERROR(__xludf.DUMMYFUNCTION("""COMPUTED_VALUE"""),2.63)</f>
        <v>2.63</v>
      </c>
      <c r="E935" s="1">
        <f ca="1">IFERROR(__xludf.DUMMYFUNCTION("""COMPUTED_VALUE"""),2.63)</f>
        <v>2.63</v>
      </c>
      <c r="F935" s="1">
        <f ca="1">IFERROR(__xludf.DUMMYFUNCTION("""COMPUTED_VALUE"""),302300)</f>
        <v>302300</v>
      </c>
      <c r="I935" s="1"/>
    </row>
    <row r="936" spans="1:9">
      <c r="A936" s="3">
        <f ca="1">IFERROR(__xludf.DUMMYFUNCTION("""COMPUTED_VALUE"""),30571.6666666666)</f>
        <v>30571.666666666599</v>
      </c>
      <c r="B936" s="1">
        <f ca="1">IFERROR(__xludf.DUMMYFUNCTION("""COMPUTED_VALUE"""),2.63)</f>
        <v>2.63</v>
      </c>
      <c r="C936" s="1">
        <f ca="1">IFERROR(__xludf.DUMMYFUNCTION("""COMPUTED_VALUE"""),2.7)</f>
        <v>2.7</v>
      </c>
      <c r="D936" s="1">
        <f ca="1">IFERROR(__xludf.DUMMYFUNCTION("""COMPUTED_VALUE"""),2.63)</f>
        <v>2.63</v>
      </c>
      <c r="E936" s="1">
        <f ca="1">IFERROR(__xludf.DUMMYFUNCTION("""COMPUTED_VALUE"""),2.63)</f>
        <v>2.63</v>
      </c>
      <c r="F936" s="1">
        <f ca="1">IFERROR(__xludf.DUMMYFUNCTION("""COMPUTED_VALUE"""),337800)</f>
        <v>337800</v>
      </c>
      <c r="I936" s="1"/>
    </row>
    <row r="937" spans="1:9">
      <c r="A937" s="3">
        <f ca="1">IFERROR(__xludf.DUMMYFUNCTION("""COMPUTED_VALUE"""),30572.6666666666)</f>
        <v>30572.666666666599</v>
      </c>
      <c r="B937" s="1">
        <f ca="1">IFERROR(__xludf.DUMMYFUNCTION("""COMPUTED_VALUE"""),2.63)</f>
        <v>2.63</v>
      </c>
      <c r="C937" s="1">
        <f ca="1">IFERROR(__xludf.DUMMYFUNCTION("""COMPUTED_VALUE"""),2.65)</f>
        <v>2.65</v>
      </c>
      <c r="D937" s="1">
        <f ca="1">IFERROR(__xludf.DUMMYFUNCTION("""COMPUTED_VALUE"""),2.61)</f>
        <v>2.61</v>
      </c>
      <c r="E937" s="1">
        <f ca="1">IFERROR(__xludf.DUMMYFUNCTION("""COMPUTED_VALUE"""),2.63)</f>
        <v>2.63</v>
      </c>
      <c r="F937" s="1">
        <f ca="1">IFERROR(__xludf.DUMMYFUNCTION("""COMPUTED_VALUE"""),151500)</f>
        <v>151500</v>
      </c>
      <c r="I937" s="1"/>
    </row>
    <row r="938" spans="1:9">
      <c r="A938" s="3">
        <f ca="1">IFERROR(__xludf.DUMMYFUNCTION("""COMPUTED_VALUE"""),30573.6666666666)</f>
        <v>30573.666666666599</v>
      </c>
      <c r="B938" s="1">
        <f ca="1">IFERROR(__xludf.DUMMYFUNCTION("""COMPUTED_VALUE"""),2.67)</f>
        <v>2.67</v>
      </c>
      <c r="C938" s="1">
        <f ca="1">IFERROR(__xludf.DUMMYFUNCTION("""COMPUTED_VALUE"""),2.67)</f>
        <v>2.67</v>
      </c>
      <c r="D938" s="1">
        <f ca="1">IFERROR(__xludf.DUMMYFUNCTION("""COMPUTED_VALUE"""),2.63)</f>
        <v>2.63</v>
      </c>
      <c r="E938" s="1">
        <f ca="1">IFERROR(__xludf.DUMMYFUNCTION("""COMPUTED_VALUE"""),2.67)</f>
        <v>2.67</v>
      </c>
      <c r="F938" s="1">
        <f ca="1">IFERROR(__xludf.DUMMYFUNCTION("""COMPUTED_VALUE"""),204000)</f>
        <v>204000</v>
      </c>
      <c r="I938" s="1"/>
    </row>
    <row r="939" spans="1:9">
      <c r="A939" s="3">
        <f ca="1">IFERROR(__xludf.DUMMYFUNCTION("""COMPUTED_VALUE"""),30574.6666666666)</f>
        <v>30574.666666666599</v>
      </c>
      <c r="B939" s="1">
        <f ca="1">IFERROR(__xludf.DUMMYFUNCTION("""COMPUTED_VALUE"""),2.65)</f>
        <v>2.65</v>
      </c>
      <c r="C939" s="1">
        <f ca="1">IFERROR(__xludf.DUMMYFUNCTION("""COMPUTED_VALUE"""),2.68)</f>
        <v>2.68</v>
      </c>
      <c r="D939" s="1">
        <f ca="1">IFERROR(__xludf.DUMMYFUNCTION("""COMPUTED_VALUE"""),2.63)</f>
        <v>2.63</v>
      </c>
      <c r="E939" s="1">
        <f ca="1">IFERROR(__xludf.DUMMYFUNCTION("""COMPUTED_VALUE"""),2.65)</f>
        <v>2.65</v>
      </c>
      <c r="F939" s="1">
        <f ca="1">IFERROR(__xludf.DUMMYFUNCTION("""COMPUTED_VALUE"""),170800)</f>
        <v>170800</v>
      </c>
      <c r="I939" s="1"/>
    </row>
    <row r="940" spans="1:9">
      <c r="A940" s="3">
        <f ca="1">IFERROR(__xludf.DUMMYFUNCTION("""COMPUTED_VALUE"""),30575.6666666666)</f>
        <v>30575.666666666599</v>
      </c>
      <c r="B940" s="1">
        <f ca="1">IFERROR(__xludf.DUMMYFUNCTION("""COMPUTED_VALUE"""),2.7)</f>
        <v>2.7</v>
      </c>
      <c r="C940" s="1">
        <f ca="1">IFERROR(__xludf.DUMMYFUNCTION("""COMPUTED_VALUE"""),2.72)</f>
        <v>2.72</v>
      </c>
      <c r="D940" s="1">
        <f ca="1">IFERROR(__xludf.DUMMYFUNCTION("""COMPUTED_VALUE"""),2.63)</f>
        <v>2.63</v>
      </c>
      <c r="E940" s="1">
        <f ca="1">IFERROR(__xludf.DUMMYFUNCTION("""COMPUTED_VALUE"""),2.7)</f>
        <v>2.7</v>
      </c>
      <c r="F940" s="1">
        <f ca="1">IFERROR(__xludf.DUMMYFUNCTION("""COMPUTED_VALUE"""),330400)</f>
        <v>330400</v>
      </c>
      <c r="I940" s="1"/>
    </row>
    <row r="941" spans="1:9">
      <c r="A941" s="3">
        <f ca="1">IFERROR(__xludf.DUMMYFUNCTION("""COMPUTED_VALUE"""),30578.6666666666)</f>
        <v>30578.666666666599</v>
      </c>
      <c r="B941" s="1">
        <f ca="1">IFERROR(__xludf.DUMMYFUNCTION("""COMPUTED_VALUE"""),2.76)</f>
        <v>2.76</v>
      </c>
      <c r="C941" s="1">
        <f ca="1">IFERROR(__xludf.DUMMYFUNCTION("""COMPUTED_VALUE"""),2.77)</f>
        <v>2.77</v>
      </c>
      <c r="D941" s="1">
        <f ca="1">IFERROR(__xludf.DUMMYFUNCTION("""COMPUTED_VALUE"""),2.7)</f>
        <v>2.7</v>
      </c>
      <c r="E941" s="1">
        <f ca="1">IFERROR(__xludf.DUMMYFUNCTION("""COMPUTED_VALUE"""),2.76)</f>
        <v>2.76</v>
      </c>
      <c r="F941" s="1">
        <f ca="1">IFERROR(__xludf.DUMMYFUNCTION("""COMPUTED_VALUE"""),557000)</f>
        <v>557000</v>
      </c>
      <c r="I941" s="1"/>
    </row>
    <row r="942" spans="1:9">
      <c r="A942" s="3">
        <f ca="1">IFERROR(__xludf.DUMMYFUNCTION("""COMPUTED_VALUE"""),30579.6666666666)</f>
        <v>30579.666666666599</v>
      </c>
      <c r="B942" s="1">
        <f ca="1">IFERROR(__xludf.DUMMYFUNCTION("""COMPUTED_VALUE"""),2.79)</f>
        <v>2.79</v>
      </c>
      <c r="C942" s="1">
        <f ca="1">IFERROR(__xludf.DUMMYFUNCTION("""COMPUTED_VALUE"""),2.8)</f>
        <v>2.8</v>
      </c>
      <c r="D942" s="1">
        <f ca="1">IFERROR(__xludf.DUMMYFUNCTION("""COMPUTED_VALUE"""),2.76)</f>
        <v>2.76</v>
      </c>
      <c r="E942" s="1">
        <f ca="1">IFERROR(__xludf.DUMMYFUNCTION("""COMPUTED_VALUE"""),2.79)</f>
        <v>2.79</v>
      </c>
      <c r="F942" s="1">
        <f ca="1">IFERROR(__xludf.DUMMYFUNCTION("""COMPUTED_VALUE"""),777000)</f>
        <v>777000</v>
      </c>
      <c r="I942" s="1"/>
    </row>
    <row r="943" spans="1:9">
      <c r="A943" s="3">
        <f ca="1">IFERROR(__xludf.DUMMYFUNCTION("""COMPUTED_VALUE"""),30580.6666666666)</f>
        <v>30580.666666666599</v>
      </c>
      <c r="B943" s="1">
        <f ca="1">IFERROR(__xludf.DUMMYFUNCTION("""COMPUTED_VALUE"""),2.76)</f>
        <v>2.76</v>
      </c>
      <c r="C943" s="1">
        <f ca="1">IFERROR(__xludf.DUMMYFUNCTION("""COMPUTED_VALUE"""),2.83)</f>
        <v>2.83</v>
      </c>
      <c r="D943" s="1">
        <f ca="1">IFERROR(__xludf.DUMMYFUNCTION("""COMPUTED_VALUE"""),2.74)</f>
        <v>2.74</v>
      </c>
      <c r="E943" s="1">
        <f ca="1">IFERROR(__xludf.DUMMYFUNCTION("""COMPUTED_VALUE"""),2.76)</f>
        <v>2.76</v>
      </c>
      <c r="F943" s="1">
        <f ca="1">IFERROR(__xludf.DUMMYFUNCTION("""COMPUTED_VALUE"""),550500)</f>
        <v>550500</v>
      </c>
      <c r="I943" s="1"/>
    </row>
    <row r="944" spans="1:9">
      <c r="A944" s="3">
        <f ca="1">IFERROR(__xludf.DUMMYFUNCTION("""COMPUTED_VALUE"""),30581.6666666666)</f>
        <v>30581.666666666599</v>
      </c>
      <c r="B944" s="1">
        <f ca="1">IFERROR(__xludf.DUMMYFUNCTION("""COMPUTED_VALUE"""),2.8)</f>
        <v>2.8</v>
      </c>
      <c r="C944" s="1">
        <f ca="1">IFERROR(__xludf.DUMMYFUNCTION("""COMPUTED_VALUE"""),2.81)</f>
        <v>2.81</v>
      </c>
      <c r="D944" s="1">
        <f ca="1">IFERROR(__xludf.DUMMYFUNCTION("""COMPUTED_VALUE"""),2.75)</f>
        <v>2.75</v>
      </c>
      <c r="E944" s="1">
        <f ca="1">IFERROR(__xludf.DUMMYFUNCTION("""COMPUTED_VALUE"""),2.8)</f>
        <v>2.8</v>
      </c>
      <c r="F944" s="1">
        <f ca="1">IFERROR(__xludf.DUMMYFUNCTION("""COMPUTED_VALUE"""),377800)</f>
        <v>377800</v>
      </c>
      <c r="I944" s="1"/>
    </row>
    <row r="945" spans="1:9">
      <c r="A945" s="3">
        <f ca="1">IFERROR(__xludf.DUMMYFUNCTION("""COMPUTED_VALUE"""),30582.6666666666)</f>
        <v>30582.666666666599</v>
      </c>
      <c r="B945" s="1">
        <f ca="1">IFERROR(__xludf.DUMMYFUNCTION("""COMPUTED_VALUE"""),2.79)</f>
        <v>2.79</v>
      </c>
      <c r="C945" s="1">
        <f ca="1">IFERROR(__xludf.DUMMYFUNCTION("""COMPUTED_VALUE"""),2.82)</f>
        <v>2.82</v>
      </c>
      <c r="D945" s="1">
        <f ca="1">IFERROR(__xludf.DUMMYFUNCTION("""COMPUTED_VALUE"""),2.77)</f>
        <v>2.77</v>
      </c>
      <c r="E945" s="1">
        <f ca="1">IFERROR(__xludf.DUMMYFUNCTION("""COMPUTED_VALUE"""),2.79)</f>
        <v>2.79</v>
      </c>
      <c r="F945" s="1">
        <f ca="1">IFERROR(__xludf.DUMMYFUNCTION("""COMPUTED_VALUE"""),223800)</f>
        <v>223800</v>
      </c>
      <c r="I945" s="1"/>
    </row>
    <row r="946" spans="1:9">
      <c r="A946" s="3">
        <f ca="1">IFERROR(__xludf.DUMMYFUNCTION("""COMPUTED_VALUE"""),30585.6666666666)</f>
        <v>30585.666666666599</v>
      </c>
      <c r="B946" s="1">
        <f ca="1">IFERROR(__xludf.DUMMYFUNCTION("""COMPUTED_VALUE"""),2.81)</f>
        <v>2.81</v>
      </c>
      <c r="C946" s="1">
        <f ca="1">IFERROR(__xludf.DUMMYFUNCTION("""COMPUTED_VALUE"""),2.84)</f>
        <v>2.84</v>
      </c>
      <c r="D946" s="1">
        <f ca="1">IFERROR(__xludf.DUMMYFUNCTION("""COMPUTED_VALUE"""),2.78)</f>
        <v>2.78</v>
      </c>
      <c r="E946" s="1">
        <f ca="1">IFERROR(__xludf.DUMMYFUNCTION("""COMPUTED_VALUE"""),2.81)</f>
        <v>2.81</v>
      </c>
      <c r="F946" s="1">
        <f ca="1">IFERROR(__xludf.DUMMYFUNCTION("""COMPUTED_VALUE"""),373800)</f>
        <v>373800</v>
      </c>
      <c r="I946" s="1"/>
    </row>
    <row r="947" spans="1:9">
      <c r="A947" s="3">
        <f ca="1">IFERROR(__xludf.DUMMYFUNCTION("""COMPUTED_VALUE"""),30586.6666666666)</f>
        <v>30586.666666666599</v>
      </c>
      <c r="B947" s="1">
        <f ca="1">IFERROR(__xludf.DUMMYFUNCTION("""COMPUTED_VALUE"""),2.84)</f>
        <v>2.84</v>
      </c>
      <c r="C947" s="1">
        <f ca="1">IFERROR(__xludf.DUMMYFUNCTION("""COMPUTED_VALUE"""),2.84)</f>
        <v>2.84</v>
      </c>
      <c r="D947" s="1">
        <f ca="1">IFERROR(__xludf.DUMMYFUNCTION("""COMPUTED_VALUE"""),2.8)</f>
        <v>2.8</v>
      </c>
      <c r="E947" s="1">
        <f ca="1">IFERROR(__xludf.DUMMYFUNCTION("""COMPUTED_VALUE"""),2.84)</f>
        <v>2.84</v>
      </c>
      <c r="F947" s="1">
        <f ca="1">IFERROR(__xludf.DUMMYFUNCTION("""COMPUTED_VALUE"""),264600)</f>
        <v>264600</v>
      </c>
      <c r="I947" s="1"/>
    </row>
    <row r="948" spans="1:9">
      <c r="A948" s="3">
        <f ca="1">IFERROR(__xludf.DUMMYFUNCTION("""COMPUTED_VALUE"""),30587.6666666666)</f>
        <v>30587.666666666599</v>
      </c>
      <c r="B948" s="1">
        <f ca="1">IFERROR(__xludf.DUMMYFUNCTION("""COMPUTED_VALUE"""),2.81)</f>
        <v>2.81</v>
      </c>
      <c r="C948" s="1">
        <f ca="1">IFERROR(__xludf.DUMMYFUNCTION("""COMPUTED_VALUE"""),2.87)</f>
        <v>2.87</v>
      </c>
      <c r="D948" s="1">
        <f ca="1">IFERROR(__xludf.DUMMYFUNCTION("""COMPUTED_VALUE"""),2.8)</f>
        <v>2.8</v>
      </c>
      <c r="E948" s="1">
        <f ca="1">IFERROR(__xludf.DUMMYFUNCTION("""COMPUTED_VALUE"""),2.81)</f>
        <v>2.81</v>
      </c>
      <c r="F948" s="1">
        <f ca="1">IFERROR(__xludf.DUMMYFUNCTION("""COMPUTED_VALUE"""),240500)</f>
        <v>240500</v>
      </c>
      <c r="I948" s="1"/>
    </row>
    <row r="949" spans="1:9">
      <c r="A949" s="3">
        <f ca="1">IFERROR(__xludf.DUMMYFUNCTION("""COMPUTED_VALUE"""),30588.6666666666)</f>
        <v>30588.666666666599</v>
      </c>
      <c r="B949" s="1">
        <f ca="1">IFERROR(__xludf.DUMMYFUNCTION("""COMPUTED_VALUE"""),2.81)</f>
        <v>2.81</v>
      </c>
      <c r="C949" s="1">
        <f ca="1">IFERROR(__xludf.DUMMYFUNCTION("""COMPUTED_VALUE"""),2.84)</f>
        <v>2.84</v>
      </c>
      <c r="D949" s="1">
        <f ca="1">IFERROR(__xludf.DUMMYFUNCTION("""COMPUTED_VALUE"""),2.8)</f>
        <v>2.8</v>
      </c>
      <c r="E949" s="1">
        <f ca="1">IFERROR(__xludf.DUMMYFUNCTION("""COMPUTED_VALUE"""),2.81)</f>
        <v>2.81</v>
      </c>
      <c r="F949" s="1">
        <f ca="1">IFERROR(__xludf.DUMMYFUNCTION("""COMPUTED_VALUE"""),244900)</f>
        <v>244900</v>
      </c>
      <c r="I949" s="1"/>
    </row>
    <row r="950" spans="1:9">
      <c r="A950" s="3">
        <f ca="1">IFERROR(__xludf.DUMMYFUNCTION("""COMPUTED_VALUE"""),30589.6666666666)</f>
        <v>30589.666666666599</v>
      </c>
      <c r="B950" s="1">
        <f ca="1">IFERROR(__xludf.DUMMYFUNCTION("""COMPUTED_VALUE"""),2.82)</f>
        <v>2.82</v>
      </c>
      <c r="C950" s="1">
        <f ca="1">IFERROR(__xludf.DUMMYFUNCTION("""COMPUTED_VALUE"""),2.85)</f>
        <v>2.85</v>
      </c>
      <c r="D950" s="1">
        <f ca="1">IFERROR(__xludf.DUMMYFUNCTION("""COMPUTED_VALUE"""),2.81)</f>
        <v>2.81</v>
      </c>
      <c r="E950" s="1">
        <f ca="1">IFERROR(__xludf.DUMMYFUNCTION("""COMPUTED_VALUE"""),2.82)</f>
        <v>2.82</v>
      </c>
      <c r="F950" s="1">
        <f ca="1">IFERROR(__xludf.DUMMYFUNCTION("""COMPUTED_VALUE"""),241800)</f>
        <v>241800</v>
      </c>
      <c r="I950" s="1"/>
    </row>
    <row r="951" spans="1:9">
      <c r="A951" s="3">
        <f ca="1">IFERROR(__xludf.DUMMYFUNCTION("""COMPUTED_VALUE"""),30592.6666666666)</f>
        <v>30592.666666666599</v>
      </c>
      <c r="B951" s="1">
        <f ca="1">IFERROR(__xludf.DUMMYFUNCTION("""COMPUTED_VALUE"""),2.81)</f>
        <v>2.81</v>
      </c>
      <c r="C951" s="1">
        <f ca="1">IFERROR(__xludf.DUMMYFUNCTION("""COMPUTED_VALUE"""),2.84)</f>
        <v>2.84</v>
      </c>
      <c r="D951" s="1">
        <f ca="1">IFERROR(__xludf.DUMMYFUNCTION("""COMPUTED_VALUE"""),2.8)</f>
        <v>2.8</v>
      </c>
      <c r="E951" s="1">
        <f ca="1">IFERROR(__xludf.DUMMYFUNCTION("""COMPUTED_VALUE"""),2.81)</f>
        <v>2.81</v>
      </c>
      <c r="F951" s="1">
        <f ca="1">IFERROR(__xludf.DUMMYFUNCTION("""COMPUTED_VALUE"""),400600)</f>
        <v>400600</v>
      </c>
      <c r="I951" s="1"/>
    </row>
    <row r="952" spans="1:9">
      <c r="A952" s="3">
        <f ca="1">IFERROR(__xludf.DUMMYFUNCTION("""COMPUTED_VALUE"""),30593.6666666666)</f>
        <v>30593.666666666599</v>
      </c>
      <c r="B952" s="1">
        <f ca="1">IFERROR(__xludf.DUMMYFUNCTION("""COMPUTED_VALUE"""),2.9)</f>
        <v>2.9</v>
      </c>
      <c r="C952" s="1">
        <f ca="1">IFERROR(__xludf.DUMMYFUNCTION("""COMPUTED_VALUE"""),2.9)</f>
        <v>2.9</v>
      </c>
      <c r="D952" s="1">
        <f ca="1">IFERROR(__xludf.DUMMYFUNCTION("""COMPUTED_VALUE"""),2.82)</f>
        <v>2.82</v>
      </c>
      <c r="E952" s="1">
        <f ca="1">IFERROR(__xludf.DUMMYFUNCTION("""COMPUTED_VALUE"""),2.9)</f>
        <v>2.9</v>
      </c>
      <c r="F952" s="1">
        <f ca="1">IFERROR(__xludf.DUMMYFUNCTION("""COMPUTED_VALUE"""),662200)</f>
        <v>662200</v>
      </c>
      <c r="I952" s="1"/>
    </row>
    <row r="953" spans="1:9">
      <c r="A953" s="3">
        <f ca="1">IFERROR(__xludf.DUMMYFUNCTION("""COMPUTED_VALUE"""),30594.6666666666)</f>
        <v>30594.666666666599</v>
      </c>
      <c r="B953" s="1">
        <f ca="1">IFERROR(__xludf.DUMMYFUNCTION("""COMPUTED_VALUE"""),2.94)</f>
        <v>2.94</v>
      </c>
      <c r="C953" s="1">
        <f ca="1">IFERROR(__xludf.DUMMYFUNCTION("""COMPUTED_VALUE"""),2.98)</f>
        <v>2.98</v>
      </c>
      <c r="D953" s="1">
        <f ca="1">IFERROR(__xludf.DUMMYFUNCTION("""COMPUTED_VALUE"""),2.9)</f>
        <v>2.9</v>
      </c>
      <c r="E953" s="1">
        <f ca="1">IFERROR(__xludf.DUMMYFUNCTION("""COMPUTED_VALUE"""),2.94)</f>
        <v>2.94</v>
      </c>
      <c r="F953" s="1">
        <f ca="1">IFERROR(__xludf.DUMMYFUNCTION("""COMPUTED_VALUE"""),505700)</f>
        <v>505700</v>
      </c>
      <c r="I953" s="1"/>
    </row>
    <row r="954" spans="1:9">
      <c r="A954" s="3">
        <f ca="1">IFERROR(__xludf.DUMMYFUNCTION("""COMPUTED_VALUE"""),30595.6666666666)</f>
        <v>30595.666666666599</v>
      </c>
      <c r="B954" s="1">
        <f ca="1">IFERROR(__xludf.DUMMYFUNCTION("""COMPUTED_VALUE"""),2.99)</f>
        <v>2.99</v>
      </c>
      <c r="C954" s="1">
        <f ca="1">IFERROR(__xludf.DUMMYFUNCTION("""COMPUTED_VALUE"""),2.99)</f>
        <v>2.99</v>
      </c>
      <c r="D954" s="1">
        <f ca="1">IFERROR(__xludf.DUMMYFUNCTION("""COMPUTED_VALUE"""),2.95)</f>
        <v>2.95</v>
      </c>
      <c r="E954" s="1">
        <f ca="1">IFERROR(__xludf.DUMMYFUNCTION("""COMPUTED_VALUE"""),2.99)</f>
        <v>2.99</v>
      </c>
      <c r="F954" s="1">
        <f ca="1">IFERROR(__xludf.DUMMYFUNCTION("""COMPUTED_VALUE"""),617300)</f>
        <v>617300</v>
      </c>
      <c r="I954" s="1"/>
    </row>
    <row r="955" spans="1:9">
      <c r="A955" s="3">
        <f ca="1">IFERROR(__xludf.DUMMYFUNCTION("""COMPUTED_VALUE"""),30596.6666666666)</f>
        <v>30596.666666666599</v>
      </c>
      <c r="B955" s="1">
        <f ca="1">IFERROR(__xludf.DUMMYFUNCTION("""COMPUTED_VALUE"""),2.95)</f>
        <v>2.95</v>
      </c>
      <c r="C955" s="1">
        <f ca="1">IFERROR(__xludf.DUMMYFUNCTION("""COMPUTED_VALUE"""),3)</f>
        <v>3</v>
      </c>
      <c r="D955" s="1">
        <f ca="1">IFERROR(__xludf.DUMMYFUNCTION("""COMPUTED_VALUE"""),2.95)</f>
        <v>2.95</v>
      </c>
      <c r="E955" s="1">
        <f ca="1">IFERROR(__xludf.DUMMYFUNCTION("""COMPUTED_VALUE"""),2.95)</f>
        <v>2.95</v>
      </c>
      <c r="F955" s="1">
        <f ca="1">IFERROR(__xludf.DUMMYFUNCTION("""COMPUTED_VALUE"""),435600)</f>
        <v>435600</v>
      </c>
      <c r="I955" s="1"/>
    </row>
    <row r="956" spans="1:9">
      <c r="A956" s="3">
        <f ca="1">IFERROR(__xludf.DUMMYFUNCTION("""COMPUTED_VALUE"""),30599.6666666666)</f>
        <v>30599.666666666599</v>
      </c>
      <c r="B956" s="1">
        <f ca="1">IFERROR(__xludf.DUMMYFUNCTION("""COMPUTED_VALUE"""),2.96)</f>
        <v>2.96</v>
      </c>
      <c r="C956" s="1">
        <f ca="1">IFERROR(__xludf.DUMMYFUNCTION("""COMPUTED_VALUE"""),2.96)</f>
        <v>2.96</v>
      </c>
      <c r="D956" s="1">
        <f ca="1">IFERROR(__xludf.DUMMYFUNCTION("""COMPUTED_VALUE"""),2.92)</f>
        <v>2.92</v>
      </c>
      <c r="E956" s="1">
        <f ca="1">IFERROR(__xludf.DUMMYFUNCTION("""COMPUTED_VALUE"""),2.96)</f>
        <v>2.96</v>
      </c>
      <c r="F956" s="1">
        <f ca="1">IFERROR(__xludf.DUMMYFUNCTION("""COMPUTED_VALUE"""),150100)</f>
        <v>150100</v>
      </c>
      <c r="I956" s="1"/>
    </row>
    <row r="957" spans="1:9">
      <c r="A957" s="3">
        <f ca="1">IFERROR(__xludf.DUMMYFUNCTION("""COMPUTED_VALUE"""),30600.6666666666)</f>
        <v>30600.666666666599</v>
      </c>
      <c r="B957" s="1">
        <f ca="1">IFERROR(__xludf.DUMMYFUNCTION("""COMPUTED_VALUE"""),2.95)</f>
        <v>2.95</v>
      </c>
      <c r="C957" s="1">
        <f ca="1">IFERROR(__xludf.DUMMYFUNCTION("""COMPUTED_VALUE"""),2.97)</f>
        <v>2.97</v>
      </c>
      <c r="D957" s="1">
        <f ca="1">IFERROR(__xludf.DUMMYFUNCTION("""COMPUTED_VALUE"""),2.93)</f>
        <v>2.93</v>
      </c>
      <c r="E957" s="1">
        <f ca="1">IFERROR(__xludf.DUMMYFUNCTION("""COMPUTED_VALUE"""),2.95)</f>
        <v>2.95</v>
      </c>
      <c r="F957" s="1">
        <f ca="1">IFERROR(__xludf.DUMMYFUNCTION("""COMPUTED_VALUE"""),361100)</f>
        <v>361100</v>
      </c>
      <c r="I957" s="1"/>
    </row>
    <row r="958" spans="1:9">
      <c r="A958" s="3">
        <f ca="1">IFERROR(__xludf.DUMMYFUNCTION("""COMPUTED_VALUE"""),30601.6666666666)</f>
        <v>30601.666666666599</v>
      </c>
      <c r="B958" s="1">
        <f ca="1">IFERROR(__xludf.DUMMYFUNCTION("""COMPUTED_VALUE"""),2.93)</f>
        <v>2.93</v>
      </c>
      <c r="C958" s="1">
        <f ca="1">IFERROR(__xludf.DUMMYFUNCTION("""COMPUTED_VALUE"""),2.96)</f>
        <v>2.96</v>
      </c>
      <c r="D958" s="1">
        <f ca="1">IFERROR(__xludf.DUMMYFUNCTION("""COMPUTED_VALUE"""),2.92)</f>
        <v>2.92</v>
      </c>
      <c r="E958" s="1">
        <f ca="1">IFERROR(__xludf.DUMMYFUNCTION("""COMPUTED_VALUE"""),2.93)</f>
        <v>2.93</v>
      </c>
      <c r="F958" s="1">
        <f ca="1">IFERROR(__xludf.DUMMYFUNCTION("""COMPUTED_VALUE"""),374900)</f>
        <v>374900</v>
      </c>
      <c r="I958" s="1"/>
    </row>
    <row r="959" spans="1:9">
      <c r="A959" s="3">
        <f ca="1">IFERROR(__xludf.DUMMYFUNCTION("""COMPUTED_VALUE"""),30602.6666666666)</f>
        <v>30602.666666666599</v>
      </c>
      <c r="B959" s="1">
        <f ca="1">IFERROR(__xludf.DUMMYFUNCTION("""COMPUTED_VALUE"""),2.87)</f>
        <v>2.87</v>
      </c>
      <c r="C959" s="1">
        <f ca="1">IFERROR(__xludf.DUMMYFUNCTION("""COMPUTED_VALUE"""),2.93)</f>
        <v>2.93</v>
      </c>
      <c r="D959" s="1">
        <f ca="1">IFERROR(__xludf.DUMMYFUNCTION("""COMPUTED_VALUE"""),2.84)</f>
        <v>2.84</v>
      </c>
      <c r="E959" s="1">
        <f ca="1">IFERROR(__xludf.DUMMYFUNCTION("""COMPUTED_VALUE"""),2.87)</f>
        <v>2.87</v>
      </c>
      <c r="F959" s="1">
        <f ca="1">IFERROR(__xludf.DUMMYFUNCTION("""COMPUTED_VALUE"""),381700)</f>
        <v>381700</v>
      </c>
      <c r="I959" s="1"/>
    </row>
    <row r="960" spans="1:9">
      <c r="A960" s="3">
        <f ca="1">IFERROR(__xludf.DUMMYFUNCTION("""COMPUTED_VALUE"""),30603.6666666666)</f>
        <v>30603.666666666599</v>
      </c>
      <c r="B960" s="1">
        <f ca="1">IFERROR(__xludf.DUMMYFUNCTION("""COMPUTED_VALUE"""),2.88)</f>
        <v>2.88</v>
      </c>
      <c r="C960" s="1">
        <f ca="1">IFERROR(__xludf.DUMMYFUNCTION("""COMPUTED_VALUE"""),2.88)</f>
        <v>2.88</v>
      </c>
      <c r="D960" s="1">
        <f ca="1">IFERROR(__xludf.DUMMYFUNCTION("""COMPUTED_VALUE"""),2.84)</f>
        <v>2.84</v>
      </c>
      <c r="E960" s="1">
        <f ca="1">IFERROR(__xludf.DUMMYFUNCTION("""COMPUTED_VALUE"""),2.88)</f>
        <v>2.88</v>
      </c>
      <c r="F960" s="1">
        <f ca="1">IFERROR(__xludf.DUMMYFUNCTION("""COMPUTED_VALUE"""),197000)</f>
        <v>197000</v>
      </c>
      <c r="I960" s="1"/>
    </row>
    <row r="961" spans="1:9">
      <c r="A961" s="3">
        <f ca="1">IFERROR(__xludf.DUMMYFUNCTION("""COMPUTED_VALUE"""),30606.6666666666)</f>
        <v>30606.666666666599</v>
      </c>
      <c r="B961" s="1">
        <f ca="1">IFERROR(__xludf.DUMMYFUNCTION("""COMPUTED_VALUE"""),2.91)</f>
        <v>2.91</v>
      </c>
      <c r="C961" s="1">
        <f ca="1">IFERROR(__xludf.DUMMYFUNCTION("""COMPUTED_VALUE"""),2.93)</f>
        <v>2.93</v>
      </c>
      <c r="D961" s="1">
        <f ca="1">IFERROR(__xludf.DUMMYFUNCTION("""COMPUTED_VALUE"""),2.88)</f>
        <v>2.88</v>
      </c>
      <c r="E961" s="1">
        <f ca="1">IFERROR(__xludf.DUMMYFUNCTION("""COMPUTED_VALUE"""),2.91)</f>
        <v>2.91</v>
      </c>
      <c r="F961" s="1">
        <f ca="1">IFERROR(__xludf.DUMMYFUNCTION("""COMPUTED_VALUE"""),160200)</f>
        <v>160200</v>
      </c>
      <c r="I961" s="1"/>
    </row>
    <row r="962" spans="1:9">
      <c r="A962" s="3">
        <f ca="1">IFERROR(__xludf.DUMMYFUNCTION("""COMPUTED_VALUE"""),30607.6666666666)</f>
        <v>30607.666666666599</v>
      </c>
      <c r="B962" s="1">
        <f ca="1">IFERROR(__xludf.DUMMYFUNCTION("""COMPUTED_VALUE"""),2.85)</f>
        <v>2.85</v>
      </c>
      <c r="C962" s="1">
        <f ca="1">IFERROR(__xludf.DUMMYFUNCTION("""COMPUTED_VALUE"""),2.91)</f>
        <v>2.91</v>
      </c>
      <c r="D962" s="1">
        <f ca="1">IFERROR(__xludf.DUMMYFUNCTION("""COMPUTED_VALUE"""),2.84)</f>
        <v>2.84</v>
      </c>
      <c r="E962" s="1">
        <f ca="1">IFERROR(__xludf.DUMMYFUNCTION("""COMPUTED_VALUE"""),2.85)</f>
        <v>2.85</v>
      </c>
      <c r="F962" s="1">
        <f ca="1">IFERROR(__xludf.DUMMYFUNCTION("""COMPUTED_VALUE"""),158700)</f>
        <v>158700</v>
      </c>
      <c r="I962" s="1"/>
    </row>
    <row r="963" spans="1:9">
      <c r="A963" s="3">
        <f ca="1">IFERROR(__xludf.DUMMYFUNCTION("""COMPUTED_VALUE"""),30608.6666666666)</f>
        <v>30608.666666666599</v>
      </c>
      <c r="B963" s="1">
        <f ca="1">IFERROR(__xludf.DUMMYFUNCTION("""COMPUTED_VALUE"""),2.84)</f>
        <v>2.84</v>
      </c>
      <c r="C963" s="1">
        <f ca="1">IFERROR(__xludf.DUMMYFUNCTION("""COMPUTED_VALUE"""),2.85)</f>
        <v>2.85</v>
      </c>
      <c r="D963" s="1">
        <f ca="1">IFERROR(__xludf.DUMMYFUNCTION("""COMPUTED_VALUE"""),2.81)</f>
        <v>2.81</v>
      </c>
      <c r="E963" s="1">
        <f ca="1">IFERROR(__xludf.DUMMYFUNCTION("""COMPUTED_VALUE"""),2.84)</f>
        <v>2.84</v>
      </c>
      <c r="F963" s="1">
        <f ca="1">IFERROR(__xludf.DUMMYFUNCTION("""COMPUTED_VALUE"""),275500)</f>
        <v>275500</v>
      </c>
      <c r="I963" s="1"/>
    </row>
    <row r="964" spans="1:9">
      <c r="A964" s="3">
        <f ca="1">IFERROR(__xludf.DUMMYFUNCTION("""COMPUTED_VALUE"""),30609.6666666666)</f>
        <v>30609.666666666599</v>
      </c>
      <c r="B964" s="1">
        <f ca="1">IFERROR(__xludf.DUMMYFUNCTION("""COMPUTED_VALUE"""),2.88)</f>
        <v>2.88</v>
      </c>
      <c r="C964" s="1">
        <f ca="1">IFERROR(__xludf.DUMMYFUNCTION("""COMPUTED_VALUE"""),2.88)</f>
        <v>2.88</v>
      </c>
      <c r="D964" s="1">
        <f ca="1">IFERROR(__xludf.DUMMYFUNCTION("""COMPUTED_VALUE"""),2.85)</f>
        <v>2.85</v>
      </c>
      <c r="E964" s="1">
        <f ca="1">IFERROR(__xludf.DUMMYFUNCTION("""COMPUTED_VALUE"""),2.88)</f>
        <v>2.88</v>
      </c>
      <c r="F964" s="1">
        <f ca="1">IFERROR(__xludf.DUMMYFUNCTION("""COMPUTED_VALUE"""),155600)</f>
        <v>155600</v>
      </c>
      <c r="I964" s="1"/>
    </row>
    <row r="965" spans="1:9">
      <c r="A965" s="3">
        <f ca="1">IFERROR(__xludf.DUMMYFUNCTION("""COMPUTED_VALUE"""),30610.6666666666)</f>
        <v>30610.666666666599</v>
      </c>
      <c r="B965" s="1">
        <f ca="1">IFERROR(__xludf.DUMMYFUNCTION("""COMPUTED_VALUE"""),2.88)</f>
        <v>2.88</v>
      </c>
      <c r="C965" s="1">
        <f ca="1">IFERROR(__xludf.DUMMYFUNCTION("""COMPUTED_VALUE"""),2.88)</f>
        <v>2.88</v>
      </c>
      <c r="D965" s="1">
        <f ca="1">IFERROR(__xludf.DUMMYFUNCTION("""COMPUTED_VALUE"""),2.84)</f>
        <v>2.84</v>
      </c>
      <c r="E965" s="1">
        <f ca="1">IFERROR(__xludf.DUMMYFUNCTION("""COMPUTED_VALUE"""),2.88)</f>
        <v>2.88</v>
      </c>
      <c r="F965" s="1">
        <f ca="1">IFERROR(__xludf.DUMMYFUNCTION("""COMPUTED_VALUE"""),183200)</f>
        <v>183200</v>
      </c>
      <c r="I965" s="1"/>
    </row>
    <row r="966" spans="1:9">
      <c r="A966" s="3">
        <f ca="1">IFERROR(__xludf.DUMMYFUNCTION("""COMPUTED_VALUE"""),30613.6666666666)</f>
        <v>30613.666666666599</v>
      </c>
      <c r="B966" s="1">
        <f ca="1">IFERROR(__xludf.DUMMYFUNCTION("""COMPUTED_VALUE"""),2.84)</f>
        <v>2.84</v>
      </c>
      <c r="C966" s="1">
        <f ca="1">IFERROR(__xludf.DUMMYFUNCTION("""COMPUTED_VALUE"""),2.88)</f>
        <v>2.88</v>
      </c>
      <c r="D966" s="1">
        <f ca="1">IFERROR(__xludf.DUMMYFUNCTION("""COMPUTED_VALUE"""),2.84)</f>
        <v>2.84</v>
      </c>
      <c r="E966" s="1">
        <f ca="1">IFERROR(__xludf.DUMMYFUNCTION("""COMPUTED_VALUE"""),2.84)</f>
        <v>2.84</v>
      </c>
      <c r="F966" s="1">
        <f ca="1">IFERROR(__xludf.DUMMYFUNCTION("""COMPUTED_VALUE"""),197000)</f>
        <v>197000</v>
      </c>
      <c r="I966" s="1"/>
    </row>
    <row r="967" spans="1:9">
      <c r="A967" s="3">
        <f ca="1">IFERROR(__xludf.DUMMYFUNCTION("""COMPUTED_VALUE"""),30614.6666666666)</f>
        <v>30614.666666666599</v>
      </c>
      <c r="B967" s="1">
        <f ca="1">IFERROR(__xludf.DUMMYFUNCTION("""COMPUTED_VALUE"""),2.84)</f>
        <v>2.84</v>
      </c>
      <c r="C967" s="1">
        <f ca="1">IFERROR(__xludf.DUMMYFUNCTION("""COMPUTED_VALUE"""),2.86)</f>
        <v>2.86</v>
      </c>
      <c r="D967" s="1">
        <f ca="1">IFERROR(__xludf.DUMMYFUNCTION("""COMPUTED_VALUE"""),2.83)</f>
        <v>2.83</v>
      </c>
      <c r="E967" s="1">
        <f ca="1">IFERROR(__xludf.DUMMYFUNCTION("""COMPUTED_VALUE"""),2.84)</f>
        <v>2.84</v>
      </c>
      <c r="F967" s="1">
        <f ca="1">IFERROR(__xludf.DUMMYFUNCTION("""COMPUTED_VALUE"""),167100)</f>
        <v>167100</v>
      </c>
      <c r="I967" s="1"/>
    </row>
    <row r="968" spans="1:9">
      <c r="A968" s="3">
        <f ca="1">IFERROR(__xludf.DUMMYFUNCTION("""COMPUTED_VALUE"""),30615.6666666666)</f>
        <v>30615.666666666599</v>
      </c>
      <c r="B968" s="1">
        <f ca="1">IFERROR(__xludf.DUMMYFUNCTION("""COMPUTED_VALUE"""),2.76)</f>
        <v>2.76</v>
      </c>
      <c r="C968" s="1">
        <f ca="1">IFERROR(__xludf.DUMMYFUNCTION("""COMPUTED_VALUE"""),2.84)</f>
        <v>2.84</v>
      </c>
      <c r="D968" s="1">
        <f ca="1">IFERROR(__xludf.DUMMYFUNCTION("""COMPUTED_VALUE"""),2.75)</f>
        <v>2.75</v>
      </c>
      <c r="E968" s="1">
        <f ca="1">IFERROR(__xludf.DUMMYFUNCTION("""COMPUTED_VALUE"""),2.76)</f>
        <v>2.76</v>
      </c>
      <c r="F968" s="1">
        <f ca="1">IFERROR(__xludf.DUMMYFUNCTION("""COMPUTED_VALUE"""),551200)</f>
        <v>551200</v>
      </c>
      <c r="I968" s="1"/>
    </row>
    <row r="969" spans="1:9">
      <c r="A969" s="3">
        <f ca="1">IFERROR(__xludf.DUMMYFUNCTION("""COMPUTED_VALUE"""),30616.6666666666)</f>
        <v>30616.666666666599</v>
      </c>
      <c r="B969" s="1">
        <f ca="1">IFERROR(__xludf.DUMMYFUNCTION("""COMPUTED_VALUE"""),2.8)</f>
        <v>2.8</v>
      </c>
      <c r="C969" s="1">
        <f ca="1">IFERROR(__xludf.DUMMYFUNCTION("""COMPUTED_VALUE"""),2.82)</f>
        <v>2.82</v>
      </c>
      <c r="D969" s="1">
        <f ca="1">IFERROR(__xludf.DUMMYFUNCTION("""COMPUTED_VALUE"""),2.75)</f>
        <v>2.75</v>
      </c>
      <c r="E969" s="1">
        <f ca="1">IFERROR(__xludf.DUMMYFUNCTION("""COMPUTED_VALUE"""),2.8)</f>
        <v>2.8</v>
      </c>
      <c r="F969" s="1">
        <f ca="1">IFERROR(__xludf.DUMMYFUNCTION("""COMPUTED_VALUE"""),322600)</f>
        <v>322600</v>
      </c>
      <c r="I969" s="1"/>
    </row>
    <row r="970" spans="1:9">
      <c r="A970" s="3">
        <f ca="1">IFERROR(__xludf.DUMMYFUNCTION("""COMPUTED_VALUE"""),30617.6666666666)</f>
        <v>30617.666666666599</v>
      </c>
      <c r="B970" s="1">
        <f ca="1">IFERROR(__xludf.DUMMYFUNCTION("""COMPUTED_VALUE"""),2.77)</f>
        <v>2.77</v>
      </c>
      <c r="C970" s="1">
        <f ca="1">IFERROR(__xludf.DUMMYFUNCTION("""COMPUTED_VALUE"""),2.8)</f>
        <v>2.8</v>
      </c>
      <c r="D970" s="1">
        <f ca="1">IFERROR(__xludf.DUMMYFUNCTION("""COMPUTED_VALUE"""),2.76)</f>
        <v>2.76</v>
      </c>
      <c r="E970" s="1">
        <f ca="1">IFERROR(__xludf.DUMMYFUNCTION("""COMPUTED_VALUE"""),2.77)</f>
        <v>2.77</v>
      </c>
      <c r="F970" s="1">
        <f ca="1">IFERROR(__xludf.DUMMYFUNCTION("""COMPUTED_VALUE"""),125100)</f>
        <v>125100</v>
      </c>
      <c r="I970" s="1"/>
    </row>
    <row r="971" spans="1:9">
      <c r="A971" s="3">
        <f ca="1">IFERROR(__xludf.DUMMYFUNCTION("""COMPUTED_VALUE"""),30620.6666666666)</f>
        <v>30620.666666666599</v>
      </c>
      <c r="B971" s="1">
        <f ca="1">IFERROR(__xludf.DUMMYFUNCTION("""COMPUTED_VALUE"""),2.74)</f>
        <v>2.74</v>
      </c>
      <c r="C971" s="1">
        <f ca="1">IFERROR(__xludf.DUMMYFUNCTION("""COMPUTED_VALUE"""),2.78)</f>
        <v>2.78</v>
      </c>
      <c r="D971" s="1">
        <f ca="1">IFERROR(__xludf.DUMMYFUNCTION("""COMPUTED_VALUE"""),2.7)</f>
        <v>2.7</v>
      </c>
      <c r="E971" s="1">
        <f ca="1">IFERROR(__xludf.DUMMYFUNCTION("""COMPUTED_VALUE"""),2.74)</f>
        <v>2.74</v>
      </c>
      <c r="F971" s="1">
        <f ca="1">IFERROR(__xludf.DUMMYFUNCTION("""COMPUTED_VALUE"""),377400)</f>
        <v>377400</v>
      </c>
      <c r="I971" s="1"/>
    </row>
    <row r="972" spans="1:9">
      <c r="A972" s="3">
        <f ca="1">IFERROR(__xludf.DUMMYFUNCTION("""COMPUTED_VALUE"""),30621.6666666666)</f>
        <v>30621.666666666599</v>
      </c>
      <c r="B972" s="1">
        <f ca="1">IFERROR(__xludf.DUMMYFUNCTION("""COMPUTED_VALUE"""),2.75)</f>
        <v>2.75</v>
      </c>
      <c r="C972" s="1">
        <f ca="1">IFERROR(__xludf.DUMMYFUNCTION("""COMPUTED_VALUE"""),2.75)</f>
        <v>2.75</v>
      </c>
      <c r="D972" s="1">
        <f ca="1">IFERROR(__xludf.DUMMYFUNCTION("""COMPUTED_VALUE"""),2.69)</f>
        <v>2.69</v>
      </c>
      <c r="E972" s="1">
        <f ca="1">IFERROR(__xludf.DUMMYFUNCTION("""COMPUTED_VALUE"""),2.75)</f>
        <v>2.75</v>
      </c>
      <c r="F972" s="1">
        <f ca="1">IFERROR(__xludf.DUMMYFUNCTION("""COMPUTED_VALUE"""),237500)</f>
        <v>237500</v>
      </c>
      <c r="I972" s="1"/>
    </row>
    <row r="973" spans="1:9">
      <c r="A973" s="3">
        <f ca="1">IFERROR(__xludf.DUMMYFUNCTION("""COMPUTED_VALUE"""),30622.6666666666)</f>
        <v>30622.666666666599</v>
      </c>
      <c r="B973" s="1">
        <f ca="1">IFERROR(__xludf.DUMMYFUNCTION("""COMPUTED_VALUE"""),2.73)</f>
        <v>2.73</v>
      </c>
      <c r="C973" s="1">
        <f ca="1">IFERROR(__xludf.DUMMYFUNCTION("""COMPUTED_VALUE"""),2.77)</f>
        <v>2.77</v>
      </c>
      <c r="D973" s="1">
        <f ca="1">IFERROR(__xludf.DUMMYFUNCTION("""COMPUTED_VALUE"""),2.71)</f>
        <v>2.71</v>
      </c>
      <c r="E973" s="1">
        <f ca="1">IFERROR(__xludf.DUMMYFUNCTION("""COMPUTED_VALUE"""),2.73)</f>
        <v>2.73</v>
      </c>
      <c r="F973" s="1">
        <f ca="1">IFERROR(__xludf.DUMMYFUNCTION("""COMPUTED_VALUE"""),262300)</f>
        <v>262300</v>
      </c>
      <c r="I973" s="1"/>
    </row>
    <row r="974" spans="1:9">
      <c r="A974" s="3">
        <f ca="1">IFERROR(__xludf.DUMMYFUNCTION("""COMPUTED_VALUE"""),30623.6666666666)</f>
        <v>30623.666666666599</v>
      </c>
      <c r="B974" s="1">
        <f ca="1">IFERROR(__xludf.DUMMYFUNCTION("""COMPUTED_VALUE"""),2.77)</f>
        <v>2.77</v>
      </c>
      <c r="C974" s="1">
        <f ca="1">IFERROR(__xludf.DUMMYFUNCTION("""COMPUTED_VALUE"""),2.8)</f>
        <v>2.8</v>
      </c>
      <c r="D974" s="1">
        <f ca="1">IFERROR(__xludf.DUMMYFUNCTION("""COMPUTED_VALUE"""),2.7)</f>
        <v>2.7</v>
      </c>
      <c r="E974" s="1">
        <f ca="1">IFERROR(__xludf.DUMMYFUNCTION("""COMPUTED_VALUE"""),2.77)</f>
        <v>2.77</v>
      </c>
      <c r="F974" s="1">
        <f ca="1">IFERROR(__xludf.DUMMYFUNCTION("""COMPUTED_VALUE"""),296500)</f>
        <v>296500</v>
      </c>
      <c r="I974" s="1"/>
    </row>
    <row r="975" spans="1:9">
      <c r="A975" s="3">
        <f ca="1">IFERROR(__xludf.DUMMYFUNCTION("""COMPUTED_VALUE"""),30624.6666666666)</f>
        <v>30624.666666666599</v>
      </c>
      <c r="B975" s="1">
        <f ca="1">IFERROR(__xludf.DUMMYFUNCTION("""COMPUTED_VALUE"""),2.78)</f>
        <v>2.78</v>
      </c>
      <c r="C975" s="1">
        <f ca="1">IFERROR(__xludf.DUMMYFUNCTION("""COMPUTED_VALUE"""),2.79)</f>
        <v>2.79</v>
      </c>
      <c r="D975" s="1">
        <f ca="1">IFERROR(__xludf.DUMMYFUNCTION("""COMPUTED_VALUE"""),2.77)</f>
        <v>2.77</v>
      </c>
      <c r="E975" s="1">
        <f ca="1">IFERROR(__xludf.DUMMYFUNCTION("""COMPUTED_VALUE"""),2.78)</f>
        <v>2.78</v>
      </c>
      <c r="F975" s="1">
        <f ca="1">IFERROR(__xludf.DUMMYFUNCTION("""COMPUTED_VALUE"""),260300)</f>
        <v>260300</v>
      </c>
      <c r="I975" s="1"/>
    </row>
    <row r="976" spans="1:9">
      <c r="A976" s="3">
        <f ca="1">IFERROR(__xludf.DUMMYFUNCTION("""COMPUTED_VALUE"""),30627.6666666666)</f>
        <v>30627.666666666599</v>
      </c>
      <c r="B976" s="1">
        <f ca="1">IFERROR(__xludf.DUMMYFUNCTION("""COMPUTED_VALUE"""),2.8)</f>
        <v>2.8</v>
      </c>
      <c r="C976" s="1">
        <f ca="1">IFERROR(__xludf.DUMMYFUNCTION("""COMPUTED_VALUE"""),2.8)</f>
        <v>2.8</v>
      </c>
      <c r="D976" s="1">
        <f ca="1">IFERROR(__xludf.DUMMYFUNCTION("""COMPUTED_VALUE"""),2.77)</f>
        <v>2.77</v>
      </c>
      <c r="E976" s="1">
        <f ca="1">IFERROR(__xludf.DUMMYFUNCTION("""COMPUTED_VALUE"""),2.8)</f>
        <v>2.8</v>
      </c>
      <c r="F976" s="1">
        <f ca="1">IFERROR(__xludf.DUMMYFUNCTION("""COMPUTED_VALUE"""),186600)</f>
        <v>186600</v>
      </c>
      <c r="I976" s="1"/>
    </row>
    <row r="977" spans="1:9">
      <c r="A977" s="3">
        <f ca="1">IFERROR(__xludf.DUMMYFUNCTION("""COMPUTED_VALUE"""),30628.6666666666)</f>
        <v>30628.666666666599</v>
      </c>
      <c r="B977" s="1">
        <f ca="1">IFERROR(__xludf.DUMMYFUNCTION("""COMPUTED_VALUE"""),2.79)</f>
        <v>2.79</v>
      </c>
      <c r="C977" s="1">
        <f ca="1">IFERROR(__xludf.DUMMYFUNCTION("""COMPUTED_VALUE"""),2.79)</f>
        <v>2.79</v>
      </c>
      <c r="D977" s="1">
        <f ca="1">IFERROR(__xludf.DUMMYFUNCTION("""COMPUTED_VALUE"""),2.77)</f>
        <v>2.77</v>
      </c>
      <c r="E977" s="1">
        <f ca="1">IFERROR(__xludf.DUMMYFUNCTION("""COMPUTED_VALUE"""),2.79)</f>
        <v>2.79</v>
      </c>
      <c r="F977" s="1">
        <f ca="1">IFERROR(__xludf.DUMMYFUNCTION("""COMPUTED_VALUE"""),355000)</f>
        <v>355000</v>
      </c>
      <c r="I977" s="1"/>
    </row>
    <row r="978" spans="1:9">
      <c r="A978" s="3">
        <f ca="1">IFERROR(__xludf.DUMMYFUNCTION("""COMPUTED_VALUE"""),30629.6666666666)</f>
        <v>30629.666666666599</v>
      </c>
      <c r="B978" s="1">
        <f ca="1">IFERROR(__xludf.DUMMYFUNCTION("""COMPUTED_VALUE"""),2.75)</f>
        <v>2.75</v>
      </c>
      <c r="C978" s="1">
        <f ca="1">IFERROR(__xludf.DUMMYFUNCTION("""COMPUTED_VALUE"""),2.78)</f>
        <v>2.78</v>
      </c>
      <c r="D978" s="1">
        <f ca="1">IFERROR(__xludf.DUMMYFUNCTION("""COMPUTED_VALUE"""),2.73)</f>
        <v>2.73</v>
      </c>
      <c r="E978" s="1">
        <f ca="1">IFERROR(__xludf.DUMMYFUNCTION("""COMPUTED_VALUE"""),2.75)</f>
        <v>2.75</v>
      </c>
      <c r="F978" s="1">
        <f ca="1">IFERROR(__xludf.DUMMYFUNCTION("""COMPUTED_VALUE"""),189100)</f>
        <v>189100</v>
      </c>
      <c r="I978" s="1"/>
    </row>
    <row r="979" spans="1:9">
      <c r="A979" s="3">
        <f ca="1">IFERROR(__xludf.DUMMYFUNCTION("""COMPUTED_VALUE"""),30630.6666666666)</f>
        <v>30630.666666666599</v>
      </c>
      <c r="B979" s="1">
        <f ca="1">IFERROR(__xludf.DUMMYFUNCTION("""COMPUTED_VALUE"""),2.75)</f>
        <v>2.75</v>
      </c>
      <c r="C979" s="1">
        <f ca="1">IFERROR(__xludf.DUMMYFUNCTION("""COMPUTED_VALUE"""),2.76)</f>
        <v>2.76</v>
      </c>
      <c r="D979" s="1">
        <f ca="1">IFERROR(__xludf.DUMMYFUNCTION("""COMPUTED_VALUE"""),2.73)</f>
        <v>2.73</v>
      </c>
      <c r="E979" s="1">
        <f ca="1">IFERROR(__xludf.DUMMYFUNCTION("""COMPUTED_VALUE"""),2.75)</f>
        <v>2.75</v>
      </c>
      <c r="F979" s="1">
        <f ca="1">IFERROR(__xludf.DUMMYFUNCTION("""COMPUTED_VALUE"""),143900)</f>
        <v>143900</v>
      </c>
      <c r="I979" s="1"/>
    </row>
    <row r="980" spans="1:9">
      <c r="A980" s="3">
        <f ca="1">IFERROR(__xludf.DUMMYFUNCTION("""COMPUTED_VALUE"""),30631.6666666666)</f>
        <v>30631.666666666599</v>
      </c>
      <c r="B980" s="1">
        <f ca="1">IFERROR(__xludf.DUMMYFUNCTION("""COMPUTED_VALUE"""),2.77)</f>
        <v>2.77</v>
      </c>
      <c r="C980" s="1">
        <f ca="1">IFERROR(__xludf.DUMMYFUNCTION("""COMPUTED_VALUE"""),2.77)</f>
        <v>2.77</v>
      </c>
      <c r="D980" s="1">
        <f ca="1">IFERROR(__xludf.DUMMYFUNCTION("""COMPUTED_VALUE"""),2.73)</f>
        <v>2.73</v>
      </c>
      <c r="E980" s="1">
        <f ca="1">IFERROR(__xludf.DUMMYFUNCTION("""COMPUTED_VALUE"""),2.77)</f>
        <v>2.77</v>
      </c>
      <c r="F980" s="1">
        <f ca="1">IFERROR(__xludf.DUMMYFUNCTION("""COMPUTED_VALUE"""),675100)</f>
        <v>675100</v>
      </c>
      <c r="I980" s="1"/>
    </row>
    <row r="981" spans="1:9">
      <c r="A981" s="3">
        <f ca="1">IFERROR(__xludf.DUMMYFUNCTION("""COMPUTED_VALUE"""),30634.6666666666)</f>
        <v>30634.666666666599</v>
      </c>
      <c r="B981" s="1">
        <f ca="1">IFERROR(__xludf.DUMMYFUNCTION("""COMPUTED_VALUE"""),2.77)</f>
        <v>2.77</v>
      </c>
      <c r="C981" s="1">
        <f ca="1">IFERROR(__xludf.DUMMYFUNCTION("""COMPUTED_VALUE"""),2.78)</f>
        <v>2.78</v>
      </c>
      <c r="D981" s="1">
        <f ca="1">IFERROR(__xludf.DUMMYFUNCTION("""COMPUTED_VALUE"""),2.73)</f>
        <v>2.73</v>
      </c>
      <c r="E981" s="1">
        <f ca="1">IFERROR(__xludf.DUMMYFUNCTION("""COMPUTED_VALUE"""),2.77)</f>
        <v>2.77</v>
      </c>
      <c r="F981" s="1">
        <f ca="1">IFERROR(__xludf.DUMMYFUNCTION("""COMPUTED_VALUE"""),211300)</f>
        <v>211300</v>
      </c>
      <c r="I981" s="1"/>
    </row>
    <row r="982" spans="1:9">
      <c r="A982" s="3">
        <f ca="1">IFERROR(__xludf.DUMMYFUNCTION("""COMPUTED_VALUE"""),30635.6666666666)</f>
        <v>30635.666666666599</v>
      </c>
      <c r="B982" s="1">
        <f ca="1">IFERROR(__xludf.DUMMYFUNCTION("""COMPUTED_VALUE"""),2.77)</f>
        <v>2.77</v>
      </c>
      <c r="C982" s="1">
        <f ca="1">IFERROR(__xludf.DUMMYFUNCTION("""COMPUTED_VALUE"""),2.78)</f>
        <v>2.78</v>
      </c>
      <c r="D982" s="1">
        <f ca="1">IFERROR(__xludf.DUMMYFUNCTION("""COMPUTED_VALUE"""),2.75)</f>
        <v>2.75</v>
      </c>
      <c r="E982" s="1">
        <f ca="1">IFERROR(__xludf.DUMMYFUNCTION("""COMPUTED_VALUE"""),2.77)</f>
        <v>2.77</v>
      </c>
      <c r="F982" s="1">
        <f ca="1">IFERROR(__xludf.DUMMYFUNCTION("""COMPUTED_VALUE"""),127300)</f>
        <v>127300</v>
      </c>
      <c r="I982" s="1"/>
    </row>
    <row r="983" spans="1:9">
      <c r="A983" s="3">
        <f ca="1">IFERROR(__xludf.DUMMYFUNCTION("""COMPUTED_VALUE"""),30636.6666666666)</f>
        <v>30636.666666666599</v>
      </c>
      <c r="B983" s="1">
        <f ca="1">IFERROR(__xludf.DUMMYFUNCTION("""COMPUTED_VALUE"""),2.75)</f>
        <v>2.75</v>
      </c>
      <c r="C983" s="1">
        <f ca="1">IFERROR(__xludf.DUMMYFUNCTION("""COMPUTED_VALUE"""),2.77)</f>
        <v>2.77</v>
      </c>
      <c r="D983" s="1">
        <f ca="1">IFERROR(__xludf.DUMMYFUNCTION("""COMPUTED_VALUE"""),2.72)</f>
        <v>2.72</v>
      </c>
      <c r="E983" s="1">
        <f ca="1">IFERROR(__xludf.DUMMYFUNCTION("""COMPUTED_VALUE"""),2.75)</f>
        <v>2.75</v>
      </c>
      <c r="F983" s="1">
        <f ca="1">IFERROR(__xludf.DUMMYFUNCTION("""COMPUTED_VALUE"""),246500)</f>
        <v>246500</v>
      </c>
      <c r="I983" s="1"/>
    </row>
    <row r="984" spans="1:9">
      <c r="A984" s="3">
        <f ca="1">IFERROR(__xludf.DUMMYFUNCTION("""COMPUTED_VALUE"""),30637.6666666666)</f>
        <v>30637.666666666599</v>
      </c>
      <c r="B984" s="1">
        <f ca="1">IFERROR(__xludf.DUMMYFUNCTION("""COMPUTED_VALUE"""),2.72)</f>
        <v>2.72</v>
      </c>
      <c r="C984" s="1">
        <f ca="1">IFERROR(__xludf.DUMMYFUNCTION("""COMPUTED_VALUE"""),2.74)</f>
        <v>2.74</v>
      </c>
      <c r="D984" s="1">
        <f ca="1">IFERROR(__xludf.DUMMYFUNCTION("""COMPUTED_VALUE"""),2.71)</f>
        <v>2.71</v>
      </c>
      <c r="E984" s="1">
        <f ca="1">IFERROR(__xludf.DUMMYFUNCTION("""COMPUTED_VALUE"""),2.72)</f>
        <v>2.72</v>
      </c>
      <c r="F984" s="1">
        <f ca="1">IFERROR(__xludf.DUMMYFUNCTION("""COMPUTED_VALUE"""),137500)</f>
        <v>137500</v>
      </c>
      <c r="I984" s="1"/>
    </row>
    <row r="985" spans="1:9">
      <c r="A985" s="3">
        <f ca="1">IFERROR(__xludf.DUMMYFUNCTION("""COMPUTED_VALUE"""),30638.6666666666)</f>
        <v>30638.666666666599</v>
      </c>
      <c r="B985" s="1">
        <f ca="1">IFERROR(__xludf.DUMMYFUNCTION("""COMPUTED_VALUE"""),2.64)</f>
        <v>2.64</v>
      </c>
      <c r="C985" s="1">
        <f ca="1">IFERROR(__xludf.DUMMYFUNCTION("""COMPUTED_VALUE"""),2.72)</f>
        <v>2.72</v>
      </c>
      <c r="D985" s="1">
        <f ca="1">IFERROR(__xludf.DUMMYFUNCTION("""COMPUTED_VALUE"""),2.63)</f>
        <v>2.63</v>
      </c>
      <c r="E985" s="1">
        <f ca="1">IFERROR(__xludf.DUMMYFUNCTION("""COMPUTED_VALUE"""),2.64)</f>
        <v>2.64</v>
      </c>
      <c r="F985" s="1">
        <f ca="1">IFERROR(__xludf.DUMMYFUNCTION("""COMPUTED_VALUE"""),270700)</f>
        <v>270700</v>
      </c>
      <c r="I985" s="1"/>
    </row>
    <row r="986" spans="1:9">
      <c r="A986" s="3">
        <f ca="1">IFERROR(__xludf.DUMMYFUNCTION("""COMPUTED_VALUE"""),30641.6666666666)</f>
        <v>30641.666666666599</v>
      </c>
      <c r="B986" s="1">
        <f ca="1">IFERROR(__xludf.DUMMYFUNCTION("""COMPUTED_VALUE"""),2.63)</f>
        <v>2.63</v>
      </c>
      <c r="C986" s="1">
        <f ca="1">IFERROR(__xludf.DUMMYFUNCTION("""COMPUTED_VALUE"""),2.68)</f>
        <v>2.68</v>
      </c>
      <c r="D986" s="1">
        <f ca="1">IFERROR(__xludf.DUMMYFUNCTION("""COMPUTED_VALUE"""),2.6)</f>
        <v>2.6</v>
      </c>
      <c r="E986" s="1">
        <f ca="1">IFERROR(__xludf.DUMMYFUNCTION("""COMPUTED_VALUE"""),2.63)</f>
        <v>2.63</v>
      </c>
      <c r="F986" s="1">
        <f ca="1">IFERROR(__xludf.DUMMYFUNCTION("""COMPUTED_VALUE"""),500100)</f>
        <v>500100</v>
      </c>
      <c r="I986" s="1"/>
    </row>
    <row r="987" spans="1:9">
      <c r="A987" s="3">
        <f ca="1">IFERROR(__xludf.DUMMYFUNCTION("""COMPUTED_VALUE"""),30642.6666666666)</f>
        <v>30642.666666666599</v>
      </c>
      <c r="B987" s="1">
        <f ca="1">IFERROR(__xludf.DUMMYFUNCTION("""COMPUTED_VALUE"""),2.63)</f>
        <v>2.63</v>
      </c>
      <c r="C987" s="1">
        <f ca="1">IFERROR(__xludf.DUMMYFUNCTION("""COMPUTED_VALUE"""),2.67)</f>
        <v>2.67</v>
      </c>
      <c r="D987" s="1">
        <f ca="1">IFERROR(__xludf.DUMMYFUNCTION("""COMPUTED_VALUE"""),2.61)</f>
        <v>2.61</v>
      </c>
      <c r="E987" s="1">
        <f ca="1">IFERROR(__xludf.DUMMYFUNCTION("""COMPUTED_VALUE"""),2.63)</f>
        <v>2.63</v>
      </c>
      <c r="F987" s="1">
        <f ca="1">IFERROR(__xludf.DUMMYFUNCTION("""COMPUTED_VALUE"""),516200)</f>
        <v>516200</v>
      </c>
      <c r="I987" s="1"/>
    </row>
    <row r="988" spans="1:9">
      <c r="A988" s="3">
        <f ca="1">IFERROR(__xludf.DUMMYFUNCTION("""COMPUTED_VALUE"""),30643.6666666666)</f>
        <v>30643.666666666599</v>
      </c>
      <c r="B988" s="1">
        <f ca="1">IFERROR(__xludf.DUMMYFUNCTION("""COMPUTED_VALUE"""),2.64)</f>
        <v>2.64</v>
      </c>
      <c r="C988" s="1">
        <f ca="1">IFERROR(__xludf.DUMMYFUNCTION("""COMPUTED_VALUE"""),2.64)</f>
        <v>2.64</v>
      </c>
      <c r="D988" s="1">
        <f ca="1">IFERROR(__xludf.DUMMYFUNCTION("""COMPUTED_VALUE"""),2.61)</f>
        <v>2.61</v>
      </c>
      <c r="E988" s="1">
        <f ca="1">IFERROR(__xludf.DUMMYFUNCTION("""COMPUTED_VALUE"""),2.64)</f>
        <v>2.64</v>
      </c>
      <c r="F988" s="1">
        <f ca="1">IFERROR(__xludf.DUMMYFUNCTION("""COMPUTED_VALUE"""),408400)</f>
        <v>408400</v>
      </c>
      <c r="I988" s="1"/>
    </row>
    <row r="989" spans="1:9">
      <c r="A989" s="3">
        <f ca="1">IFERROR(__xludf.DUMMYFUNCTION("""COMPUTED_VALUE"""),30645.6666666666)</f>
        <v>30645.666666666599</v>
      </c>
      <c r="B989" s="1">
        <f ca="1">IFERROR(__xludf.DUMMYFUNCTION("""COMPUTED_VALUE"""),2.65)</f>
        <v>2.65</v>
      </c>
      <c r="C989" s="1">
        <f ca="1">IFERROR(__xludf.DUMMYFUNCTION("""COMPUTED_VALUE"""),2.67)</f>
        <v>2.67</v>
      </c>
      <c r="D989" s="1">
        <f ca="1">IFERROR(__xludf.DUMMYFUNCTION("""COMPUTED_VALUE"""),2.63)</f>
        <v>2.63</v>
      </c>
      <c r="E989" s="1">
        <f ca="1">IFERROR(__xludf.DUMMYFUNCTION("""COMPUTED_VALUE"""),2.65)</f>
        <v>2.65</v>
      </c>
      <c r="F989" s="1">
        <f ca="1">IFERROR(__xludf.DUMMYFUNCTION("""COMPUTED_VALUE"""),193400)</f>
        <v>193400</v>
      </c>
      <c r="I989" s="1"/>
    </row>
    <row r="990" spans="1:9">
      <c r="A990" s="3">
        <f ca="1">IFERROR(__xludf.DUMMYFUNCTION("""COMPUTED_VALUE"""),30648.6666666666)</f>
        <v>30648.666666666599</v>
      </c>
      <c r="B990" s="1">
        <f ca="1">IFERROR(__xludf.DUMMYFUNCTION("""COMPUTED_VALUE"""),2.62)</f>
        <v>2.62</v>
      </c>
      <c r="C990" s="1">
        <f ca="1">IFERROR(__xludf.DUMMYFUNCTION("""COMPUTED_VALUE"""),2.63)</f>
        <v>2.63</v>
      </c>
      <c r="D990" s="1">
        <f ca="1">IFERROR(__xludf.DUMMYFUNCTION("""COMPUTED_VALUE"""),2.59)</f>
        <v>2.59</v>
      </c>
      <c r="E990" s="1">
        <f ca="1">IFERROR(__xludf.DUMMYFUNCTION("""COMPUTED_VALUE"""),2.62)</f>
        <v>2.62</v>
      </c>
      <c r="F990" s="1">
        <f ca="1">IFERROR(__xludf.DUMMYFUNCTION("""COMPUTED_VALUE"""),288400)</f>
        <v>288400</v>
      </c>
      <c r="I990" s="1"/>
    </row>
    <row r="991" spans="1:9">
      <c r="A991" s="3">
        <f ca="1">IFERROR(__xludf.DUMMYFUNCTION("""COMPUTED_VALUE"""),30649.6666666666)</f>
        <v>30649.666666666599</v>
      </c>
      <c r="B991" s="1">
        <f ca="1">IFERROR(__xludf.DUMMYFUNCTION("""COMPUTED_VALUE"""),2.63)</f>
        <v>2.63</v>
      </c>
      <c r="C991" s="1">
        <f ca="1">IFERROR(__xludf.DUMMYFUNCTION("""COMPUTED_VALUE"""),2.63)</f>
        <v>2.63</v>
      </c>
      <c r="D991" s="1">
        <f ca="1">IFERROR(__xludf.DUMMYFUNCTION("""COMPUTED_VALUE"""),2.59)</f>
        <v>2.59</v>
      </c>
      <c r="E991" s="1">
        <f ca="1">IFERROR(__xludf.DUMMYFUNCTION("""COMPUTED_VALUE"""),2.63)</f>
        <v>2.63</v>
      </c>
      <c r="F991" s="1">
        <f ca="1">IFERROR(__xludf.DUMMYFUNCTION("""COMPUTED_VALUE"""),274700)</f>
        <v>274700</v>
      </c>
      <c r="I991" s="1"/>
    </row>
    <row r="992" spans="1:9">
      <c r="A992" s="3">
        <f ca="1">IFERROR(__xludf.DUMMYFUNCTION("""COMPUTED_VALUE"""),30650.6666666666)</f>
        <v>30650.666666666599</v>
      </c>
      <c r="B992" s="1">
        <f ca="1">IFERROR(__xludf.DUMMYFUNCTION("""COMPUTED_VALUE"""),2.65)</f>
        <v>2.65</v>
      </c>
      <c r="C992" s="1">
        <f ca="1">IFERROR(__xludf.DUMMYFUNCTION("""COMPUTED_VALUE"""),2.67)</f>
        <v>2.67</v>
      </c>
      <c r="D992" s="1">
        <f ca="1">IFERROR(__xludf.DUMMYFUNCTION("""COMPUTED_VALUE"""),2.62)</f>
        <v>2.62</v>
      </c>
      <c r="E992" s="1">
        <f ca="1">IFERROR(__xludf.DUMMYFUNCTION("""COMPUTED_VALUE"""),2.65)</f>
        <v>2.65</v>
      </c>
      <c r="F992" s="1">
        <f ca="1">IFERROR(__xludf.DUMMYFUNCTION("""COMPUTED_VALUE"""),251200)</f>
        <v>251200</v>
      </c>
      <c r="I992" s="1"/>
    </row>
    <row r="993" spans="1:9">
      <c r="A993" s="3">
        <f ca="1">IFERROR(__xludf.DUMMYFUNCTION("""COMPUTED_VALUE"""),30651.6666666666)</f>
        <v>30651.666666666599</v>
      </c>
      <c r="B993" s="1">
        <f ca="1">IFERROR(__xludf.DUMMYFUNCTION("""COMPUTED_VALUE"""),2.56)</f>
        <v>2.56</v>
      </c>
      <c r="C993" s="1">
        <f ca="1">IFERROR(__xludf.DUMMYFUNCTION("""COMPUTED_VALUE"""),2.65)</f>
        <v>2.65</v>
      </c>
      <c r="D993" s="1">
        <f ca="1">IFERROR(__xludf.DUMMYFUNCTION("""COMPUTED_VALUE"""),2.55)</f>
        <v>2.5499999999999998</v>
      </c>
      <c r="E993" s="1">
        <f ca="1">IFERROR(__xludf.DUMMYFUNCTION("""COMPUTED_VALUE"""),2.56)</f>
        <v>2.56</v>
      </c>
      <c r="F993" s="1">
        <f ca="1">IFERROR(__xludf.DUMMYFUNCTION("""COMPUTED_VALUE"""),479200)</f>
        <v>479200</v>
      </c>
      <c r="I993" s="1"/>
    </row>
    <row r="994" spans="1:9">
      <c r="A994" s="3">
        <f ca="1">IFERROR(__xludf.DUMMYFUNCTION("""COMPUTED_VALUE"""),30652.6666666666)</f>
        <v>30652.666666666599</v>
      </c>
      <c r="B994" s="1">
        <f ca="1">IFERROR(__xludf.DUMMYFUNCTION("""COMPUTED_VALUE"""),2.63)</f>
        <v>2.63</v>
      </c>
      <c r="C994" s="1">
        <f ca="1">IFERROR(__xludf.DUMMYFUNCTION("""COMPUTED_VALUE"""),2.63)</f>
        <v>2.63</v>
      </c>
      <c r="D994" s="1">
        <f ca="1">IFERROR(__xludf.DUMMYFUNCTION("""COMPUTED_VALUE"""),2.52)</f>
        <v>2.52</v>
      </c>
      <c r="E994" s="1">
        <f ca="1">IFERROR(__xludf.DUMMYFUNCTION("""COMPUTED_VALUE"""),2.63)</f>
        <v>2.63</v>
      </c>
      <c r="F994" s="1">
        <f ca="1">IFERROR(__xludf.DUMMYFUNCTION("""COMPUTED_VALUE"""),648200)</f>
        <v>648200</v>
      </c>
      <c r="I994" s="1"/>
    </row>
    <row r="995" spans="1:9">
      <c r="A995" s="3">
        <f ca="1">IFERROR(__xludf.DUMMYFUNCTION("""COMPUTED_VALUE"""),30655.6666666666)</f>
        <v>30655.666666666599</v>
      </c>
      <c r="B995" s="1">
        <f ca="1">IFERROR(__xludf.DUMMYFUNCTION("""COMPUTED_VALUE"""),2.61)</f>
        <v>2.61</v>
      </c>
      <c r="C995" s="1">
        <f ca="1">IFERROR(__xludf.DUMMYFUNCTION("""COMPUTED_VALUE"""),2.62)</f>
        <v>2.62</v>
      </c>
      <c r="D995" s="1">
        <f ca="1">IFERROR(__xludf.DUMMYFUNCTION("""COMPUTED_VALUE"""),2.59)</f>
        <v>2.59</v>
      </c>
      <c r="E995" s="1">
        <f ca="1">IFERROR(__xludf.DUMMYFUNCTION("""COMPUTED_VALUE"""),2.61)</f>
        <v>2.61</v>
      </c>
      <c r="F995" s="1">
        <f ca="1">IFERROR(__xludf.DUMMYFUNCTION("""COMPUTED_VALUE"""),379900)</f>
        <v>379900</v>
      </c>
      <c r="I995" s="1"/>
    </row>
    <row r="996" spans="1:9">
      <c r="A996" s="3">
        <f ca="1">IFERROR(__xludf.DUMMYFUNCTION("""COMPUTED_VALUE"""),30656.6666666666)</f>
        <v>30656.666666666599</v>
      </c>
      <c r="B996" s="1">
        <f ca="1">IFERROR(__xludf.DUMMYFUNCTION("""COMPUTED_VALUE"""),2.59)</f>
        <v>2.59</v>
      </c>
      <c r="C996" s="1">
        <f ca="1">IFERROR(__xludf.DUMMYFUNCTION("""COMPUTED_VALUE"""),2.65)</f>
        <v>2.65</v>
      </c>
      <c r="D996" s="1">
        <f ca="1">IFERROR(__xludf.DUMMYFUNCTION("""COMPUTED_VALUE"""),2.59)</f>
        <v>2.59</v>
      </c>
      <c r="E996" s="1">
        <f ca="1">IFERROR(__xludf.DUMMYFUNCTION("""COMPUTED_VALUE"""),2.59)</f>
        <v>2.59</v>
      </c>
      <c r="F996" s="1">
        <f ca="1">IFERROR(__xludf.DUMMYFUNCTION("""COMPUTED_VALUE"""),442900)</f>
        <v>442900</v>
      </c>
      <c r="I996" s="1"/>
    </row>
    <row r="997" spans="1:9">
      <c r="A997" s="3">
        <f ca="1">IFERROR(__xludf.DUMMYFUNCTION("""COMPUTED_VALUE"""),30657.6666666666)</f>
        <v>30657.666666666599</v>
      </c>
      <c r="B997" s="1">
        <f ca="1">IFERROR(__xludf.DUMMYFUNCTION("""COMPUTED_VALUE"""),2.58)</f>
        <v>2.58</v>
      </c>
      <c r="C997" s="1">
        <f ca="1">IFERROR(__xludf.DUMMYFUNCTION("""COMPUTED_VALUE"""),2.61)</f>
        <v>2.61</v>
      </c>
      <c r="D997" s="1">
        <f ca="1">IFERROR(__xludf.DUMMYFUNCTION("""COMPUTED_VALUE"""),2.56)</f>
        <v>2.56</v>
      </c>
      <c r="E997" s="1">
        <f ca="1">IFERROR(__xludf.DUMMYFUNCTION("""COMPUTED_VALUE"""),2.58)</f>
        <v>2.58</v>
      </c>
      <c r="F997" s="1">
        <f ca="1">IFERROR(__xludf.DUMMYFUNCTION("""COMPUTED_VALUE"""),571200)</f>
        <v>571200</v>
      </c>
      <c r="I997" s="1"/>
    </row>
    <row r="998" spans="1:9">
      <c r="A998" s="3">
        <f ca="1">IFERROR(__xludf.DUMMYFUNCTION("""COMPUTED_VALUE"""),30658.6666666666)</f>
        <v>30658.666666666599</v>
      </c>
      <c r="B998" s="1">
        <f ca="1">IFERROR(__xludf.DUMMYFUNCTION("""COMPUTED_VALUE"""),2.52)</f>
        <v>2.52</v>
      </c>
      <c r="C998" s="1">
        <f ca="1">IFERROR(__xludf.DUMMYFUNCTION("""COMPUTED_VALUE"""),2.58)</f>
        <v>2.58</v>
      </c>
      <c r="D998" s="1">
        <f ca="1">IFERROR(__xludf.DUMMYFUNCTION("""COMPUTED_VALUE"""),2.49)</f>
        <v>2.4900000000000002</v>
      </c>
      <c r="E998" s="1">
        <f ca="1">IFERROR(__xludf.DUMMYFUNCTION("""COMPUTED_VALUE"""),2.52)</f>
        <v>2.52</v>
      </c>
      <c r="F998" s="1">
        <f ca="1">IFERROR(__xludf.DUMMYFUNCTION("""COMPUTED_VALUE"""),843600)</f>
        <v>843600</v>
      </c>
      <c r="I998" s="1"/>
    </row>
    <row r="999" spans="1:9">
      <c r="A999" s="3">
        <f ca="1">IFERROR(__xludf.DUMMYFUNCTION("""COMPUTED_VALUE"""),30659.6666666666)</f>
        <v>30659.666666666599</v>
      </c>
      <c r="B999" s="1">
        <f ca="1">IFERROR(__xludf.DUMMYFUNCTION("""COMPUTED_VALUE"""),2.52)</f>
        <v>2.52</v>
      </c>
      <c r="C999" s="1">
        <f ca="1">IFERROR(__xludf.DUMMYFUNCTION("""COMPUTED_VALUE"""),2.52)</f>
        <v>2.52</v>
      </c>
      <c r="D999" s="1">
        <f ca="1">IFERROR(__xludf.DUMMYFUNCTION("""COMPUTED_VALUE"""),2.48)</f>
        <v>2.48</v>
      </c>
      <c r="E999" s="1">
        <f ca="1">IFERROR(__xludf.DUMMYFUNCTION("""COMPUTED_VALUE"""),2.52)</f>
        <v>2.52</v>
      </c>
      <c r="F999" s="1">
        <f ca="1">IFERROR(__xludf.DUMMYFUNCTION("""COMPUTED_VALUE"""),547500)</f>
        <v>547500</v>
      </c>
      <c r="I999" s="1"/>
    </row>
    <row r="1000" spans="1:9">
      <c r="A1000" s="3">
        <f ca="1">IFERROR(__xludf.DUMMYFUNCTION("""COMPUTED_VALUE"""),30662.6666666666)</f>
        <v>30662.666666666599</v>
      </c>
      <c r="B1000" s="1">
        <f ca="1">IFERROR(__xludf.DUMMYFUNCTION("""COMPUTED_VALUE"""),2.51)</f>
        <v>2.5099999999999998</v>
      </c>
      <c r="C1000" s="1">
        <f ca="1">IFERROR(__xludf.DUMMYFUNCTION("""COMPUTED_VALUE"""),2.53)</f>
        <v>2.5299999999999998</v>
      </c>
      <c r="D1000" s="1">
        <f ca="1">IFERROR(__xludf.DUMMYFUNCTION("""COMPUTED_VALUE"""),2.48)</f>
        <v>2.48</v>
      </c>
      <c r="E1000" s="1">
        <f ca="1">IFERROR(__xludf.DUMMYFUNCTION("""COMPUTED_VALUE"""),2.51)</f>
        <v>2.5099999999999998</v>
      </c>
      <c r="F1000" s="1">
        <f ca="1">IFERROR(__xludf.DUMMYFUNCTION("""COMPUTED_VALUE"""),328900)</f>
        <v>328900</v>
      </c>
      <c r="I1000" s="1"/>
    </row>
    <row r="1001" spans="1:9">
      <c r="A1001" s="3">
        <f ca="1">IFERROR(__xludf.DUMMYFUNCTION("""COMPUTED_VALUE"""),30663.6666666666)</f>
        <v>30663.666666666599</v>
      </c>
      <c r="B1001" s="1">
        <f ca="1">IFERROR(__xludf.DUMMYFUNCTION("""COMPUTED_VALUE"""),2.48)</f>
        <v>2.48</v>
      </c>
      <c r="C1001" s="1">
        <f ca="1">IFERROR(__xludf.DUMMYFUNCTION("""COMPUTED_VALUE"""),2.51)</f>
        <v>2.5099999999999998</v>
      </c>
      <c r="D1001" s="1">
        <f ca="1">IFERROR(__xludf.DUMMYFUNCTION("""COMPUTED_VALUE"""),2.48)</f>
        <v>2.48</v>
      </c>
      <c r="E1001" s="1">
        <f ca="1">IFERROR(__xludf.DUMMYFUNCTION("""COMPUTED_VALUE"""),2.48)</f>
        <v>2.48</v>
      </c>
      <c r="F1001" s="1">
        <f ca="1">IFERROR(__xludf.DUMMYFUNCTION("""COMPUTED_VALUE"""),349900)</f>
        <v>349900</v>
      </c>
      <c r="I1001" s="1"/>
    </row>
    <row r="1002" spans="1:9">
      <c r="A1002" s="3">
        <f ca="1">IFERROR(__xludf.DUMMYFUNCTION("""COMPUTED_VALUE"""),30664.6666666666)</f>
        <v>30664.666666666599</v>
      </c>
      <c r="B1002" s="1">
        <f ca="1">IFERROR(__xludf.DUMMYFUNCTION("""COMPUTED_VALUE"""),2.47)</f>
        <v>2.4700000000000002</v>
      </c>
      <c r="C1002" s="1">
        <f ca="1">IFERROR(__xludf.DUMMYFUNCTION("""COMPUTED_VALUE"""),2.48)</f>
        <v>2.48</v>
      </c>
      <c r="D1002" s="1">
        <f ca="1">IFERROR(__xludf.DUMMYFUNCTION("""COMPUTED_VALUE"""),2.45)</f>
        <v>2.4500000000000002</v>
      </c>
      <c r="E1002" s="1">
        <f ca="1">IFERROR(__xludf.DUMMYFUNCTION("""COMPUTED_VALUE"""),2.47)</f>
        <v>2.4700000000000002</v>
      </c>
      <c r="F1002" s="1">
        <f ca="1">IFERROR(__xludf.DUMMYFUNCTION("""COMPUTED_VALUE"""),457600)</f>
        <v>457600</v>
      </c>
      <c r="I1002" s="1"/>
    </row>
    <row r="1003" spans="1:9">
      <c r="A1003" s="3">
        <f ca="1">IFERROR(__xludf.DUMMYFUNCTION("""COMPUTED_VALUE"""),30665.6666666666)</f>
        <v>30665.666666666599</v>
      </c>
      <c r="B1003" s="1">
        <f ca="1">IFERROR(__xludf.DUMMYFUNCTION("""COMPUTED_VALUE"""),2.45)</f>
        <v>2.4500000000000002</v>
      </c>
      <c r="C1003" s="1">
        <f ca="1">IFERROR(__xludf.DUMMYFUNCTION("""COMPUTED_VALUE"""),2.5)</f>
        <v>2.5</v>
      </c>
      <c r="D1003" s="1">
        <f ca="1">IFERROR(__xludf.DUMMYFUNCTION("""COMPUTED_VALUE"""),2.44)</f>
        <v>2.44</v>
      </c>
      <c r="E1003" s="1">
        <f ca="1">IFERROR(__xludf.DUMMYFUNCTION("""COMPUTED_VALUE"""),2.45)</f>
        <v>2.4500000000000002</v>
      </c>
      <c r="F1003" s="1">
        <f ca="1">IFERROR(__xludf.DUMMYFUNCTION("""COMPUTED_VALUE"""),521300)</f>
        <v>521300</v>
      </c>
      <c r="I1003" s="1"/>
    </row>
    <row r="1004" spans="1:9">
      <c r="A1004" s="3">
        <f ca="1">IFERROR(__xludf.DUMMYFUNCTION("""COMPUTED_VALUE"""),30666.6666666666)</f>
        <v>30666.666666666599</v>
      </c>
      <c r="B1004" s="1">
        <f ca="1">IFERROR(__xludf.DUMMYFUNCTION("""COMPUTED_VALUE"""),2.47)</f>
        <v>2.4700000000000002</v>
      </c>
      <c r="C1004" s="1">
        <f ca="1">IFERROR(__xludf.DUMMYFUNCTION("""COMPUTED_VALUE"""),2.48)</f>
        <v>2.48</v>
      </c>
      <c r="D1004" s="1">
        <f ca="1">IFERROR(__xludf.DUMMYFUNCTION("""COMPUTED_VALUE"""),2.45)</f>
        <v>2.4500000000000002</v>
      </c>
      <c r="E1004" s="1">
        <f ca="1">IFERROR(__xludf.DUMMYFUNCTION("""COMPUTED_VALUE"""),2.47)</f>
        <v>2.4700000000000002</v>
      </c>
      <c r="F1004" s="1">
        <f ca="1">IFERROR(__xludf.DUMMYFUNCTION("""COMPUTED_VALUE"""),519500)</f>
        <v>519500</v>
      </c>
      <c r="I1004" s="1"/>
    </row>
    <row r="1005" spans="1:9">
      <c r="A1005" s="3">
        <f ca="1">IFERROR(__xludf.DUMMYFUNCTION("""COMPUTED_VALUE"""),30669.6666666666)</f>
        <v>30669.666666666599</v>
      </c>
      <c r="B1005" s="1">
        <f ca="1">IFERROR(__xludf.DUMMYFUNCTION("""COMPUTED_VALUE"""),2.53)</f>
        <v>2.5299999999999998</v>
      </c>
      <c r="C1005" s="1">
        <f ca="1">IFERROR(__xludf.DUMMYFUNCTION("""COMPUTED_VALUE"""),2.54)</f>
        <v>2.54</v>
      </c>
      <c r="D1005" s="1">
        <f ca="1">IFERROR(__xludf.DUMMYFUNCTION("""COMPUTED_VALUE"""),2.49)</f>
        <v>2.4900000000000002</v>
      </c>
      <c r="E1005" s="1">
        <f ca="1">IFERROR(__xludf.DUMMYFUNCTION("""COMPUTED_VALUE"""),2.53)</f>
        <v>2.5299999999999998</v>
      </c>
      <c r="F1005" s="1">
        <f ca="1">IFERROR(__xludf.DUMMYFUNCTION("""COMPUTED_VALUE"""),525100)</f>
        <v>525100</v>
      </c>
      <c r="I1005" s="1"/>
    </row>
    <row r="1006" spans="1:9">
      <c r="A1006" s="3">
        <f ca="1">IFERROR(__xludf.DUMMYFUNCTION("""COMPUTED_VALUE"""),30670.6666666666)</f>
        <v>30670.666666666599</v>
      </c>
      <c r="B1006" s="1">
        <f ca="1">IFERROR(__xludf.DUMMYFUNCTION("""COMPUTED_VALUE"""),2.57)</f>
        <v>2.57</v>
      </c>
      <c r="C1006" s="1">
        <f ca="1">IFERROR(__xludf.DUMMYFUNCTION("""COMPUTED_VALUE"""),2.58)</f>
        <v>2.58</v>
      </c>
      <c r="D1006" s="1">
        <f ca="1">IFERROR(__xludf.DUMMYFUNCTION("""COMPUTED_VALUE"""),2.53)</f>
        <v>2.5299999999999998</v>
      </c>
      <c r="E1006" s="1">
        <f ca="1">IFERROR(__xludf.DUMMYFUNCTION("""COMPUTED_VALUE"""),2.57)</f>
        <v>2.57</v>
      </c>
      <c r="F1006" s="1">
        <f ca="1">IFERROR(__xludf.DUMMYFUNCTION("""COMPUTED_VALUE"""),409700)</f>
        <v>409700</v>
      </c>
      <c r="I1006" s="1"/>
    </row>
    <row r="1007" spans="1:9">
      <c r="A1007" s="3">
        <f ca="1">IFERROR(__xludf.DUMMYFUNCTION("""COMPUTED_VALUE"""),30671.6666666666)</f>
        <v>30671.666666666599</v>
      </c>
      <c r="B1007" s="1">
        <f ca="1">IFERROR(__xludf.DUMMYFUNCTION("""COMPUTED_VALUE"""),2.56)</f>
        <v>2.56</v>
      </c>
      <c r="C1007" s="1">
        <f ca="1">IFERROR(__xludf.DUMMYFUNCTION("""COMPUTED_VALUE"""),2.59)</f>
        <v>2.59</v>
      </c>
      <c r="D1007" s="1">
        <f ca="1">IFERROR(__xludf.DUMMYFUNCTION("""COMPUTED_VALUE"""),2.55)</f>
        <v>2.5499999999999998</v>
      </c>
      <c r="E1007" s="1">
        <f ca="1">IFERROR(__xludf.DUMMYFUNCTION("""COMPUTED_VALUE"""),2.56)</f>
        <v>2.56</v>
      </c>
      <c r="F1007" s="1">
        <f ca="1">IFERROR(__xludf.DUMMYFUNCTION("""COMPUTED_VALUE"""),389000)</f>
        <v>389000</v>
      </c>
      <c r="I1007" s="1"/>
    </row>
    <row r="1008" spans="1:9">
      <c r="A1008" s="3">
        <f ca="1">IFERROR(__xludf.DUMMYFUNCTION("""COMPUTED_VALUE"""),30672.6666666666)</f>
        <v>30672.666666666599</v>
      </c>
      <c r="B1008" s="1">
        <f ca="1">IFERROR(__xludf.DUMMYFUNCTION("""COMPUTED_VALUE"""),2.55)</f>
        <v>2.5499999999999998</v>
      </c>
      <c r="C1008" s="1">
        <f ca="1">IFERROR(__xludf.DUMMYFUNCTION("""COMPUTED_VALUE"""),2.59)</f>
        <v>2.59</v>
      </c>
      <c r="D1008" s="1">
        <f ca="1">IFERROR(__xludf.DUMMYFUNCTION("""COMPUTED_VALUE"""),2.53)</f>
        <v>2.5299999999999998</v>
      </c>
      <c r="E1008" s="1">
        <f ca="1">IFERROR(__xludf.DUMMYFUNCTION("""COMPUTED_VALUE"""),2.55)</f>
        <v>2.5499999999999998</v>
      </c>
      <c r="F1008" s="1">
        <f ca="1">IFERROR(__xludf.DUMMYFUNCTION("""COMPUTED_VALUE"""),251600)</f>
        <v>251600</v>
      </c>
      <c r="I1008" s="1"/>
    </row>
    <row r="1009" spans="1:9">
      <c r="A1009" s="3">
        <f ca="1">IFERROR(__xludf.DUMMYFUNCTION("""COMPUTED_VALUE"""),30673.6666666666)</f>
        <v>30673.666666666599</v>
      </c>
      <c r="B1009" s="1">
        <f ca="1">IFERROR(__xludf.DUMMYFUNCTION("""COMPUTED_VALUE"""),2.53)</f>
        <v>2.5299999999999998</v>
      </c>
      <c r="C1009" s="1">
        <f ca="1">IFERROR(__xludf.DUMMYFUNCTION("""COMPUTED_VALUE"""),2.55)</f>
        <v>2.5499999999999998</v>
      </c>
      <c r="D1009" s="1">
        <f ca="1">IFERROR(__xludf.DUMMYFUNCTION("""COMPUTED_VALUE"""),2.52)</f>
        <v>2.52</v>
      </c>
      <c r="E1009" s="1">
        <f ca="1">IFERROR(__xludf.DUMMYFUNCTION("""COMPUTED_VALUE"""),2.53)</f>
        <v>2.5299999999999998</v>
      </c>
      <c r="F1009" s="1">
        <f ca="1">IFERROR(__xludf.DUMMYFUNCTION("""COMPUTED_VALUE"""),239200)</f>
        <v>239200</v>
      </c>
      <c r="I1009" s="1"/>
    </row>
    <row r="1010" spans="1:9">
      <c r="A1010" s="3">
        <f ca="1">IFERROR(__xludf.DUMMYFUNCTION("""COMPUTED_VALUE"""),30677.6666666666)</f>
        <v>30677.666666666599</v>
      </c>
      <c r="B1010" s="1">
        <f ca="1">IFERROR(__xludf.DUMMYFUNCTION("""COMPUTED_VALUE"""),2.55)</f>
        <v>2.5499999999999998</v>
      </c>
      <c r="C1010" s="1">
        <f ca="1">IFERROR(__xludf.DUMMYFUNCTION("""COMPUTED_VALUE"""),2.57)</f>
        <v>2.57</v>
      </c>
      <c r="D1010" s="1">
        <f ca="1">IFERROR(__xludf.DUMMYFUNCTION("""COMPUTED_VALUE"""),2.54)</f>
        <v>2.54</v>
      </c>
      <c r="E1010" s="1">
        <f ca="1">IFERROR(__xludf.DUMMYFUNCTION("""COMPUTED_VALUE"""),2.55)</f>
        <v>2.5499999999999998</v>
      </c>
      <c r="F1010" s="1">
        <f ca="1">IFERROR(__xludf.DUMMYFUNCTION("""COMPUTED_VALUE"""),189500)</f>
        <v>189500</v>
      </c>
      <c r="I1010" s="1"/>
    </row>
    <row r="1011" spans="1:9">
      <c r="A1011" s="3">
        <f ca="1">IFERROR(__xludf.DUMMYFUNCTION("""COMPUTED_VALUE"""),30678.6666666666)</f>
        <v>30678.666666666599</v>
      </c>
      <c r="B1011" s="1">
        <f ca="1">IFERROR(__xludf.DUMMYFUNCTION("""COMPUTED_VALUE"""),2.51)</f>
        <v>2.5099999999999998</v>
      </c>
      <c r="C1011" s="1">
        <f ca="1">IFERROR(__xludf.DUMMYFUNCTION("""COMPUTED_VALUE"""),2.54)</f>
        <v>2.54</v>
      </c>
      <c r="D1011" s="1">
        <f ca="1">IFERROR(__xludf.DUMMYFUNCTION("""COMPUTED_VALUE"""),2.49)</f>
        <v>2.4900000000000002</v>
      </c>
      <c r="E1011" s="1">
        <f ca="1">IFERROR(__xludf.DUMMYFUNCTION("""COMPUTED_VALUE"""),2.51)</f>
        <v>2.5099999999999998</v>
      </c>
      <c r="F1011" s="1">
        <f ca="1">IFERROR(__xludf.DUMMYFUNCTION("""COMPUTED_VALUE"""),367000)</f>
        <v>367000</v>
      </c>
      <c r="I1011" s="1"/>
    </row>
    <row r="1012" spans="1:9">
      <c r="A1012" s="3">
        <f ca="1">IFERROR(__xludf.DUMMYFUNCTION("""COMPUTED_VALUE"""),30679.6666666666)</f>
        <v>30679.666666666599</v>
      </c>
      <c r="B1012" s="1">
        <f ca="1">IFERROR(__xludf.DUMMYFUNCTION("""COMPUTED_VALUE"""),2.55)</f>
        <v>2.5499999999999998</v>
      </c>
      <c r="C1012" s="1">
        <f ca="1">IFERROR(__xludf.DUMMYFUNCTION("""COMPUTED_VALUE"""),2.55)</f>
        <v>2.5499999999999998</v>
      </c>
      <c r="D1012" s="1">
        <f ca="1">IFERROR(__xludf.DUMMYFUNCTION("""COMPUTED_VALUE"""),2.51)</f>
        <v>2.5099999999999998</v>
      </c>
      <c r="E1012" s="1">
        <f ca="1">IFERROR(__xludf.DUMMYFUNCTION("""COMPUTED_VALUE"""),2.55)</f>
        <v>2.5499999999999998</v>
      </c>
      <c r="F1012" s="1">
        <f ca="1">IFERROR(__xludf.DUMMYFUNCTION("""COMPUTED_VALUE"""),306400)</f>
        <v>306400</v>
      </c>
      <c r="I1012" s="1"/>
    </row>
    <row r="1013" spans="1:9">
      <c r="A1013" s="3">
        <f ca="1">IFERROR(__xludf.DUMMYFUNCTION("""COMPUTED_VALUE"""),30680.6666666666)</f>
        <v>30680.666666666599</v>
      </c>
      <c r="B1013" s="1">
        <f ca="1">IFERROR(__xludf.DUMMYFUNCTION("""COMPUTED_VALUE"""),2.55)</f>
        <v>2.5499999999999998</v>
      </c>
      <c r="C1013" s="1">
        <f ca="1">IFERROR(__xludf.DUMMYFUNCTION("""COMPUTED_VALUE"""),2.58)</f>
        <v>2.58</v>
      </c>
      <c r="D1013" s="1">
        <f ca="1">IFERROR(__xludf.DUMMYFUNCTION("""COMPUTED_VALUE"""),2.54)</f>
        <v>2.54</v>
      </c>
      <c r="E1013" s="1">
        <f ca="1">IFERROR(__xludf.DUMMYFUNCTION("""COMPUTED_VALUE"""),2.55)</f>
        <v>2.5499999999999998</v>
      </c>
      <c r="F1013" s="1">
        <f ca="1">IFERROR(__xludf.DUMMYFUNCTION("""COMPUTED_VALUE"""),303400)</f>
        <v>303400</v>
      </c>
      <c r="I1013" s="1"/>
    </row>
    <row r="1014" spans="1:9">
      <c r="A1014" s="3">
        <f ca="1">IFERROR(__xludf.DUMMYFUNCTION("""COMPUTED_VALUE"""),30684.6666666666)</f>
        <v>30684.666666666599</v>
      </c>
      <c r="B1014" s="1">
        <f ca="1">IFERROR(__xludf.DUMMYFUNCTION("""COMPUTED_VALUE"""),2.55)</f>
        <v>2.5499999999999998</v>
      </c>
      <c r="C1014" s="1">
        <f ca="1">IFERROR(__xludf.DUMMYFUNCTION("""COMPUTED_VALUE"""),2.56)</f>
        <v>2.56</v>
      </c>
      <c r="D1014" s="1">
        <f ca="1">IFERROR(__xludf.DUMMYFUNCTION("""COMPUTED_VALUE"""),2.52)</f>
        <v>2.52</v>
      </c>
      <c r="E1014" s="1">
        <f ca="1">IFERROR(__xludf.DUMMYFUNCTION("""COMPUTED_VALUE"""),2.55)</f>
        <v>2.5499999999999998</v>
      </c>
      <c r="F1014" s="1">
        <f ca="1">IFERROR(__xludf.DUMMYFUNCTION("""COMPUTED_VALUE"""),305200)</f>
        <v>305200</v>
      </c>
      <c r="I1014" s="1"/>
    </row>
    <row r="1015" spans="1:9">
      <c r="A1015" s="3">
        <f ca="1">IFERROR(__xludf.DUMMYFUNCTION("""COMPUTED_VALUE"""),30685.6666666666)</f>
        <v>30685.666666666599</v>
      </c>
      <c r="B1015" s="1">
        <f ca="1">IFERROR(__xludf.DUMMYFUNCTION("""COMPUTED_VALUE"""),2.63)</f>
        <v>2.63</v>
      </c>
      <c r="C1015" s="1">
        <f ca="1">IFERROR(__xludf.DUMMYFUNCTION("""COMPUTED_VALUE"""),2.63)</f>
        <v>2.63</v>
      </c>
      <c r="D1015" s="1">
        <f ca="1">IFERROR(__xludf.DUMMYFUNCTION("""COMPUTED_VALUE"""),2.54)</f>
        <v>2.54</v>
      </c>
      <c r="E1015" s="1">
        <f ca="1">IFERROR(__xludf.DUMMYFUNCTION("""COMPUTED_VALUE"""),2.63)</f>
        <v>2.63</v>
      </c>
      <c r="F1015" s="1">
        <f ca="1">IFERROR(__xludf.DUMMYFUNCTION("""COMPUTED_VALUE"""),501300)</f>
        <v>501300</v>
      </c>
      <c r="I1015" s="1"/>
    </row>
    <row r="1016" spans="1:9">
      <c r="A1016" s="3">
        <f ca="1">IFERROR(__xludf.DUMMYFUNCTION("""COMPUTED_VALUE"""),30686.6666666666)</f>
        <v>30686.666666666599</v>
      </c>
      <c r="B1016" s="1">
        <f ca="1">IFERROR(__xludf.DUMMYFUNCTION("""COMPUTED_VALUE"""),2.65)</f>
        <v>2.65</v>
      </c>
      <c r="C1016" s="1">
        <f ca="1">IFERROR(__xludf.DUMMYFUNCTION("""COMPUTED_VALUE"""),2.68)</f>
        <v>2.68</v>
      </c>
      <c r="D1016" s="1">
        <f ca="1">IFERROR(__xludf.DUMMYFUNCTION("""COMPUTED_VALUE"""),2.63)</f>
        <v>2.63</v>
      </c>
      <c r="E1016" s="1">
        <f ca="1">IFERROR(__xludf.DUMMYFUNCTION("""COMPUTED_VALUE"""),2.65)</f>
        <v>2.65</v>
      </c>
      <c r="F1016" s="1">
        <f ca="1">IFERROR(__xludf.DUMMYFUNCTION("""COMPUTED_VALUE"""),575800)</f>
        <v>575800</v>
      </c>
      <c r="I1016" s="1"/>
    </row>
    <row r="1017" spans="1:9">
      <c r="A1017" s="3">
        <f ca="1">IFERROR(__xludf.DUMMYFUNCTION("""COMPUTED_VALUE"""),30687.6666666666)</f>
        <v>30687.666666666599</v>
      </c>
      <c r="B1017" s="1">
        <f ca="1">IFERROR(__xludf.DUMMYFUNCTION("""COMPUTED_VALUE"""),2.63)</f>
        <v>2.63</v>
      </c>
      <c r="C1017" s="1">
        <f ca="1">IFERROR(__xludf.DUMMYFUNCTION("""COMPUTED_VALUE"""),2.65)</f>
        <v>2.65</v>
      </c>
      <c r="D1017" s="1">
        <f ca="1">IFERROR(__xludf.DUMMYFUNCTION("""COMPUTED_VALUE"""),2.61)</f>
        <v>2.61</v>
      </c>
      <c r="E1017" s="1">
        <f ca="1">IFERROR(__xludf.DUMMYFUNCTION("""COMPUTED_VALUE"""),2.63)</f>
        <v>2.63</v>
      </c>
      <c r="F1017" s="1">
        <f ca="1">IFERROR(__xludf.DUMMYFUNCTION("""COMPUTED_VALUE"""),459800)</f>
        <v>459800</v>
      </c>
      <c r="I1017" s="1"/>
    </row>
    <row r="1018" spans="1:9">
      <c r="A1018" s="3">
        <f ca="1">IFERROR(__xludf.DUMMYFUNCTION("""COMPUTED_VALUE"""),30690.6666666666)</f>
        <v>30690.666666666599</v>
      </c>
      <c r="B1018" s="1">
        <f ca="1">IFERROR(__xludf.DUMMYFUNCTION("""COMPUTED_VALUE"""),2.6)</f>
        <v>2.6</v>
      </c>
      <c r="C1018" s="1">
        <f ca="1">IFERROR(__xludf.DUMMYFUNCTION("""COMPUTED_VALUE"""),2.63)</f>
        <v>2.63</v>
      </c>
      <c r="D1018" s="1">
        <f ca="1">IFERROR(__xludf.DUMMYFUNCTION("""COMPUTED_VALUE"""),2.59)</f>
        <v>2.59</v>
      </c>
      <c r="E1018" s="1">
        <f ca="1">IFERROR(__xludf.DUMMYFUNCTION("""COMPUTED_VALUE"""),2.6)</f>
        <v>2.6</v>
      </c>
      <c r="F1018" s="1">
        <f ca="1">IFERROR(__xludf.DUMMYFUNCTION("""COMPUTED_VALUE"""),161700)</f>
        <v>161700</v>
      </c>
      <c r="I1018" s="1"/>
    </row>
    <row r="1019" spans="1:9">
      <c r="A1019" s="3">
        <f ca="1">IFERROR(__xludf.DUMMYFUNCTION("""COMPUTED_VALUE"""),30691.6666666666)</f>
        <v>30691.666666666599</v>
      </c>
      <c r="B1019" s="1">
        <f ca="1">IFERROR(__xludf.DUMMYFUNCTION("""COMPUTED_VALUE"""),2.53)</f>
        <v>2.5299999999999998</v>
      </c>
      <c r="C1019" s="1">
        <f ca="1">IFERROR(__xludf.DUMMYFUNCTION("""COMPUTED_VALUE"""),2.61)</f>
        <v>2.61</v>
      </c>
      <c r="D1019" s="1">
        <f ca="1">IFERROR(__xludf.DUMMYFUNCTION("""COMPUTED_VALUE"""),2.52)</f>
        <v>2.52</v>
      </c>
      <c r="E1019" s="1">
        <f ca="1">IFERROR(__xludf.DUMMYFUNCTION("""COMPUTED_VALUE"""),2.53)</f>
        <v>2.5299999999999998</v>
      </c>
      <c r="F1019" s="1">
        <f ca="1">IFERROR(__xludf.DUMMYFUNCTION("""COMPUTED_VALUE"""),624800)</f>
        <v>624800</v>
      </c>
      <c r="I1019" s="1"/>
    </row>
    <row r="1020" spans="1:9">
      <c r="A1020" s="3">
        <f ca="1">IFERROR(__xludf.DUMMYFUNCTION("""COMPUTED_VALUE"""),30692.6666666666)</f>
        <v>30692.666666666599</v>
      </c>
      <c r="B1020" s="1">
        <f ca="1">IFERROR(__xludf.DUMMYFUNCTION("""COMPUTED_VALUE"""),2.52)</f>
        <v>2.52</v>
      </c>
      <c r="C1020" s="1">
        <f ca="1">IFERROR(__xludf.DUMMYFUNCTION("""COMPUTED_VALUE"""),2.54)</f>
        <v>2.54</v>
      </c>
      <c r="D1020" s="1">
        <f ca="1">IFERROR(__xludf.DUMMYFUNCTION("""COMPUTED_VALUE"""),2.49)</f>
        <v>2.4900000000000002</v>
      </c>
      <c r="E1020" s="1">
        <f ca="1">IFERROR(__xludf.DUMMYFUNCTION("""COMPUTED_VALUE"""),2.52)</f>
        <v>2.52</v>
      </c>
      <c r="F1020" s="1">
        <f ca="1">IFERROR(__xludf.DUMMYFUNCTION("""COMPUTED_VALUE"""),939100)</f>
        <v>939100</v>
      </c>
      <c r="I1020" s="1"/>
    </row>
    <row r="1021" spans="1:9">
      <c r="A1021" s="3">
        <f ca="1">IFERROR(__xludf.DUMMYFUNCTION("""COMPUTED_VALUE"""),30693.6666666666)</f>
        <v>30693.666666666599</v>
      </c>
      <c r="B1021" s="1">
        <f ca="1">IFERROR(__xludf.DUMMYFUNCTION("""COMPUTED_VALUE"""),2.52)</f>
        <v>2.52</v>
      </c>
      <c r="C1021" s="1">
        <f ca="1">IFERROR(__xludf.DUMMYFUNCTION("""COMPUTED_VALUE"""),2.54)</f>
        <v>2.54</v>
      </c>
      <c r="D1021" s="1">
        <f ca="1">IFERROR(__xludf.DUMMYFUNCTION("""COMPUTED_VALUE"""),2.51)</f>
        <v>2.5099999999999998</v>
      </c>
      <c r="E1021" s="1">
        <f ca="1">IFERROR(__xludf.DUMMYFUNCTION("""COMPUTED_VALUE"""),2.52)</f>
        <v>2.52</v>
      </c>
      <c r="F1021" s="1">
        <f ca="1">IFERROR(__xludf.DUMMYFUNCTION("""COMPUTED_VALUE"""),487000)</f>
        <v>487000</v>
      </c>
      <c r="I1021" s="1"/>
    </row>
    <row r="1022" spans="1:9">
      <c r="A1022" s="3">
        <f ca="1">IFERROR(__xludf.DUMMYFUNCTION("""COMPUTED_VALUE"""),30694.6666666666)</f>
        <v>30694.666666666599</v>
      </c>
      <c r="B1022" s="1">
        <f ca="1">IFERROR(__xludf.DUMMYFUNCTION("""COMPUTED_VALUE"""),2.51)</f>
        <v>2.5099999999999998</v>
      </c>
      <c r="C1022" s="1">
        <f ca="1">IFERROR(__xludf.DUMMYFUNCTION("""COMPUTED_VALUE"""),2.53)</f>
        <v>2.5299999999999998</v>
      </c>
      <c r="D1022" s="1">
        <f ca="1">IFERROR(__xludf.DUMMYFUNCTION("""COMPUTED_VALUE"""),2.48)</f>
        <v>2.48</v>
      </c>
      <c r="E1022" s="1">
        <f ca="1">IFERROR(__xludf.DUMMYFUNCTION("""COMPUTED_VALUE"""),2.51)</f>
        <v>2.5099999999999998</v>
      </c>
      <c r="F1022" s="1">
        <f ca="1">IFERROR(__xludf.DUMMYFUNCTION("""COMPUTED_VALUE"""),420800)</f>
        <v>420800</v>
      </c>
      <c r="I1022" s="1"/>
    </row>
    <row r="1023" spans="1:9">
      <c r="A1023" s="3">
        <f ca="1">IFERROR(__xludf.DUMMYFUNCTION("""COMPUTED_VALUE"""),30697.6666666666)</f>
        <v>30697.666666666599</v>
      </c>
      <c r="B1023" s="1">
        <f ca="1">IFERROR(__xludf.DUMMYFUNCTION("""COMPUTED_VALUE"""),2.48)</f>
        <v>2.48</v>
      </c>
      <c r="C1023" s="1">
        <f ca="1">IFERROR(__xludf.DUMMYFUNCTION("""COMPUTED_VALUE"""),2.51)</f>
        <v>2.5099999999999998</v>
      </c>
      <c r="D1023" s="1">
        <f ca="1">IFERROR(__xludf.DUMMYFUNCTION("""COMPUTED_VALUE"""),2.48)</f>
        <v>2.48</v>
      </c>
      <c r="E1023" s="1">
        <f ca="1">IFERROR(__xludf.DUMMYFUNCTION("""COMPUTED_VALUE"""),2.48)</f>
        <v>2.48</v>
      </c>
      <c r="F1023" s="1">
        <f ca="1">IFERROR(__xludf.DUMMYFUNCTION("""COMPUTED_VALUE"""),346700)</f>
        <v>346700</v>
      </c>
      <c r="I1023" s="1"/>
    </row>
    <row r="1024" spans="1:9">
      <c r="A1024" s="3">
        <f ca="1">IFERROR(__xludf.DUMMYFUNCTION("""COMPUTED_VALUE"""),30698.6666666666)</f>
        <v>30698.666666666599</v>
      </c>
      <c r="B1024" s="1">
        <f ca="1">IFERROR(__xludf.DUMMYFUNCTION("""COMPUTED_VALUE"""),2.55)</f>
        <v>2.5499999999999998</v>
      </c>
      <c r="C1024" s="1">
        <f ca="1">IFERROR(__xludf.DUMMYFUNCTION("""COMPUTED_VALUE"""),2.56)</f>
        <v>2.56</v>
      </c>
      <c r="D1024" s="1">
        <f ca="1">IFERROR(__xludf.DUMMYFUNCTION("""COMPUTED_VALUE"""),2.48)</f>
        <v>2.48</v>
      </c>
      <c r="E1024" s="1">
        <f ca="1">IFERROR(__xludf.DUMMYFUNCTION("""COMPUTED_VALUE"""),2.55)</f>
        <v>2.5499999999999998</v>
      </c>
      <c r="F1024" s="1">
        <f ca="1">IFERROR(__xludf.DUMMYFUNCTION("""COMPUTED_VALUE"""),410000)</f>
        <v>410000</v>
      </c>
      <c r="I1024" s="1"/>
    </row>
    <row r="1025" spans="1:9">
      <c r="A1025" s="3">
        <f ca="1">IFERROR(__xludf.DUMMYFUNCTION("""COMPUTED_VALUE"""),30699.6666666666)</f>
        <v>30699.666666666599</v>
      </c>
      <c r="B1025" s="1">
        <f ca="1">IFERROR(__xludf.DUMMYFUNCTION("""COMPUTED_VALUE"""),2.55)</f>
        <v>2.5499999999999998</v>
      </c>
      <c r="C1025" s="1">
        <f ca="1">IFERROR(__xludf.DUMMYFUNCTION("""COMPUTED_VALUE"""),2.56)</f>
        <v>2.56</v>
      </c>
      <c r="D1025" s="1">
        <f ca="1">IFERROR(__xludf.DUMMYFUNCTION("""COMPUTED_VALUE"""),2.53)</f>
        <v>2.5299999999999998</v>
      </c>
      <c r="E1025" s="1">
        <f ca="1">IFERROR(__xludf.DUMMYFUNCTION("""COMPUTED_VALUE"""),2.55)</f>
        <v>2.5499999999999998</v>
      </c>
      <c r="F1025" s="1">
        <f ca="1">IFERROR(__xludf.DUMMYFUNCTION("""COMPUTED_VALUE"""),472800)</f>
        <v>472800</v>
      </c>
      <c r="I1025" s="1"/>
    </row>
    <row r="1026" spans="1:9">
      <c r="A1026" s="3">
        <f ca="1">IFERROR(__xludf.DUMMYFUNCTION("""COMPUTED_VALUE"""),30700.6666666666)</f>
        <v>30700.666666666599</v>
      </c>
      <c r="B1026" s="1">
        <f ca="1">IFERROR(__xludf.DUMMYFUNCTION("""COMPUTED_VALUE"""),2.55)</f>
        <v>2.5499999999999998</v>
      </c>
      <c r="C1026" s="1">
        <f ca="1">IFERROR(__xludf.DUMMYFUNCTION("""COMPUTED_VALUE"""),2.58)</f>
        <v>2.58</v>
      </c>
      <c r="D1026" s="1">
        <f ca="1">IFERROR(__xludf.DUMMYFUNCTION("""COMPUTED_VALUE"""),2.53)</f>
        <v>2.5299999999999998</v>
      </c>
      <c r="E1026" s="1">
        <f ca="1">IFERROR(__xludf.DUMMYFUNCTION("""COMPUTED_VALUE"""),2.55)</f>
        <v>2.5499999999999998</v>
      </c>
      <c r="F1026" s="1">
        <f ca="1">IFERROR(__xludf.DUMMYFUNCTION("""COMPUTED_VALUE"""),344200)</f>
        <v>344200</v>
      </c>
      <c r="I1026" s="1"/>
    </row>
    <row r="1027" spans="1:9">
      <c r="A1027" s="3">
        <f ca="1">IFERROR(__xludf.DUMMYFUNCTION("""COMPUTED_VALUE"""),30701.6666666666)</f>
        <v>30701.666666666599</v>
      </c>
      <c r="B1027" s="1">
        <f ca="1">IFERROR(__xludf.DUMMYFUNCTION("""COMPUTED_VALUE"""),2.59)</f>
        <v>2.59</v>
      </c>
      <c r="C1027" s="1">
        <f ca="1">IFERROR(__xludf.DUMMYFUNCTION("""COMPUTED_VALUE"""),2.59)</f>
        <v>2.59</v>
      </c>
      <c r="D1027" s="1">
        <f ca="1">IFERROR(__xludf.DUMMYFUNCTION("""COMPUTED_VALUE"""),2.52)</f>
        <v>2.52</v>
      </c>
      <c r="E1027" s="1">
        <f ca="1">IFERROR(__xludf.DUMMYFUNCTION("""COMPUTED_VALUE"""),2.59)</f>
        <v>2.59</v>
      </c>
      <c r="F1027" s="1">
        <f ca="1">IFERROR(__xludf.DUMMYFUNCTION("""COMPUTED_VALUE"""),616900)</f>
        <v>616900</v>
      </c>
      <c r="I1027" s="1"/>
    </row>
    <row r="1028" spans="1:9">
      <c r="A1028" s="3">
        <f ca="1">IFERROR(__xludf.DUMMYFUNCTION("""COMPUTED_VALUE"""),30704.6666666666)</f>
        <v>30704.666666666599</v>
      </c>
      <c r="B1028" s="1">
        <f ca="1">IFERROR(__xludf.DUMMYFUNCTION("""COMPUTED_VALUE"""),2.54)</f>
        <v>2.54</v>
      </c>
      <c r="C1028" s="1">
        <f ca="1">IFERROR(__xludf.DUMMYFUNCTION("""COMPUTED_VALUE"""),2.58)</f>
        <v>2.58</v>
      </c>
      <c r="D1028" s="1">
        <f ca="1">IFERROR(__xludf.DUMMYFUNCTION("""COMPUTED_VALUE"""),2.53)</f>
        <v>2.5299999999999998</v>
      </c>
      <c r="E1028" s="1">
        <f ca="1">IFERROR(__xludf.DUMMYFUNCTION("""COMPUTED_VALUE"""),2.54)</f>
        <v>2.54</v>
      </c>
      <c r="F1028" s="1">
        <f ca="1">IFERROR(__xludf.DUMMYFUNCTION("""COMPUTED_VALUE"""),341700)</f>
        <v>341700</v>
      </c>
      <c r="I1028" s="1"/>
    </row>
    <row r="1029" spans="1:9">
      <c r="A1029" s="3">
        <f ca="1">IFERROR(__xludf.DUMMYFUNCTION("""COMPUTED_VALUE"""),30705.6666666666)</f>
        <v>30705.666666666599</v>
      </c>
      <c r="B1029" s="1">
        <f ca="1">IFERROR(__xludf.DUMMYFUNCTION("""COMPUTED_VALUE"""),2.49)</f>
        <v>2.4900000000000002</v>
      </c>
      <c r="C1029" s="1">
        <f ca="1">IFERROR(__xludf.DUMMYFUNCTION("""COMPUTED_VALUE"""),2.53)</f>
        <v>2.5299999999999998</v>
      </c>
      <c r="D1029" s="1">
        <f ca="1">IFERROR(__xludf.DUMMYFUNCTION("""COMPUTED_VALUE"""),2.48)</f>
        <v>2.48</v>
      </c>
      <c r="E1029" s="1">
        <f ca="1">IFERROR(__xludf.DUMMYFUNCTION("""COMPUTED_VALUE"""),2.49)</f>
        <v>2.4900000000000002</v>
      </c>
      <c r="F1029" s="1">
        <f ca="1">IFERROR(__xludf.DUMMYFUNCTION("""COMPUTED_VALUE"""),553300)</f>
        <v>553300</v>
      </c>
      <c r="I1029" s="1"/>
    </row>
    <row r="1030" spans="1:9">
      <c r="A1030" s="3">
        <f ca="1">IFERROR(__xludf.DUMMYFUNCTION("""COMPUTED_VALUE"""),30706.6666666666)</f>
        <v>30706.666666666599</v>
      </c>
      <c r="B1030" s="1">
        <f ca="1">IFERROR(__xludf.DUMMYFUNCTION("""COMPUTED_VALUE"""),2.47)</f>
        <v>2.4700000000000002</v>
      </c>
      <c r="C1030" s="1">
        <f ca="1">IFERROR(__xludf.DUMMYFUNCTION("""COMPUTED_VALUE"""),2.52)</f>
        <v>2.52</v>
      </c>
      <c r="D1030" s="1">
        <f ca="1">IFERROR(__xludf.DUMMYFUNCTION("""COMPUTED_VALUE"""),2.46)</f>
        <v>2.46</v>
      </c>
      <c r="E1030" s="1">
        <f ca="1">IFERROR(__xludf.DUMMYFUNCTION("""COMPUTED_VALUE"""),2.47)</f>
        <v>2.4700000000000002</v>
      </c>
      <c r="F1030" s="1">
        <f ca="1">IFERROR(__xludf.DUMMYFUNCTION("""COMPUTED_VALUE"""),558200)</f>
        <v>558200</v>
      </c>
      <c r="I1030" s="1"/>
    </row>
    <row r="1031" spans="1:9">
      <c r="A1031" s="3">
        <f ca="1">IFERROR(__xludf.DUMMYFUNCTION("""COMPUTED_VALUE"""),30707.6666666666)</f>
        <v>30707.666666666599</v>
      </c>
      <c r="B1031" s="1">
        <f ca="1">IFERROR(__xludf.DUMMYFUNCTION("""COMPUTED_VALUE"""),2.44)</f>
        <v>2.44</v>
      </c>
      <c r="C1031" s="1">
        <f ca="1">IFERROR(__xludf.DUMMYFUNCTION("""COMPUTED_VALUE"""),2.48)</f>
        <v>2.48</v>
      </c>
      <c r="D1031" s="1">
        <f ca="1">IFERROR(__xludf.DUMMYFUNCTION("""COMPUTED_VALUE"""),2.44)</f>
        <v>2.44</v>
      </c>
      <c r="E1031" s="1">
        <f ca="1">IFERROR(__xludf.DUMMYFUNCTION("""COMPUTED_VALUE"""),2.44)</f>
        <v>2.44</v>
      </c>
      <c r="F1031" s="1">
        <f ca="1">IFERROR(__xludf.DUMMYFUNCTION("""COMPUTED_VALUE"""),379100)</f>
        <v>379100</v>
      </c>
      <c r="I1031" s="1"/>
    </row>
    <row r="1032" spans="1:9">
      <c r="A1032" s="3">
        <f ca="1">IFERROR(__xludf.DUMMYFUNCTION("""COMPUTED_VALUE"""),30708.6666666666)</f>
        <v>30708.666666666599</v>
      </c>
      <c r="B1032" s="1">
        <f ca="1">IFERROR(__xludf.DUMMYFUNCTION("""COMPUTED_VALUE"""),2.39)</f>
        <v>2.39</v>
      </c>
      <c r="C1032" s="1">
        <f ca="1">IFERROR(__xludf.DUMMYFUNCTION("""COMPUTED_VALUE"""),2.44)</f>
        <v>2.44</v>
      </c>
      <c r="D1032" s="1">
        <f ca="1">IFERROR(__xludf.DUMMYFUNCTION("""COMPUTED_VALUE"""),2.36)</f>
        <v>2.36</v>
      </c>
      <c r="E1032" s="1">
        <f ca="1">IFERROR(__xludf.DUMMYFUNCTION("""COMPUTED_VALUE"""),2.39)</f>
        <v>2.39</v>
      </c>
      <c r="F1032" s="1">
        <f ca="1">IFERROR(__xludf.DUMMYFUNCTION("""COMPUTED_VALUE"""),910900)</f>
        <v>910900</v>
      </c>
      <c r="I1032" s="1"/>
    </row>
    <row r="1033" spans="1:9">
      <c r="A1033" s="3">
        <f ca="1">IFERROR(__xludf.DUMMYFUNCTION("""COMPUTED_VALUE"""),30711.6666666666)</f>
        <v>30711.666666666599</v>
      </c>
      <c r="B1033" s="1">
        <f ca="1">IFERROR(__xludf.DUMMYFUNCTION("""COMPUTED_VALUE"""),2.37)</f>
        <v>2.37</v>
      </c>
      <c r="C1033" s="1">
        <f ca="1">IFERROR(__xludf.DUMMYFUNCTION("""COMPUTED_VALUE"""),2.4)</f>
        <v>2.4</v>
      </c>
      <c r="D1033" s="1">
        <f ca="1">IFERROR(__xludf.DUMMYFUNCTION("""COMPUTED_VALUE"""),2.33)</f>
        <v>2.33</v>
      </c>
      <c r="E1033" s="1">
        <f ca="1">IFERROR(__xludf.DUMMYFUNCTION("""COMPUTED_VALUE"""),2.37)</f>
        <v>2.37</v>
      </c>
      <c r="F1033" s="1">
        <f ca="1">IFERROR(__xludf.DUMMYFUNCTION("""COMPUTED_VALUE"""),537800)</f>
        <v>537800</v>
      </c>
      <c r="I1033" s="1"/>
    </row>
    <row r="1034" spans="1:9">
      <c r="A1034" s="3">
        <f ca="1">IFERROR(__xludf.DUMMYFUNCTION("""COMPUTED_VALUE"""),30712.6666666666)</f>
        <v>30712.666666666599</v>
      </c>
      <c r="B1034" s="1">
        <f ca="1">IFERROR(__xludf.DUMMYFUNCTION("""COMPUTED_VALUE"""),2.4)</f>
        <v>2.4</v>
      </c>
      <c r="C1034" s="1">
        <f ca="1">IFERROR(__xludf.DUMMYFUNCTION("""COMPUTED_VALUE"""),2.41)</f>
        <v>2.41</v>
      </c>
      <c r="D1034" s="1">
        <f ca="1">IFERROR(__xludf.DUMMYFUNCTION("""COMPUTED_VALUE"""),2.36)</f>
        <v>2.36</v>
      </c>
      <c r="E1034" s="1">
        <f ca="1">IFERROR(__xludf.DUMMYFUNCTION("""COMPUTED_VALUE"""),2.4)</f>
        <v>2.4</v>
      </c>
      <c r="F1034" s="1">
        <f ca="1">IFERROR(__xludf.DUMMYFUNCTION("""COMPUTED_VALUE"""),537300)</f>
        <v>537300</v>
      </c>
      <c r="I1034" s="1"/>
    </row>
    <row r="1035" spans="1:9">
      <c r="A1035" s="3">
        <f ca="1">IFERROR(__xludf.DUMMYFUNCTION("""COMPUTED_VALUE"""),30713.6666666666)</f>
        <v>30713.666666666599</v>
      </c>
      <c r="B1035" s="1">
        <f ca="1">IFERROR(__xludf.DUMMYFUNCTION("""COMPUTED_VALUE"""),2.41)</f>
        <v>2.41</v>
      </c>
      <c r="C1035" s="1">
        <f ca="1">IFERROR(__xludf.DUMMYFUNCTION("""COMPUTED_VALUE"""),2.41)</f>
        <v>2.41</v>
      </c>
      <c r="D1035" s="1">
        <f ca="1">IFERROR(__xludf.DUMMYFUNCTION("""COMPUTED_VALUE"""),2.39)</f>
        <v>2.39</v>
      </c>
      <c r="E1035" s="1">
        <f ca="1">IFERROR(__xludf.DUMMYFUNCTION("""COMPUTED_VALUE"""),2.41)</f>
        <v>2.41</v>
      </c>
      <c r="F1035" s="1">
        <f ca="1">IFERROR(__xludf.DUMMYFUNCTION("""COMPUTED_VALUE"""),454500)</f>
        <v>454500</v>
      </c>
      <c r="I1035" s="1"/>
    </row>
    <row r="1036" spans="1:9">
      <c r="A1036" s="3">
        <f ca="1">IFERROR(__xludf.DUMMYFUNCTION("""COMPUTED_VALUE"""),30714.6666666666)</f>
        <v>30714.666666666599</v>
      </c>
      <c r="B1036" s="1">
        <f ca="1">IFERROR(__xludf.DUMMYFUNCTION("""COMPUTED_VALUE"""),2.46)</f>
        <v>2.46</v>
      </c>
      <c r="C1036" s="1">
        <f ca="1">IFERROR(__xludf.DUMMYFUNCTION("""COMPUTED_VALUE"""),2.47)</f>
        <v>2.4700000000000002</v>
      </c>
      <c r="D1036" s="1">
        <f ca="1">IFERROR(__xludf.DUMMYFUNCTION("""COMPUTED_VALUE"""),2.41)</f>
        <v>2.41</v>
      </c>
      <c r="E1036" s="1">
        <f ca="1">IFERROR(__xludf.DUMMYFUNCTION("""COMPUTED_VALUE"""),2.46)</f>
        <v>2.46</v>
      </c>
      <c r="F1036" s="1">
        <f ca="1">IFERROR(__xludf.DUMMYFUNCTION("""COMPUTED_VALUE"""),403500)</f>
        <v>403500</v>
      </c>
      <c r="I1036" s="1"/>
    </row>
    <row r="1037" spans="1:9">
      <c r="A1037" s="3">
        <f ca="1">IFERROR(__xludf.DUMMYFUNCTION("""COMPUTED_VALUE"""),30715.6666666666)</f>
        <v>30715.666666666599</v>
      </c>
      <c r="B1037" s="1">
        <f ca="1">IFERROR(__xludf.DUMMYFUNCTION("""COMPUTED_VALUE"""),2.45)</f>
        <v>2.4500000000000002</v>
      </c>
      <c r="C1037" s="1">
        <f ca="1">IFERROR(__xludf.DUMMYFUNCTION("""COMPUTED_VALUE"""),2.5)</f>
        <v>2.5</v>
      </c>
      <c r="D1037" s="1">
        <f ca="1">IFERROR(__xludf.DUMMYFUNCTION("""COMPUTED_VALUE"""),2.44)</f>
        <v>2.44</v>
      </c>
      <c r="E1037" s="1">
        <f ca="1">IFERROR(__xludf.DUMMYFUNCTION("""COMPUTED_VALUE"""),2.45)</f>
        <v>2.4500000000000002</v>
      </c>
      <c r="F1037" s="1">
        <f ca="1">IFERROR(__xludf.DUMMYFUNCTION("""COMPUTED_VALUE"""),681600)</f>
        <v>681600</v>
      </c>
      <c r="I1037" s="1"/>
    </row>
    <row r="1038" spans="1:9">
      <c r="A1038" s="3">
        <f ca="1">IFERROR(__xludf.DUMMYFUNCTION("""COMPUTED_VALUE"""),30718.6666666666)</f>
        <v>30718.666666666599</v>
      </c>
      <c r="B1038" s="1">
        <f ca="1">IFERROR(__xludf.DUMMYFUNCTION("""COMPUTED_VALUE"""),2.44)</f>
        <v>2.44</v>
      </c>
      <c r="C1038" s="1">
        <f ca="1">IFERROR(__xludf.DUMMYFUNCTION("""COMPUTED_VALUE"""),2.46)</f>
        <v>2.46</v>
      </c>
      <c r="D1038" s="1">
        <f ca="1">IFERROR(__xludf.DUMMYFUNCTION("""COMPUTED_VALUE"""),2.4)</f>
        <v>2.4</v>
      </c>
      <c r="E1038" s="1">
        <f ca="1">IFERROR(__xludf.DUMMYFUNCTION("""COMPUTED_VALUE"""),2.44)</f>
        <v>2.44</v>
      </c>
      <c r="F1038" s="1">
        <f ca="1">IFERROR(__xludf.DUMMYFUNCTION("""COMPUTED_VALUE"""),392800)</f>
        <v>392800</v>
      </c>
      <c r="I1038" s="1"/>
    </row>
    <row r="1039" spans="1:9">
      <c r="A1039" s="3">
        <f ca="1">IFERROR(__xludf.DUMMYFUNCTION("""COMPUTED_VALUE"""),30719.6666666666)</f>
        <v>30719.666666666599</v>
      </c>
      <c r="B1039" s="1">
        <f ca="1">IFERROR(__xludf.DUMMYFUNCTION("""COMPUTED_VALUE"""),2.4)</f>
        <v>2.4</v>
      </c>
      <c r="C1039" s="1">
        <f ca="1">IFERROR(__xludf.DUMMYFUNCTION("""COMPUTED_VALUE"""),2.42)</f>
        <v>2.42</v>
      </c>
      <c r="D1039" s="1">
        <f ca="1">IFERROR(__xludf.DUMMYFUNCTION("""COMPUTED_VALUE"""),2.38)</f>
        <v>2.38</v>
      </c>
      <c r="E1039" s="1">
        <f ca="1">IFERROR(__xludf.DUMMYFUNCTION("""COMPUTED_VALUE"""),2.4)</f>
        <v>2.4</v>
      </c>
      <c r="F1039" s="1">
        <f ca="1">IFERROR(__xludf.DUMMYFUNCTION("""COMPUTED_VALUE"""),612400)</f>
        <v>612400</v>
      </c>
      <c r="I1039" s="1"/>
    </row>
    <row r="1040" spans="1:9">
      <c r="A1040" s="3">
        <f ca="1">IFERROR(__xludf.DUMMYFUNCTION("""COMPUTED_VALUE"""),30720.6666666666)</f>
        <v>30720.666666666599</v>
      </c>
      <c r="B1040" s="1">
        <f ca="1">IFERROR(__xludf.DUMMYFUNCTION("""COMPUTED_VALUE"""),2.36)</f>
        <v>2.36</v>
      </c>
      <c r="C1040" s="1">
        <f ca="1">IFERROR(__xludf.DUMMYFUNCTION("""COMPUTED_VALUE"""),2.41)</f>
        <v>2.41</v>
      </c>
      <c r="D1040" s="1">
        <f ca="1">IFERROR(__xludf.DUMMYFUNCTION("""COMPUTED_VALUE"""),2.36)</f>
        <v>2.36</v>
      </c>
      <c r="E1040" s="1">
        <f ca="1">IFERROR(__xludf.DUMMYFUNCTION("""COMPUTED_VALUE"""),2.36)</f>
        <v>2.36</v>
      </c>
      <c r="F1040" s="1">
        <f ca="1">IFERROR(__xludf.DUMMYFUNCTION("""COMPUTED_VALUE"""),368900)</f>
        <v>368900</v>
      </c>
      <c r="I1040" s="1"/>
    </row>
    <row r="1041" spans="1:9">
      <c r="A1041" s="3">
        <f ca="1">IFERROR(__xludf.DUMMYFUNCTION("""COMPUTED_VALUE"""),30721.6666666666)</f>
        <v>30721.666666666599</v>
      </c>
      <c r="B1041" s="1">
        <f ca="1">IFERROR(__xludf.DUMMYFUNCTION("""COMPUTED_VALUE"""),2.34)</f>
        <v>2.34</v>
      </c>
      <c r="C1041" s="1">
        <f ca="1">IFERROR(__xludf.DUMMYFUNCTION("""COMPUTED_VALUE"""),2.39)</f>
        <v>2.39</v>
      </c>
      <c r="D1041" s="1">
        <f ca="1">IFERROR(__xludf.DUMMYFUNCTION("""COMPUTED_VALUE"""),2.33)</f>
        <v>2.33</v>
      </c>
      <c r="E1041" s="1">
        <f ca="1">IFERROR(__xludf.DUMMYFUNCTION("""COMPUTED_VALUE"""),2.34)</f>
        <v>2.34</v>
      </c>
      <c r="F1041" s="1">
        <f ca="1">IFERROR(__xludf.DUMMYFUNCTION("""COMPUTED_VALUE"""),831100)</f>
        <v>831100</v>
      </c>
      <c r="I1041" s="1"/>
    </row>
    <row r="1042" spans="1:9">
      <c r="A1042" s="3">
        <f ca="1">IFERROR(__xludf.DUMMYFUNCTION("""COMPUTED_VALUE"""),30722.6666666666)</f>
        <v>30722.666666666599</v>
      </c>
      <c r="B1042" s="1">
        <f ca="1">IFERROR(__xludf.DUMMYFUNCTION("""COMPUTED_VALUE"""),2.32)</f>
        <v>2.3199999999999998</v>
      </c>
      <c r="C1042" s="1">
        <f ca="1">IFERROR(__xludf.DUMMYFUNCTION("""COMPUTED_VALUE"""),2.36)</f>
        <v>2.36</v>
      </c>
      <c r="D1042" s="1">
        <f ca="1">IFERROR(__xludf.DUMMYFUNCTION("""COMPUTED_VALUE"""),2.31)</f>
        <v>2.31</v>
      </c>
      <c r="E1042" s="1">
        <f ca="1">IFERROR(__xludf.DUMMYFUNCTION("""COMPUTED_VALUE"""),2.32)</f>
        <v>2.3199999999999998</v>
      </c>
      <c r="F1042" s="1">
        <f ca="1">IFERROR(__xludf.DUMMYFUNCTION("""COMPUTED_VALUE"""),488000)</f>
        <v>488000</v>
      </c>
      <c r="I1042" s="1"/>
    </row>
    <row r="1043" spans="1:9">
      <c r="A1043" s="3">
        <f ca="1">IFERROR(__xludf.DUMMYFUNCTION("""COMPUTED_VALUE"""),30725.6666666666)</f>
        <v>30725.666666666599</v>
      </c>
      <c r="B1043" s="1">
        <f ca="1">IFERROR(__xludf.DUMMYFUNCTION("""COMPUTED_VALUE"""),2.3)</f>
        <v>2.2999999999999998</v>
      </c>
      <c r="C1043" s="1">
        <f ca="1">IFERROR(__xludf.DUMMYFUNCTION("""COMPUTED_VALUE"""),2.32)</f>
        <v>2.3199999999999998</v>
      </c>
      <c r="D1043" s="1">
        <f ca="1">IFERROR(__xludf.DUMMYFUNCTION("""COMPUTED_VALUE"""),2.29)</f>
        <v>2.29</v>
      </c>
      <c r="E1043" s="1">
        <f ca="1">IFERROR(__xludf.DUMMYFUNCTION("""COMPUTED_VALUE"""),2.3)</f>
        <v>2.2999999999999998</v>
      </c>
      <c r="F1043" s="1">
        <f ca="1">IFERROR(__xludf.DUMMYFUNCTION("""COMPUTED_VALUE"""),204800)</f>
        <v>204800</v>
      </c>
      <c r="I1043" s="1"/>
    </row>
    <row r="1044" spans="1:9">
      <c r="A1044" s="3">
        <f ca="1">IFERROR(__xludf.DUMMYFUNCTION("""COMPUTED_VALUE"""),30726.6666666666)</f>
        <v>30726.666666666599</v>
      </c>
      <c r="B1044" s="1">
        <f ca="1">IFERROR(__xludf.DUMMYFUNCTION("""COMPUTED_VALUE"""),2.33)</f>
        <v>2.33</v>
      </c>
      <c r="C1044" s="1">
        <f ca="1">IFERROR(__xludf.DUMMYFUNCTION("""COMPUTED_VALUE"""),2.35)</f>
        <v>2.35</v>
      </c>
      <c r="D1044" s="1">
        <f ca="1">IFERROR(__xludf.DUMMYFUNCTION("""COMPUTED_VALUE"""),2.3)</f>
        <v>2.2999999999999998</v>
      </c>
      <c r="E1044" s="1">
        <f ca="1">IFERROR(__xludf.DUMMYFUNCTION("""COMPUTED_VALUE"""),2.33)</f>
        <v>2.33</v>
      </c>
      <c r="F1044" s="1">
        <f ca="1">IFERROR(__xludf.DUMMYFUNCTION("""COMPUTED_VALUE"""),368500)</f>
        <v>368500</v>
      </c>
      <c r="I1044" s="1"/>
    </row>
    <row r="1045" spans="1:9">
      <c r="A1045" s="3">
        <f ca="1">IFERROR(__xludf.DUMMYFUNCTION("""COMPUTED_VALUE"""),30727.6666666666)</f>
        <v>30727.666666666599</v>
      </c>
      <c r="B1045" s="1">
        <f ca="1">IFERROR(__xludf.DUMMYFUNCTION("""COMPUTED_VALUE"""),2.31)</f>
        <v>2.31</v>
      </c>
      <c r="C1045" s="1">
        <f ca="1">IFERROR(__xludf.DUMMYFUNCTION("""COMPUTED_VALUE"""),2.36)</f>
        <v>2.36</v>
      </c>
      <c r="D1045" s="1">
        <f ca="1">IFERROR(__xludf.DUMMYFUNCTION("""COMPUTED_VALUE"""),2.29)</f>
        <v>2.29</v>
      </c>
      <c r="E1045" s="1">
        <f ca="1">IFERROR(__xludf.DUMMYFUNCTION("""COMPUTED_VALUE"""),2.31)</f>
        <v>2.31</v>
      </c>
      <c r="F1045" s="1">
        <f ca="1">IFERROR(__xludf.DUMMYFUNCTION("""COMPUTED_VALUE"""),326800)</f>
        <v>326800</v>
      </c>
      <c r="I1045" s="1"/>
    </row>
    <row r="1046" spans="1:9">
      <c r="A1046" s="3">
        <f ca="1">IFERROR(__xludf.DUMMYFUNCTION("""COMPUTED_VALUE"""),30728.6666666666)</f>
        <v>30728.666666666599</v>
      </c>
      <c r="B1046" s="1">
        <f ca="1">IFERROR(__xludf.DUMMYFUNCTION("""COMPUTED_VALUE"""),2.27)</f>
        <v>2.27</v>
      </c>
      <c r="C1046" s="1">
        <f ca="1">IFERROR(__xludf.DUMMYFUNCTION("""COMPUTED_VALUE"""),2.3)</f>
        <v>2.2999999999999998</v>
      </c>
      <c r="D1046" s="1">
        <f ca="1">IFERROR(__xludf.DUMMYFUNCTION("""COMPUTED_VALUE"""),2.25)</f>
        <v>2.25</v>
      </c>
      <c r="E1046" s="1">
        <f ca="1">IFERROR(__xludf.DUMMYFUNCTION("""COMPUTED_VALUE"""),2.27)</f>
        <v>2.27</v>
      </c>
      <c r="F1046" s="1">
        <f ca="1">IFERROR(__xludf.DUMMYFUNCTION("""COMPUTED_VALUE"""),551300)</f>
        <v>551300</v>
      </c>
      <c r="I1046" s="1"/>
    </row>
    <row r="1047" spans="1:9">
      <c r="A1047" s="3">
        <f ca="1">IFERROR(__xludf.DUMMYFUNCTION("""COMPUTED_VALUE"""),30729.6666666666)</f>
        <v>30729.666666666599</v>
      </c>
      <c r="B1047" s="1">
        <f ca="1">IFERROR(__xludf.DUMMYFUNCTION("""COMPUTED_VALUE"""),2.2)</f>
        <v>2.2000000000000002</v>
      </c>
      <c r="C1047" s="1">
        <f ca="1">IFERROR(__xludf.DUMMYFUNCTION("""COMPUTED_VALUE"""),2.25)</f>
        <v>2.25</v>
      </c>
      <c r="D1047" s="1">
        <f ca="1">IFERROR(__xludf.DUMMYFUNCTION("""COMPUTED_VALUE"""),2.17)</f>
        <v>2.17</v>
      </c>
      <c r="E1047" s="1">
        <f ca="1">IFERROR(__xludf.DUMMYFUNCTION("""COMPUTED_VALUE"""),2.2)</f>
        <v>2.2000000000000002</v>
      </c>
      <c r="F1047" s="1">
        <f ca="1">IFERROR(__xludf.DUMMYFUNCTION("""COMPUTED_VALUE"""),434500)</f>
        <v>434500</v>
      </c>
      <c r="I1047" s="1"/>
    </row>
    <row r="1048" spans="1:9">
      <c r="A1048" s="3">
        <f ca="1">IFERROR(__xludf.DUMMYFUNCTION("""COMPUTED_VALUE"""),30733.6666666666)</f>
        <v>30733.666666666599</v>
      </c>
      <c r="B1048" s="1">
        <f ca="1">IFERROR(__xludf.DUMMYFUNCTION("""COMPUTED_VALUE"""),2.15)</f>
        <v>2.15</v>
      </c>
      <c r="C1048" s="1">
        <f ca="1">IFERROR(__xludf.DUMMYFUNCTION("""COMPUTED_VALUE"""),2.2)</f>
        <v>2.2000000000000002</v>
      </c>
      <c r="D1048" s="1">
        <f ca="1">IFERROR(__xludf.DUMMYFUNCTION("""COMPUTED_VALUE"""),2.13)</f>
        <v>2.13</v>
      </c>
      <c r="E1048" s="1">
        <f ca="1">IFERROR(__xludf.DUMMYFUNCTION("""COMPUTED_VALUE"""),2.15)</f>
        <v>2.15</v>
      </c>
      <c r="F1048" s="1">
        <f ca="1">IFERROR(__xludf.DUMMYFUNCTION("""COMPUTED_VALUE"""),488100)</f>
        <v>488100</v>
      </c>
      <c r="I1048" s="1"/>
    </row>
    <row r="1049" spans="1:9">
      <c r="A1049" s="3">
        <f ca="1">IFERROR(__xludf.DUMMYFUNCTION("""COMPUTED_VALUE"""),30734.6666666666)</f>
        <v>30734.666666666599</v>
      </c>
      <c r="B1049" s="1">
        <f ca="1">IFERROR(__xludf.DUMMYFUNCTION("""COMPUTED_VALUE"""),2.19)</f>
        <v>2.19</v>
      </c>
      <c r="C1049" s="1">
        <f ca="1">IFERROR(__xludf.DUMMYFUNCTION("""COMPUTED_VALUE"""),2.2)</f>
        <v>2.2000000000000002</v>
      </c>
      <c r="D1049" s="1">
        <f ca="1">IFERROR(__xludf.DUMMYFUNCTION("""COMPUTED_VALUE"""),2.15)</f>
        <v>2.15</v>
      </c>
      <c r="E1049" s="1">
        <f ca="1">IFERROR(__xludf.DUMMYFUNCTION("""COMPUTED_VALUE"""),2.19)</f>
        <v>2.19</v>
      </c>
      <c r="F1049" s="1">
        <f ca="1">IFERROR(__xludf.DUMMYFUNCTION("""COMPUTED_VALUE"""),539700)</f>
        <v>539700</v>
      </c>
      <c r="I1049" s="1"/>
    </row>
    <row r="1050" spans="1:9">
      <c r="A1050" s="3">
        <f ca="1">IFERROR(__xludf.DUMMYFUNCTION("""COMPUTED_VALUE"""),30735.6666666666)</f>
        <v>30735.666666666599</v>
      </c>
      <c r="B1050" s="1">
        <f ca="1">IFERROR(__xludf.DUMMYFUNCTION("""COMPUTED_VALUE"""),2.2)</f>
        <v>2.2000000000000002</v>
      </c>
      <c r="C1050" s="1">
        <f ca="1">IFERROR(__xludf.DUMMYFUNCTION("""COMPUTED_VALUE"""),2.2)</f>
        <v>2.2000000000000002</v>
      </c>
      <c r="D1050" s="1">
        <f ca="1">IFERROR(__xludf.DUMMYFUNCTION("""COMPUTED_VALUE"""),2.16)</f>
        <v>2.16</v>
      </c>
      <c r="E1050" s="1">
        <f ca="1">IFERROR(__xludf.DUMMYFUNCTION("""COMPUTED_VALUE"""),2.2)</f>
        <v>2.2000000000000002</v>
      </c>
      <c r="F1050" s="1">
        <f ca="1">IFERROR(__xludf.DUMMYFUNCTION("""COMPUTED_VALUE"""),397000)</f>
        <v>397000</v>
      </c>
      <c r="I1050" s="1"/>
    </row>
    <row r="1051" spans="1:9">
      <c r="A1051" s="3">
        <f ca="1">IFERROR(__xludf.DUMMYFUNCTION("""COMPUTED_VALUE"""),30736.6666666666)</f>
        <v>30736.666666666599</v>
      </c>
      <c r="B1051" s="1">
        <f ca="1">IFERROR(__xludf.DUMMYFUNCTION("""COMPUTED_VALUE"""),2.27)</f>
        <v>2.27</v>
      </c>
      <c r="C1051" s="1">
        <f ca="1">IFERROR(__xludf.DUMMYFUNCTION("""COMPUTED_VALUE"""),2.27)</f>
        <v>2.27</v>
      </c>
      <c r="D1051" s="1">
        <f ca="1">IFERROR(__xludf.DUMMYFUNCTION("""COMPUTED_VALUE"""),2.22)</f>
        <v>2.2200000000000002</v>
      </c>
      <c r="E1051" s="1">
        <f ca="1">IFERROR(__xludf.DUMMYFUNCTION("""COMPUTED_VALUE"""),2.27)</f>
        <v>2.27</v>
      </c>
      <c r="F1051" s="1">
        <f ca="1">IFERROR(__xludf.DUMMYFUNCTION("""COMPUTED_VALUE"""),458700)</f>
        <v>458700</v>
      </c>
      <c r="I1051" s="1"/>
    </row>
    <row r="1052" spans="1:9">
      <c r="A1052" s="3">
        <f ca="1">IFERROR(__xludf.DUMMYFUNCTION("""COMPUTED_VALUE"""),30739.6666666666)</f>
        <v>30739.666666666599</v>
      </c>
      <c r="B1052" s="1">
        <f ca="1">IFERROR(__xludf.DUMMYFUNCTION("""COMPUTED_VALUE"""),2.28)</f>
        <v>2.2799999999999998</v>
      </c>
      <c r="C1052" s="1">
        <f ca="1">IFERROR(__xludf.DUMMYFUNCTION("""COMPUTED_VALUE"""),2.28)</f>
        <v>2.2799999999999998</v>
      </c>
      <c r="D1052" s="1">
        <f ca="1">IFERROR(__xludf.DUMMYFUNCTION("""COMPUTED_VALUE"""),2.25)</f>
        <v>2.25</v>
      </c>
      <c r="E1052" s="1">
        <f ca="1">IFERROR(__xludf.DUMMYFUNCTION("""COMPUTED_VALUE"""),2.28)</f>
        <v>2.2799999999999998</v>
      </c>
      <c r="F1052" s="1">
        <f ca="1">IFERROR(__xludf.DUMMYFUNCTION("""COMPUTED_VALUE"""),322600)</f>
        <v>322600</v>
      </c>
      <c r="I1052" s="1"/>
    </row>
    <row r="1053" spans="1:9">
      <c r="A1053" s="3">
        <f ca="1">IFERROR(__xludf.DUMMYFUNCTION("""COMPUTED_VALUE"""),30740.6666666666)</f>
        <v>30740.666666666599</v>
      </c>
      <c r="B1053" s="1">
        <f ca="1">IFERROR(__xludf.DUMMYFUNCTION("""COMPUTED_VALUE"""),2.2)</f>
        <v>2.2000000000000002</v>
      </c>
      <c r="C1053" s="1">
        <f ca="1">IFERROR(__xludf.DUMMYFUNCTION("""COMPUTED_VALUE"""),2.25)</f>
        <v>2.25</v>
      </c>
      <c r="D1053" s="1">
        <f ca="1">IFERROR(__xludf.DUMMYFUNCTION("""COMPUTED_VALUE"""),2.2)</f>
        <v>2.2000000000000002</v>
      </c>
      <c r="E1053" s="1">
        <f ca="1">IFERROR(__xludf.DUMMYFUNCTION("""COMPUTED_VALUE"""),2.2)</f>
        <v>2.2000000000000002</v>
      </c>
      <c r="F1053" s="1">
        <f ca="1">IFERROR(__xludf.DUMMYFUNCTION("""COMPUTED_VALUE"""),358900)</f>
        <v>358900</v>
      </c>
      <c r="I1053" s="1"/>
    </row>
    <row r="1054" spans="1:9">
      <c r="A1054" s="3">
        <f ca="1">IFERROR(__xludf.DUMMYFUNCTION("""COMPUTED_VALUE"""),30741.6666666666)</f>
        <v>30741.666666666599</v>
      </c>
      <c r="B1054" s="1">
        <f ca="1">IFERROR(__xludf.DUMMYFUNCTION("""COMPUTED_VALUE"""),2.24)</f>
        <v>2.2400000000000002</v>
      </c>
      <c r="C1054" s="1">
        <f ca="1">IFERROR(__xludf.DUMMYFUNCTION("""COMPUTED_VALUE"""),2.27)</f>
        <v>2.27</v>
      </c>
      <c r="D1054" s="1">
        <f ca="1">IFERROR(__xludf.DUMMYFUNCTION("""COMPUTED_VALUE"""),2.2)</f>
        <v>2.2000000000000002</v>
      </c>
      <c r="E1054" s="1">
        <f ca="1">IFERROR(__xludf.DUMMYFUNCTION("""COMPUTED_VALUE"""),2.24)</f>
        <v>2.2400000000000002</v>
      </c>
      <c r="F1054" s="1">
        <f ca="1">IFERROR(__xludf.DUMMYFUNCTION("""COMPUTED_VALUE"""),282500)</f>
        <v>282500</v>
      </c>
      <c r="I1054" s="1"/>
    </row>
    <row r="1055" spans="1:9">
      <c r="A1055" s="3">
        <f ca="1">IFERROR(__xludf.DUMMYFUNCTION("""COMPUTED_VALUE"""),30742.6666666666)</f>
        <v>30742.666666666599</v>
      </c>
      <c r="B1055" s="1">
        <f ca="1">IFERROR(__xludf.DUMMYFUNCTION("""COMPUTED_VALUE"""),2.24)</f>
        <v>2.2400000000000002</v>
      </c>
      <c r="C1055" s="1">
        <f ca="1">IFERROR(__xludf.DUMMYFUNCTION("""COMPUTED_VALUE"""),2.25)</f>
        <v>2.25</v>
      </c>
      <c r="D1055" s="1">
        <f ca="1">IFERROR(__xludf.DUMMYFUNCTION("""COMPUTED_VALUE"""),2.21)</f>
        <v>2.21</v>
      </c>
      <c r="E1055" s="1">
        <f ca="1">IFERROR(__xludf.DUMMYFUNCTION("""COMPUTED_VALUE"""),2.24)</f>
        <v>2.2400000000000002</v>
      </c>
      <c r="F1055" s="1">
        <f ca="1">IFERROR(__xludf.DUMMYFUNCTION("""COMPUTED_VALUE"""),204500)</f>
        <v>204500</v>
      </c>
      <c r="I1055" s="1"/>
    </row>
    <row r="1056" spans="1:9">
      <c r="A1056" s="3">
        <f ca="1">IFERROR(__xludf.DUMMYFUNCTION("""COMPUTED_VALUE"""),30743.6666666666)</f>
        <v>30743.666666666599</v>
      </c>
      <c r="B1056" s="1">
        <f ca="1">IFERROR(__xludf.DUMMYFUNCTION("""COMPUTED_VALUE"""),2.17)</f>
        <v>2.17</v>
      </c>
      <c r="C1056" s="1">
        <f ca="1">IFERROR(__xludf.DUMMYFUNCTION("""COMPUTED_VALUE"""),2.27)</f>
        <v>2.27</v>
      </c>
      <c r="D1056" s="1">
        <f ca="1">IFERROR(__xludf.DUMMYFUNCTION("""COMPUTED_VALUE"""),2.16)</f>
        <v>2.16</v>
      </c>
      <c r="E1056" s="1">
        <f ca="1">IFERROR(__xludf.DUMMYFUNCTION("""COMPUTED_VALUE"""),2.17)</f>
        <v>2.17</v>
      </c>
      <c r="F1056" s="1">
        <f ca="1">IFERROR(__xludf.DUMMYFUNCTION("""COMPUTED_VALUE"""),332900)</f>
        <v>332900</v>
      </c>
      <c r="I1056" s="1"/>
    </row>
    <row r="1057" spans="1:9">
      <c r="A1057" s="3">
        <f ca="1">IFERROR(__xludf.DUMMYFUNCTION("""COMPUTED_VALUE"""),30746.6666666666)</f>
        <v>30746.666666666599</v>
      </c>
      <c r="B1057" s="1">
        <f ca="1">IFERROR(__xludf.DUMMYFUNCTION("""COMPUTED_VALUE"""),2.2)</f>
        <v>2.2000000000000002</v>
      </c>
      <c r="C1057" s="1">
        <f ca="1">IFERROR(__xludf.DUMMYFUNCTION("""COMPUTED_VALUE"""),2.21)</f>
        <v>2.21</v>
      </c>
      <c r="D1057" s="1">
        <f ca="1">IFERROR(__xludf.DUMMYFUNCTION("""COMPUTED_VALUE"""),2.17)</f>
        <v>2.17</v>
      </c>
      <c r="E1057" s="1">
        <f ca="1">IFERROR(__xludf.DUMMYFUNCTION("""COMPUTED_VALUE"""),2.2)</f>
        <v>2.2000000000000002</v>
      </c>
      <c r="F1057" s="1">
        <f ca="1">IFERROR(__xludf.DUMMYFUNCTION("""COMPUTED_VALUE"""),227700)</f>
        <v>227700</v>
      </c>
      <c r="I1057" s="1"/>
    </row>
    <row r="1058" spans="1:9">
      <c r="A1058" s="3">
        <f ca="1">IFERROR(__xludf.DUMMYFUNCTION("""COMPUTED_VALUE"""),30747.6666666666)</f>
        <v>30747.666666666599</v>
      </c>
      <c r="B1058" s="1">
        <f ca="1">IFERROR(__xludf.DUMMYFUNCTION("""COMPUTED_VALUE"""),2.22)</f>
        <v>2.2200000000000002</v>
      </c>
      <c r="C1058" s="1">
        <f ca="1">IFERROR(__xludf.DUMMYFUNCTION("""COMPUTED_VALUE"""),2.24)</f>
        <v>2.2400000000000002</v>
      </c>
      <c r="D1058" s="1">
        <f ca="1">IFERROR(__xludf.DUMMYFUNCTION("""COMPUTED_VALUE"""),2.2)</f>
        <v>2.2000000000000002</v>
      </c>
      <c r="E1058" s="1">
        <f ca="1">IFERROR(__xludf.DUMMYFUNCTION("""COMPUTED_VALUE"""),2.22)</f>
        <v>2.2200000000000002</v>
      </c>
      <c r="F1058" s="1">
        <f ca="1">IFERROR(__xludf.DUMMYFUNCTION("""COMPUTED_VALUE"""),245200)</f>
        <v>245200</v>
      </c>
      <c r="I1058" s="1"/>
    </row>
    <row r="1059" spans="1:9">
      <c r="A1059" s="3">
        <f ca="1">IFERROR(__xludf.DUMMYFUNCTION("""COMPUTED_VALUE"""),30748.6666666666)</f>
        <v>30748.666666666599</v>
      </c>
      <c r="B1059" s="1">
        <f ca="1">IFERROR(__xludf.DUMMYFUNCTION("""COMPUTED_VALUE"""),2.21)</f>
        <v>2.21</v>
      </c>
      <c r="C1059" s="1">
        <f ca="1">IFERROR(__xludf.DUMMYFUNCTION("""COMPUTED_VALUE"""),2.21)</f>
        <v>2.21</v>
      </c>
      <c r="D1059" s="1">
        <f ca="1">IFERROR(__xludf.DUMMYFUNCTION("""COMPUTED_VALUE"""),2.19)</f>
        <v>2.19</v>
      </c>
      <c r="E1059" s="1">
        <f ca="1">IFERROR(__xludf.DUMMYFUNCTION("""COMPUTED_VALUE"""),2.21)</f>
        <v>2.21</v>
      </c>
      <c r="F1059" s="1">
        <f ca="1">IFERROR(__xludf.DUMMYFUNCTION("""COMPUTED_VALUE"""),179500)</f>
        <v>179500</v>
      </c>
      <c r="I1059" s="1"/>
    </row>
    <row r="1060" spans="1:9">
      <c r="A1060" s="3">
        <f ca="1">IFERROR(__xludf.DUMMYFUNCTION("""COMPUTED_VALUE"""),30749.6666666666)</f>
        <v>30749.666666666599</v>
      </c>
      <c r="B1060" s="1">
        <f ca="1">IFERROR(__xludf.DUMMYFUNCTION("""COMPUTED_VALUE"""),2.2)</f>
        <v>2.2000000000000002</v>
      </c>
      <c r="C1060" s="1">
        <f ca="1">IFERROR(__xludf.DUMMYFUNCTION("""COMPUTED_VALUE"""),2.21)</f>
        <v>2.21</v>
      </c>
      <c r="D1060" s="1">
        <f ca="1">IFERROR(__xludf.DUMMYFUNCTION("""COMPUTED_VALUE"""),2.19)</f>
        <v>2.19</v>
      </c>
      <c r="E1060" s="1">
        <f ca="1">IFERROR(__xludf.DUMMYFUNCTION("""COMPUTED_VALUE"""),2.2)</f>
        <v>2.2000000000000002</v>
      </c>
      <c r="F1060" s="1">
        <f ca="1">IFERROR(__xludf.DUMMYFUNCTION("""COMPUTED_VALUE"""),210700)</f>
        <v>210700</v>
      </c>
      <c r="I1060" s="1"/>
    </row>
    <row r="1061" spans="1:9">
      <c r="A1061" s="3">
        <f ca="1">IFERROR(__xludf.DUMMYFUNCTION("""COMPUTED_VALUE"""),30750.6666666666)</f>
        <v>30750.666666666599</v>
      </c>
      <c r="B1061" s="1">
        <f ca="1">IFERROR(__xludf.DUMMYFUNCTION("""COMPUTED_VALUE"""),2.16)</f>
        <v>2.16</v>
      </c>
      <c r="C1061" s="1">
        <f ca="1">IFERROR(__xludf.DUMMYFUNCTION("""COMPUTED_VALUE"""),2.19)</f>
        <v>2.19</v>
      </c>
      <c r="D1061" s="1">
        <f ca="1">IFERROR(__xludf.DUMMYFUNCTION("""COMPUTED_VALUE"""),2.15)</f>
        <v>2.15</v>
      </c>
      <c r="E1061" s="1">
        <f ca="1">IFERROR(__xludf.DUMMYFUNCTION("""COMPUTED_VALUE"""),2.16)</f>
        <v>2.16</v>
      </c>
      <c r="F1061" s="1">
        <f ca="1">IFERROR(__xludf.DUMMYFUNCTION("""COMPUTED_VALUE"""),232700)</f>
        <v>232700</v>
      </c>
      <c r="I1061" s="1"/>
    </row>
    <row r="1062" spans="1:9">
      <c r="A1062" s="3">
        <f ca="1">IFERROR(__xludf.DUMMYFUNCTION("""COMPUTED_VALUE"""),30753.6666666666)</f>
        <v>30753.666666666599</v>
      </c>
      <c r="B1062" s="1">
        <f ca="1">IFERROR(__xludf.DUMMYFUNCTION("""COMPUTED_VALUE"""),2.17)</f>
        <v>2.17</v>
      </c>
      <c r="C1062" s="1">
        <f ca="1">IFERROR(__xludf.DUMMYFUNCTION("""COMPUTED_VALUE"""),2.19)</f>
        <v>2.19</v>
      </c>
      <c r="D1062" s="1">
        <f ca="1">IFERROR(__xludf.DUMMYFUNCTION("""COMPUTED_VALUE"""),2.16)</f>
        <v>2.16</v>
      </c>
      <c r="E1062" s="1">
        <f ca="1">IFERROR(__xludf.DUMMYFUNCTION("""COMPUTED_VALUE"""),2.17)</f>
        <v>2.17</v>
      </c>
      <c r="F1062" s="1">
        <f ca="1">IFERROR(__xludf.DUMMYFUNCTION("""COMPUTED_VALUE"""),311000)</f>
        <v>311000</v>
      </c>
      <c r="I1062" s="1"/>
    </row>
    <row r="1063" spans="1:9">
      <c r="A1063" s="3">
        <f ca="1">IFERROR(__xludf.DUMMYFUNCTION("""COMPUTED_VALUE"""),30754.6666666666)</f>
        <v>30754.666666666599</v>
      </c>
      <c r="B1063" s="1">
        <f ca="1">IFERROR(__xludf.DUMMYFUNCTION("""COMPUTED_VALUE"""),2.14)</f>
        <v>2.14</v>
      </c>
      <c r="C1063" s="1">
        <f ca="1">IFERROR(__xludf.DUMMYFUNCTION("""COMPUTED_VALUE"""),2.18)</f>
        <v>2.1800000000000002</v>
      </c>
      <c r="D1063" s="1">
        <f ca="1">IFERROR(__xludf.DUMMYFUNCTION("""COMPUTED_VALUE"""),2.14)</f>
        <v>2.14</v>
      </c>
      <c r="E1063" s="1">
        <f ca="1">IFERROR(__xludf.DUMMYFUNCTION("""COMPUTED_VALUE"""),2.14)</f>
        <v>2.14</v>
      </c>
      <c r="F1063" s="1">
        <f ca="1">IFERROR(__xludf.DUMMYFUNCTION("""COMPUTED_VALUE"""),445500)</f>
        <v>445500</v>
      </c>
      <c r="I1063" s="1"/>
    </row>
    <row r="1064" spans="1:9">
      <c r="A1064" s="3">
        <f ca="1">IFERROR(__xludf.DUMMYFUNCTION("""COMPUTED_VALUE"""),30755.6666666666)</f>
        <v>30755.666666666599</v>
      </c>
      <c r="B1064" s="1">
        <f ca="1">IFERROR(__xludf.DUMMYFUNCTION("""COMPUTED_VALUE"""),2.15)</f>
        <v>2.15</v>
      </c>
      <c r="C1064" s="1">
        <f ca="1">IFERROR(__xludf.DUMMYFUNCTION("""COMPUTED_VALUE"""),2.17)</f>
        <v>2.17</v>
      </c>
      <c r="D1064" s="1">
        <f ca="1">IFERROR(__xludf.DUMMYFUNCTION("""COMPUTED_VALUE"""),2.14)</f>
        <v>2.14</v>
      </c>
      <c r="E1064" s="1">
        <f ca="1">IFERROR(__xludf.DUMMYFUNCTION("""COMPUTED_VALUE"""),2.15)</f>
        <v>2.15</v>
      </c>
      <c r="F1064" s="1">
        <f ca="1">IFERROR(__xludf.DUMMYFUNCTION("""COMPUTED_VALUE"""),388000)</f>
        <v>388000</v>
      </c>
      <c r="I1064" s="1"/>
    </row>
    <row r="1065" spans="1:9">
      <c r="A1065" s="3">
        <f ca="1">IFERROR(__xludf.DUMMYFUNCTION("""COMPUTED_VALUE"""),30756.6666666666)</f>
        <v>30756.666666666599</v>
      </c>
      <c r="B1065" s="1">
        <f ca="1">IFERROR(__xludf.DUMMYFUNCTION("""COMPUTED_VALUE"""),2.19)</f>
        <v>2.19</v>
      </c>
      <c r="C1065" s="1">
        <f ca="1">IFERROR(__xludf.DUMMYFUNCTION("""COMPUTED_VALUE"""),2.2)</f>
        <v>2.2000000000000002</v>
      </c>
      <c r="D1065" s="1">
        <f ca="1">IFERROR(__xludf.DUMMYFUNCTION("""COMPUTED_VALUE"""),2.16)</f>
        <v>2.16</v>
      </c>
      <c r="E1065" s="1">
        <f ca="1">IFERROR(__xludf.DUMMYFUNCTION("""COMPUTED_VALUE"""),2.19)</f>
        <v>2.19</v>
      </c>
      <c r="F1065" s="1">
        <f ca="1">IFERROR(__xludf.DUMMYFUNCTION("""COMPUTED_VALUE"""),375800)</f>
        <v>375800</v>
      </c>
      <c r="I1065" s="1"/>
    </row>
    <row r="1066" spans="1:9">
      <c r="A1066" s="3">
        <f ca="1">IFERROR(__xludf.DUMMYFUNCTION("""COMPUTED_VALUE"""),30757.6666666666)</f>
        <v>30757.666666666599</v>
      </c>
      <c r="B1066" s="1">
        <f ca="1">IFERROR(__xludf.DUMMYFUNCTION("""COMPUTED_VALUE"""),2.19)</f>
        <v>2.19</v>
      </c>
      <c r="C1066" s="1">
        <f ca="1">IFERROR(__xludf.DUMMYFUNCTION("""COMPUTED_VALUE"""),2.23)</f>
        <v>2.23</v>
      </c>
      <c r="D1066" s="1">
        <f ca="1">IFERROR(__xludf.DUMMYFUNCTION("""COMPUTED_VALUE"""),2.18)</f>
        <v>2.1800000000000002</v>
      </c>
      <c r="E1066" s="1">
        <f ca="1">IFERROR(__xludf.DUMMYFUNCTION("""COMPUTED_VALUE"""),2.19)</f>
        <v>2.19</v>
      </c>
      <c r="F1066" s="1">
        <f ca="1">IFERROR(__xludf.DUMMYFUNCTION("""COMPUTED_VALUE"""),399400)</f>
        <v>399400</v>
      </c>
      <c r="I1066" s="1"/>
    </row>
    <row r="1067" spans="1:9">
      <c r="A1067" s="3">
        <f ca="1">IFERROR(__xludf.DUMMYFUNCTION("""COMPUTED_VALUE"""),30760.6666666666)</f>
        <v>30760.666666666599</v>
      </c>
      <c r="B1067" s="1">
        <f ca="1">IFERROR(__xludf.DUMMYFUNCTION("""COMPUTED_VALUE"""),2.16)</f>
        <v>2.16</v>
      </c>
      <c r="C1067" s="1">
        <f ca="1">IFERROR(__xludf.DUMMYFUNCTION("""COMPUTED_VALUE"""),2.17)</f>
        <v>2.17</v>
      </c>
      <c r="D1067" s="1">
        <f ca="1">IFERROR(__xludf.DUMMYFUNCTION("""COMPUTED_VALUE"""),2.15)</f>
        <v>2.15</v>
      </c>
      <c r="E1067" s="1">
        <f ca="1">IFERROR(__xludf.DUMMYFUNCTION("""COMPUTED_VALUE"""),2.16)</f>
        <v>2.16</v>
      </c>
      <c r="F1067" s="1">
        <f ca="1">IFERROR(__xludf.DUMMYFUNCTION("""COMPUTED_VALUE"""),187600)</f>
        <v>187600</v>
      </c>
      <c r="I1067" s="1"/>
    </row>
    <row r="1068" spans="1:9">
      <c r="A1068" s="3">
        <f ca="1">IFERROR(__xludf.DUMMYFUNCTION("""COMPUTED_VALUE"""),30761.6666666666)</f>
        <v>30761.666666666599</v>
      </c>
      <c r="B1068" s="1">
        <f ca="1">IFERROR(__xludf.DUMMYFUNCTION("""COMPUTED_VALUE"""),2.16)</f>
        <v>2.16</v>
      </c>
      <c r="C1068" s="1">
        <f ca="1">IFERROR(__xludf.DUMMYFUNCTION("""COMPUTED_VALUE"""),2.18)</f>
        <v>2.1800000000000002</v>
      </c>
      <c r="D1068" s="1">
        <f ca="1">IFERROR(__xludf.DUMMYFUNCTION("""COMPUTED_VALUE"""),2.15)</f>
        <v>2.15</v>
      </c>
      <c r="E1068" s="1">
        <f ca="1">IFERROR(__xludf.DUMMYFUNCTION("""COMPUTED_VALUE"""),2.16)</f>
        <v>2.16</v>
      </c>
      <c r="F1068" s="1">
        <f ca="1">IFERROR(__xludf.DUMMYFUNCTION("""COMPUTED_VALUE"""),470800)</f>
        <v>470800</v>
      </c>
      <c r="I1068" s="1"/>
    </row>
    <row r="1069" spans="1:9">
      <c r="A1069" s="3">
        <f ca="1">IFERROR(__xludf.DUMMYFUNCTION("""COMPUTED_VALUE"""),30762.6666666666)</f>
        <v>30762.666666666599</v>
      </c>
      <c r="B1069" s="1">
        <f ca="1">IFERROR(__xludf.DUMMYFUNCTION("""COMPUTED_VALUE"""),2.14)</f>
        <v>2.14</v>
      </c>
      <c r="C1069" s="1">
        <f ca="1">IFERROR(__xludf.DUMMYFUNCTION("""COMPUTED_VALUE"""),2.18)</f>
        <v>2.1800000000000002</v>
      </c>
      <c r="D1069" s="1">
        <f ca="1">IFERROR(__xludf.DUMMYFUNCTION("""COMPUTED_VALUE"""),2.14)</f>
        <v>2.14</v>
      </c>
      <c r="E1069" s="1">
        <f ca="1">IFERROR(__xludf.DUMMYFUNCTION("""COMPUTED_VALUE"""),2.14)</f>
        <v>2.14</v>
      </c>
      <c r="F1069" s="1">
        <f ca="1">IFERROR(__xludf.DUMMYFUNCTION("""COMPUTED_VALUE"""),418700)</f>
        <v>418700</v>
      </c>
      <c r="I1069" s="1"/>
    </row>
    <row r="1070" spans="1:9">
      <c r="A1070" s="3">
        <f ca="1">IFERROR(__xludf.DUMMYFUNCTION("""COMPUTED_VALUE"""),30763.6666666666)</f>
        <v>30763.666666666599</v>
      </c>
      <c r="B1070" s="1">
        <f ca="1">IFERROR(__xludf.DUMMYFUNCTION("""COMPUTED_VALUE"""),2.11)</f>
        <v>2.11</v>
      </c>
      <c r="C1070" s="1">
        <f ca="1">IFERROR(__xludf.DUMMYFUNCTION("""COMPUTED_VALUE"""),2.15)</f>
        <v>2.15</v>
      </c>
      <c r="D1070" s="1">
        <f ca="1">IFERROR(__xludf.DUMMYFUNCTION("""COMPUTED_VALUE"""),2.1)</f>
        <v>2.1</v>
      </c>
      <c r="E1070" s="1">
        <f ca="1">IFERROR(__xludf.DUMMYFUNCTION("""COMPUTED_VALUE"""),2.11)</f>
        <v>2.11</v>
      </c>
      <c r="F1070" s="1">
        <f ca="1">IFERROR(__xludf.DUMMYFUNCTION("""COMPUTED_VALUE"""),453000)</f>
        <v>453000</v>
      </c>
      <c r="I1070" s="1"/>
    </row>
    <row r="1071" spans="1:9">
      <c r="A1071" s="3">
        <f ca="1">IFERROR(__xludf.DUMMYFUNCTION("""COMPUTED_VALUE"""),30764.6666666666)</f>
        <v>30764.666666666599</v>
      </c>
      <c r="B1071" s="1">
        <f ca="1">IFERROR(__xludf.DUMMYFUNCTION("""COMPUTED_VALUE"""),2.1)</f>
        <v>2.1</v>
      </c>
      <c r="C1071" s="1">
        <f ca="1">IFERROR(__xludf.DUMMYFUNCTION("""COMPUTED_VALUE"""),2.12)</f>
        <v>2.12</v>
      </c>
      <c r="D1071" s="1">
        <f ca="1">IFERROR(__xludf.DUMMYFUNCTION("""COMPUTED_VALUE"""),2.09)</f>
        <v>2.09</v>
      </c>
      <c r="E1071" s="1">
        <f ca="1">IFERROR(__xludf.DUMMYFUNCTION("""COMPUTED_VALUE"""),2.1)</f>
        <v>2.1</v>
      </c>
      <c r="F1071" s="1">
        <f ca="1">IFERROR(__xludf.DUMMYFUNCTION("""COMPUTED_VALUE"""),252100)</f>
        <v>252100</v>
      </c>
      <c r="I1071" s="1"/>
    </row>
    <row r="1072" spans="1:9">
      <c r="A1072" s="3">
        <f ca="1">IFERROR(__xludf.DUMMYFUNCTION("""COMPUTED_VALUE"""),30767.6666666666)</f>
        <v>30767.666666666599</v>
      </c>
      <c r="B1072" s="1">
        <f ca="1">IFERROR(__xludf.DUMMYFUNCTION("""COMPUTED_VALUE"""),2.09)</f>
        <v>2.09</v>
      </c>
      <c r="C1072" s="1">
        <f ca="1">IFERROR(__xludf.DUMMYFUNCTION("""COMPUTED_VALUE"""),2.13)</f>
        <v>2.13</v>
      </c>
      <c r="D1072" s="1">
        <f ca="1">IFERROR(__xludf.DUMMYFUNCTION("""COMPUTED_VALUE"""),2.09)</f>
        <v>2.09</v>
      </c>
      <c r="E1072" s="1">
        <f ca="1">IFERROR(__xludf.DUMMYFUNCTION("""COMPUTED_VALUE"""),2.09)</f>
        <v>2.09</v>
      </c>
      <c r="F1072" s="1">
        <f ca="1">IFERROR(__xludf.DUMMYFUNCTION("""COMPUTED_VALUE"""),257100)</f>
        <v>257100</v>
      </c>
      <c r="I1072" s="1"/>
    </row>
    <row r="1073" spans="1:9">
      <c r="A1073" s="3">
        <f ca="1">IFERROR(__xludf.DUMMYFUNCTION("""COMPUTED_VALUE"""),30768.6666666666)</f>
        <v>30768.666666666599</v>
      </c>
      <c r="B1073" s="1">
        <f ca="1">IFERROR(__xludf.DUMMYFUNCTION("""COMPUTED_VALUE"""),2.16)</f>
        <v>2.16</v>
      </c>
      <c r="C1073" s="1">
        <f ca="1">IFERROR(__xludf.DUMMYFUNCTION("""COMPUTED_VALUE"""),2.16)</f>
        <v>2.16</v>
      </c>
      <c r="D1073" s="1">
        <f ca="1">IFERROR(__xludf.DUMMYFUNCTION("""COMPUTED_VALUE"""),2.1)</f>
        <v>2.1</v>
      </c>
      <c r="E1073" s="1">
        <f ca="1">IFERROR(__xludf.DUMMYFUNCTION("""COMPUTED_VALUE"""),2.16)</f>
        <v>2.16</v>
      </c>
      <c r="F1073" s="1">
        <f ca="1">IFERROR(__xludf.DUMMYFUNCTION("""COMPUTED_VALUE"""),349600)</f>
        <v>349600</v>
      </c>
      <c r="I1073" s="1"/>
    </row>
    <row r="1074" spans="1:9">
      <c r="A1074" s="3">
        <f ca="1">IFERROR(__xludf.DUMMYFUNCTION("""COMPUTED_VALUE"""),30769.6666666666)</f>
        <v>30769.666666666599</v>
      </c>
      <c r="B1074" s="1">
        <f ca="1">IFERROR(__xludf.DUMMYFUNCTION("""COMPUTED_VALUE"""),2.19)</f>
        <v>2.19</v>
      </c>
      <c r="C1074" s="1">
        <f ca="1">IFERROR(__xludf.DUMMYFUNCTION("""COMPUTED_VALUE"""),2.19)</f>
        <v>2.19</v>
      </c>
      <c r="D1074" s="1">
        <f ca="1">IFERROR(__xludf.DUMMYFUNCTION("""COMPUTED_VALUE"""),2.16)</f>
        <v>2.16</v>
      </c>
      <c r="E1074" s="1">
        <f ca="1">IFERROR(__xludf.DUMMYFUNCTION("""COMPUTED_VALUE"""),2.19)</f>
        <v>2.19</v>
      </c>
      <c r="F1074" s="1">
        <f ca="1">IFERROR(__xludf.DUMMYFUNCTION("""COMPUTED_VALUE"""),612400)</f>
        <v>612400</v>
      </c>
      <c r="I1074" s="1"/>
    </row>
    <row r="1075" spans="1:9">
      <c r="A1075" s="3">
        <f ca="1">IFERROR(__xludf.DUMMYFUNCTION("""COMPUTED_VALUE"""),30770.6666666666)</f>
        <v>30770.666666666599</v>
      </c>
      <c r="B1075" s="1">
        <f ca="1">IFERROR(__xludf.DUMMYFUNCTION("""COMPUTED_VALUE"""),2.17)</f>
        <v>2.17</v>
      </c>
      <c r="C1075" s="1">
        <f ca="1">IFERROR(__xludf.DUMMYFUNCTION("""COMPUTED_VALUE"""),2.2)</f>
        <v>2.2000000000000002</v>
      </c>
      <c r="D1075" s="1">
        <f ca="1">IFERROR(__xludf.DUMMYFUNCTION("""COMPUTED_VALUE"""),2.16)</f>
        <v>2.16</v>
      </c>
      <c r="E1075" s="1">
        <f ca="1">IFERROR(__xludf.DUMMYFUNCTION("""COMPUTED_VALUE"""),2.17)</f>
        <v>2.17</v>
      </c>
      <c r="F1075" s="1">
        <f ca="1">IFERROR(__xludf.DUMMYFUNCTION("""COMPUTED_VALUE"""),317300)</f>
        <v>317300</v>
      </c>
      <c r="I1075" s="1"/>
    </row>
    <row r="1076" spans="1:9">
      <c r="A1076" s="3">
        <f ca="1">IFERROR(__xludf.DUMMYFUNCTION("""COMPUTED_VALUE"""),30771.6666666666)</f>
        <v>30771.666666666599</v>
      </c>
      <c r="B1076" s="1">
        <f ca="1">IFERROR(__xludf.DUMMYFUNCTION("""COMPUTED_VALUE"""),2.19)</f>
        <v>2.19</v>
      </c>
      <c r="C1076" s="1">
        <f ca="1">IFERROR(__xludf.DUMMYFUNCTION("""COMPUTED_VALUE"""),2.19)</f>
        <v>2.19</v>
      </c>
      <c r="D1076" s="1">
        <f ca="1">IFERROR(__xludf.DUMMYFUNCTION("""COMPUTED_VALUE"""),2.15)</f>
        <v>2.15</v>
      </c>
      <c r="E1076" s="1">
        <f ca="1">IFERROR(__xludf.DUMMYFUNCTION("""COMPUTED_VALUE"""),2.19)</f>
        <v>2.19</v>
      </c>
      <c r="F1076" s="1">
        <f ca="1">IFERROR(__xludf.DUMMYFUNCTION("""COMPUTED_VALUE"""),210500)</f>
        <v>210500</v>
      </c>
      <c r="I1076" s="1"/>
    </row>
    <row r="1077" spans="1:9">
      <c r="A1077" s="3">
        <f ca="1">IFERROR(__xludf.DUMMYFUNCTION("""COMPUTED_VALUE"""),30774.6666666666)</f>
        <v>30774.666666666599</v>
      </c>
      <c r="B1077" s="1">
        <f ca="1">IFERROR(__xludf.DUMMYFUNCTION("""COMPUTED_VALUE"""),2.2)</f>
        <v>2.2000000000000002</v>
      </c>
      <c r="C1077" s="1">
        <f ca="1">IFERROR(__xludf.DUMMYFUNCTION("""COMPUTED_VALUE"""),2.22)</f>
        <v>2.2200000000000002</v>
      </c>
      <c r="D1077" s="1">
        <f ca="1">IFERROR(__xludf.DUMMYFUNCTION("""COMPUTED_VALUE"""),2.19)</f>
        <v>2.19</v>
      </c>
      <c r="E1077" s="1">
        <f ca="1">IFERROR(__xludf.DUMMYFUNCTION("""COMPUTED_VALUE"""),2.2)</f>
        <v>2.2000000000000002</v>
      </c>
      <c r="F1077" s="1">
        <f ca="1">IFERROR(__xludf.DUMMYFUNCTION("""COMPUTED_VALUE"""),346700)</f>
        <v>346700</v>
      </c>
      <c r="I1077" s="1"/>
    </row>
    <row r="1078" spans="1:9">
      <c r="A1078" s="3">
        <f ca="1">IFERROR(__xludf.DUMMYFUNCTION("""COMPUTED_VALUE"""),30775.6666666666)</f>
        <v>30775.666666666599</v>
      </c>
      <c r="B1078" s="1">
        <f ca="1">IFERROR(__xludf.DUMMYFUNCTION("""COMPUTED_VALUE"""),2.23)</f>
        <v>2.23</v>
      </c>
      <c r="C1078" s="1">
        <f ca="1">IFERROR(__xludf.DUMMYFUNCTION("""COMPUTED_VALUE"""),2.23)</f>
        <v>2.23</v>
      </c>
      <c r="D1078" s="1">
        <f ca="1">IFERROR(__xludf.DUMMYFUNCTION("""COMPUTED_VALUE"""),2.2)</f>
        <v>2.2000000000000002</v>
      </c>
      <c r="E1078" s="1">
        <f ca="1">IFERROR(__xludf.DUMMYFUNCTION("""COMPUTED_VALUE"""),2.23)</f>
        <v>2.23</v>
      </c>
      <c r="F1078" s="1">
        <f ca="1">IFERROR(__xludf.DUMMYFUNCTION("""COMPUTED_VALUE"""),304800)</f>
        <v>304800</v>
      </c>
      <c r="I1078" s="1"/>
    </row>
    <row r="1079" spans="1:9">
      <c r="A1079" s="3">
        <f ca="1">IFERROR(__xludf.DUMMYFUNCTION("""COMPUTED_VALUE"""),30776.6666666666)</f>
        <v>30776.666666666599</v>
      </c>
      <c r="B1079" s="1">
        <f ca="1">IFERROR(__xludf.DUMMYFUNCTION("""COMPUTED_VALUE"""),2.23)</f>
        <v>2.23</v>
      </c>
      <c r="C1079" s="1">
        <f ca="1">IFERROR(__xludf.DUMMYFUNCTION("""COMPUTED_VALUE"""),2.24)</f>
        <v>2.2400000000000002</v>
      </c>
      <c r="D1079" s="1">
        <f ca="1">IFERROR(__xludf.DUMMYFUNCTION("""COMPUTED_VALUE"""),2.22)</f>
        <v>2.2200000000000002</v>
      </c>
      <c r="E1079" s="1">
        <f ca="1">IFERROR(__xludf.DUMMYFUNCTION("""COMPUTED_VALUE"""),2.23)</f>
        <v>2.23</v>
      </c>
      <c r="F1079" s="1">
        <f ca="1">IFERROR(__xludf.DUMMYFUNCTION("""COMPUTED_VALUE"""),313700)</f>
        <v>313700</v>
      </c>
      <c r="I1079" s="1"/>
    </row>
    <row r="1080" spans="1:9">
      <c r="A1080" s="3">
        <f ca="1">IFERROR(__xludf.DUMMYFUNCTION("""COMPUTED_VALUE"""),30777.6666666666)</f>
        <v>30777.666666666599</v>
      </c>
      <c r="B1080" s="1">
        <f ca="1">IFERROR(__xludf.DUMMYFUNCTION("""COMPUTED_VALUE"""),2.21)</f>
        <v>2.21</v>
      </c>
      <c r="C1080" s="1">
        <f ca="1">IFERROR(__xludf.DUMMYFUNCTION("""COMPUTED_VALUE"""),2.25)</f>
        <v>2.25</v>
      </c>
      <c r="D1080" s="1">
        <f ca="1">IFERROR(__xludf.DUMMYFUNCTION("""COMPUTED_VALUE"""),2.2)</f>
        <v>2.2000000000000002</v>
      </c>
      <c r="E1080" s="1">
        <f ca="1">IFERROR(__xludf.DUMMYFUNCTION("""COMPUTED_VALUE"""),2.21)</f>
        <v>2.21</v>
      </c>
      <c r="F1080" s="1">
        <f ca="1">IFERROR(__xludf.DUMMYFUNCTION("""COMPUTED_VALUE"""),437900)</f>
        <v>437900</v>
      </c>
      <c r="I1080" s="1"/>
    </row>
    <row r="1081" spans="1:9">
      <c r="A1081" s="3">
        <f ca="1">IFERROR(__xludf.DUMMYFUNCTION("""COMPUTED_VALUE"""),30778.6666666666)</f>
        <v>30778.666666666599</v>
      </c>
      <c r="B1081" s="1">
        <f ca="1">IFERROR(__xludf.DUMMYFUNCTION("""COMPUTED_VALUE"""),2.23)</f>
        <v>2.23</v>
      </c>
      <c r="C1081" s="1">
        <f ca="1">IFERROR(__xludf.DUMMYFUNCTION("""COMPUTED_VALUE"""),2.24)</f>
        <v>2.2400000000000002</v>
      </c>
      <c r="D1081" s="1">
        <f ca="1">IFERROR(__xludf.DUMMYFUNCTION("""COMPUTED_VALUE"""),2.21)</f>
        <v>2.21</v>
      </c>
      <c r="E1081" s="1">
        <f ca="1">IFERROR(__xludf.DUMMYFUNCTION("""COMPUTED_VALUE"""),2.23)</f>
        <v>2.23</v>
      </c>
      <c r="F1081" s="1">
        <f ca="1">IFERROR(__xludf.DUMMYFUNCTION("""COMPUTED_VALUE"""),196200)</f>
        <v>196200</v>
      </c>
      <c r="I1081" s="1"/>
    </row>
    <row r="1082" spans="1:9">
      <c r="A1082" s="3">
        <f ca="1">IFERROR(__xludf.DUMMYFUNCTION("""COMPUTED_VALUE"""),30781.6666666666)</f>
        <v>30781.666666666599</v>
      </c>
      <c r="B1082" s="1">
        <f ca="1">IFERROR(__xludf.DUMMYFUNCTION("""COMPUTED_VALUE"""),2.21)</f>
        <v>2.21</v>
      </c>
      <c r="C1082" s="1">
        <f ca="1">IFERROR(__xludf.DUMMYFUNCTION("""COMPUTED_VALUE"""),2.23)</f>
        <v>2.23</v>
      </c>
      <c r="D1082" s="1">
        <f ca="1">IFERROR(__xludf.DUMMYFUNCTION("""COMPUTED_VALUE"""),2.18)</f>
        <v>2.1800000000000002</v>
      </c>
      <c r="E1082" s="1">
        <f ca="1">IFERROR(__xludf.DUMMYFUNCTION("""COMPUTED_VALUE"""),2.21)</f>
        <v>2.21</v>
      </c>
      <c r="F1082" s="1">
        <f ca="1">IFERROR(__xludf.DUMMYFUNCTION("""COMPUTED_VALUE"""),208800)</f>
        <v>208800</v>
      </c>
      <c r="I1082" s="1"/>
    </row>
    <row r="1083" spans="1:9">
      <c r="A1083" s="3">
        <f ca="1">IFERROR(__xludf.DUMMYFUNCTION("""COMPUTED_VALUE"""),30782.6666666666)</f>
        <v>30782.666666666599</v>
      </c>
      <c r="B1083" s="1">
        <f ca="1">IFERROR(__xludf.DUMMYFUNCTION("""COMPUTED_VALUE"""),2.25)</f>
        <v>2.25</v>
      </c>
      <c r="C1083" s="1">
        <f ca="1">IFERROR(__xludf.DUMMYFUNCTION("""COMPUTED_VALUE"""),2.27)</f>
        <v>2.27</v>
      </c>
      <c r="D1083" s="1">
        <f ca="1">IFERROR(__xludf.DUMMYFUNCTION("""COMPUTED_VALUE"""),2.21)</f>
        <v>2.21</v>
      </c>
      <c r="E1083" s="1">
        <f ca="1">IFERROR(__xludf.DUMMYFUNCTION("""COMPUTED_VALUE"""),2.25)</f>
        <v>2.25</v>
      </c>
      <c r="F1083" s="1">
        <f ca="1">IFERROR(__xludf.DUMMYFUNCTION("""COMPUTED_VALUE"""),337800)</f>
        <v>337800</v>
      </c>
      <c r="I1083" s="1"/>
    </row>
    <row r="1084" spans="1:9">
      <c r="A1084" s="3">
        <f ca="1">IFERROR(__xludf.DUMMYFUNCTION("""COMPUTED_VALUE"""),30783.6666666666)</f>
        <v>30783.666666666599</v>
      </c>
      <c r="B1084" s="1">
        <f ca="1">IFERROR(__xludf.DUMMYFUNCTION("""COMPUTED_VALUE"""),2.24)</f>
        <v>2.2400000000000002</v>
      </c>
      <c r="C1084" s="1">
        <f ca="1">IFERROR(__xludf.DUMMYFUNCTION("""COMPUTED_VALUE"""),2.27)</f>
        <v>2.27</v>
      </c>
      <c r="D1084" s="1">
        <f ca="1">IFERROR(__xludf.DUMMYFUNCTION("""COMPUTED_VALUE"""),2.23)</f>
        <v>2.23</v>
      </c>
      <c r="E1084" s="1">
        <f ca="1">IFERROR(__xludf.DUMMYFUNCTION("""COMPUTED_VALUE"""),2.24)</f>
        <v>2.2400000000000002</v>
      </c>
      <c r="F1084" s="1">
        <f ca="1">IFERROR(__xludf.DUMMYFUNCTION("""COMPUTED_VALUE"""),149700)</f>
        <v>149700</v>
      </c>
      <c r="I1084" s="1"/>
    </row>
    <row r="1085" spans="1:9">
      <c r="A1085" s="3">
        <f ca="1">IFERROR(__xludf.DUMMYFUNCTION("""COMPUTED_VALUE"""),30784.6666666666)</f>
        <v>30784.666666666599</v>
      </c>
      <c r="B1085" s="1">
        <f ca="1">IFERROR(__xludf.DUMMYFUNCTION("""COMPUTED_VALUE"""),2.3)</f>
        <v>2.2999999999999998</v>
      </c>
      <c r="C1085" s="1">
        <f ca="1">IFERROR(__xludf.DUMMYFUNCTION("""COMPUTED_VALUE"""),2.3)</f>
        <v>2.2999999999999998</v>
      </c>
      <c r="D1085" s="1">
        <f ca="1">IFERROR(__xludf.DUMMYFUNCTION("""COMPUTED_VALUE"""),2.23)</f>
        <v>2.23</v>
      </c>
      <c r="E1085" s="1">
        <f ca="1">IFERROR(__xludf.DUMMYFUNCTION("""COMPUTED_VALUE"""),2.3)</f>
        <v>2.2999999999999998</v>
      </c>
      <c r="F1085" s="1">
        <f ca="1">IFERROR(__xludf.DUMMYFUNCTION("""COMPUTED_VALUE"""),205100)</f>
        <v>205100</v>
      </c>
      <c r="I1085" s="1"/>
    </row>
    <row r="1086" spans="1:9">
      <c r="A1086" s="3">
        <f ca="1">IFERROR(__xludf.DUMMYFUNCTION("""COMPUTED_VALUE"""),30785.6666666666)</f>
        <v>30785.666666666599</v>
      </c>
      <c r="B1086" s="1">
        <f ca="1">IFERROR(__xludf.DUMMYFUNCTION("""COMPUTED_VALUE"""),2.32)</f>
        <v>2.3199999999999998</v>
      </c>
      <c r="C1086" s="1">
        <f ca="1">IFERROR(__xludf.DUMMYFUNCTION("""COMPUTED_VALUE"""),2.35)</f>
        <v>2.35</v>
      </c>
      <c r="D1086" s="1">
        <f ca="1">IFERROR(__xludf.DUMMYFUNCTION("""COMPUTED_VALUE"""),2.3)</f>
        <v>2.2999999999999998</v>
      </c>
      <c r="E1086" s="1">
        <f ca="1">IFERROR(__xludf.DUMMYFUNCTION("""COMPUTED_VALUE"""),2.32)</f>
        <v>2.3199999999999998</v>
      </c>
      <c r="F1086" s="1">
        <f ca="1">IFERROR(__xludf.DUMMYFUNCTION("""COMPUTED_VALUE"""),397000)</f>
        <v>397000</v>
      </c>
      <c r="I1086" s="1"/>
    </row>
    <row r="1087" spans="1:9">
      <c r="A1087" s="3">
        <f ca="1">IFERROR(__xludf.DUMMYFUNCTION("""COMPUTED_VALUE"""),30788.6666666666)</f>
        <v>30788.666666666599</v>
      </c>
      <c r="B1087" s="1">
        <f ca="1">IFERROR(__xludf.DUMMYFUNCTION("""COMPUTED_VALUE"""),2.38)</f>
        <v>2.38</v>
      </c>
      <c r="C1087" s="1">
        <f ca="1">IFERROR(__xludf.DUMMYFUNCTION("""COMPUTED_VALUE"""),2.41)</f>
        <v>2.41</v>
      </c>
      <c r="D1087" s="1">
        <f ca="1">IFERROR(__xludf.DUMMYFUNCTION("""COMPUTED_VALUE"""),2.31)</f>
        <v>2.31</v>
      </c>
      <c r="E1087" s="1">
        <f ca="1">IFERROR(__xludf.DUMMYFUNCTION("""COMPUTED_VALUE"""),2.38)</f>
        <v>2.38</v>
      </c>
      <c r="F1087" s="1">
        <f ca="1">IFERROR(__xludf.DUMMYFUNCTION("""COMPUTED_VALUE"""),491700)</f>
        <v>491700</v>
      </c>
      <c r="I1087" s="1"/>
    </row>
    <row r="1088" spans="1:9">
      <c r="A1088" s="3">
        <f ca="1">IFERROR(__xludf.DUMMYFUNCTION("""COMPUTED_VALUE"""),30789.6666666666)</f>
        <v>30789.666666666599</v>
      </c>
      <c r="B1088" s="1">
        <f ca="1">IFERROR(__xludf.DUMMYFUNCTION("""COMPUTED_VALUE"""),2.4)</f>
        <v>2.4</v>
      </c>
      <c r="C1088" s="1">
        <f ca="1">IFERROR(__xludf.DUMMYFUNCTION("""COMPUTED_VALUE"""),2.41)</f>
        <v>2.41</v>
      </c>
      <c r="D1088" s="1">
        <f ca="1">IFERROR(__xludf.DUMMYFUNCTION("""COMPUTED_VALUE"""),2.38)</f>
        <v>2.38</v>
      </c>
      <c r="E1088" s="1">
        <f ca="1">IFERROR(__xludf.DUMMYFUNCTION("""COMPUTED_VALUE"""),2.4)</f>
        <v>2.4</v>
      </c>
      <c r="F1088" s="1">
        <f ca="1">IFERROR(__xludf.DUMMYFUNCTION("""COMPUTED_VALUE"""),441500)</f>
        <v>441500</v>
      </c>
      <c r="I1088" s="1"/>
    </row>
    <row r="1089" spans="1:9">
      <c r="A1089" s="3">
        <f ca="1">IFERROR(__xludf.DUMMYFUNCTION("""COMPUTED_VALUE"""),30790.6666666666)</f>
        <v>30790.666666666599</v>
      </c>
      <c r="B1089" s="1">
        <f ca="1">IFERROR(__xludf.DUMMYFUNCTION("""COMPUTED_VALUE"""),2.34)</f>
        <v>2.34</v>
      </c>
      <c r="C1089" s="1">
        <f ca="1">IFERROR(__xludf.DUMMYFUNCTION("""COMPUTED_VALUE"""),2.39)</f>
        <v>2.39</v>
      </c>
      <c r="D1089" s="1">
        <f ca="1">IFERROR(__xludf.DUMMYFUNCTION("""COMPUTED_VALUE"""),2.34)</f>
        <v>2.34</v>
      </c>
      <c r="E1089" s="1">
        <f ca="1">IFERROR(__xludf.DUMMYFUNCTION("""COMPUTED_VALUE"""),2.34)</f>
        <v>2.34</v>
      </c>
      <c r="F1089" s="1">
        <f ca="1">IFERROR(__xludf.DUMMYFUNCTION("""COMPUTED_VALUE"""),204400)</f>
        <v>204400</v>
      </c>
      <c r="I1089" s="1"/>
    </row>
    <row r="1090" spans="1:9">
      <c r="A1090" s="3">
        <f ca="1">IFERROR(__xludf.DUMMYFUNCTION("""COMPUTED_VALUE"""),30791.6666666666)</f>
        <v>30791.666666666599</v>
      </c>
      <c r="B1090" s="1">
        <f ca="1">IFERROR(__xludf.DUMMYFUNCTION("""COMPUTED_VALUE"""),2.32)</f>
        <v>2.3199999999999998</v>
      </c>
      <c r="C1090" s="1">
        <f ca="1">IFERROR(__xludf.DUMMYFUNCTION("""COMPUTED_VALUE"""),2.33)</f>
        <v>2.33</v>
      </c>
      <c r="D1090" s="1">
        <f ca="1">IFERROR(__xludf.DUMMYFUNCTION("""COMPUTED_VALUE"""),2.3)</f>
        <v>2.2999999999999998</v>
      </c>
      <c r="E1090" s="1">
        <f ca="1">IFERROR(__xludf.DUMMYFUNCTION("""COMPUTED_VALUE"""),2.32)</f>
        <v>2.3199999999999998</v>
      </c>
      <c r="F1090" s="1">
        <f ca="1">IFERROR(__xludf.DUMMYFUNCTION("""COMPUTED_VALUE"""),301100)</f>
        <v>301100</v>
      </c>
      <c r="I1090" s="1"/>
    </row>
    <row r="1091" spans="1:9">
      <c r="A1091" s="3">
        <f ca="1">IFERROR(__xludf.DUMMYFUNCTION("""COMPUTED_VALUE"""),30795.6666666666)</f>
        <v>30795.666666666599</v>
      </c>
      <c r="B1091" s="1">
        <f ca="1">IFERROR(__xludf.DUMMYFUNCTION("""COMPUTED_VALUE"""),2.23)</f>
        <v>2.23</v>
      </c>
      <c r="C1091" s="1">
        <f ca="1">IFERROR(__xludf.DUMMYFUNCTION("""COMPUTED_VALUE"""),2.3)</f>
        <v>2.2999999999999998</v>
      </c>
      <c r="D1091" s="1">
        <f ca="1">IFERROR(__xludf.DUMMYFUNCTION("""COMPUTED_VALUE"""),2.23)</f>
        <v>2.23</v>
      </c>
      <c r="E1091" s="1">
        <f ca="1">IFERROR(__xludf.DUMMYFUNCTION("""COMPUTED_VALUE"""),2.23)</f>
        <v>2.23</v>
      </c>
      <c r="F1091" s="1">
        <f ca="1">IFERROR(__xludf.DUMMYFUNCTION("""COMPUTED_VALUE"""),333400)</f>
        <v>333400</v>
      </c>
      <c r="I1091" s="1"/>
    </row>
    <row r="1092" spans="1:9">
      <c r="A1092" s="3">
        <f ca="1">IFERROR(__xludf.DUMMYFUNCTION("""COMPUTED_VALUE"""),30796.6666666666)</f>
        <v>30796.666666666599</v>
      </c>
      <c r="B1092" s="1">
        <f ca="1">IFERROR(__xludf.DUMMYFUNCTION("""COMPUTED_VALUE"""),2.25)</f>
        <v>2.25</v>
      </c>
      <c r="C1092" s="1">
        <f ca="1">IFERROR(__xludf.DUMMYFUNCTION("""COMPUTED_VALUE"""),2.27)</f>
        <v>2.27</v>
      </c>
      <c r="D1092" s="1">
        <f ca="1">IFERROR(__xludf.DUMMYFUNCTION("""COMPUTED_VALUE"""),2.23)</f>
        <v>2.23</v>
      </c>
      <c r="E1092" s="1">
        <f ca="1">IFERROR(__xludf.DUMMYFUNCTION("""COMPUTED_VALUE"""),2.25)</f>
        <v>2.25</v>
      </c>
      <c r="F1092" s="1">
        <f ca="1">IFERROR(__xludf.DUMMYFUNCTION("""COMPUTED_VALUE"""),193900)</f>
        <v>193900</v>
      </c>
      <c r="I1092" s="1"/>
    </row>
    <row r="1093" spans="1:9">
      <c r="A1093" s="3">
        <f ca="1">IFERROR(__xludf.DUMMYFUNCTION("""COMPUTED_VALUE"""),30797.6666666666)</f>
        <v>30797.666666666599</v>
      </c>
      <c r="B1093" s="1">
        <f ca="1">IFERROR(__xludf.DUMMYFUNCTION("""COMPUTED_VALUE"""),2.28)</f>
        <v>2.2799999999999998</v>
      </c>
      <c r="C1093" s="1">
        <f ca="1">IFERROR(__xludf.DUMMYFUNCTION("""COMPUTED_VALUE"""),2.29)</f>
        <v>2.29</v>
      </c>
      <c r="D1093" s="1">
        <f ca="1">IFERROR(__xludf.DUMMYFUNCTION("""COMPUTED_VALUE"""),2.23)</f>
        <v>2.23</v>
      </c>
      <c r="E1093" s="1">
        <f ca="1">IFERROR(__xludf.DUMMYFUNCTION("""COMPUTED_VALUE"""),2.28)</f>
        <v>2.2799999999999998</v>
      </c>
      <c r="F1093" s="1">
        <f ca="1">IFERROR(__xludf.DUMMYFUNCTION("""COMPUTED_VALUE"""),224500)</f>
        <v>224500</v>
      </c>
      <c r="I1093" s="1"/>
    </row>
    <row r="1094" spans="1:9">
      <c r="A1094" s="3">
        <f ca="1">IFERROR(__xludf.DUMMYFUNCTION("""COMPUTED_VALUE"""),30798.6666666666)</f>
        <v>30798.666666666599</v>
      </c>
      <c r="B1094" s="1">
        <f ca="1">IFERROR(__xludf.DUMMYFUNCTION("""COMPUTED_VALUE"""),2.32)</f>
        <v>2.3199999999999998</v>
      </c>
      <c r="C1094" s="1">
        <f ca="1">IFERROR(__xludf.DUMMYFUNCTION("""COMPUTED_VALUE"""),2.36)</f>
        <v>2.36</v>
      </c>
      <c r="D1094" s="1">
        <f ca="1">IFERROR(__xludf.DUMMYFUNCTION("""COMPUTED_VALUE"""),2.28)</f>
        <v>2.2799999999999998</v>
      </c>
      <c r="E1094" s="1">
        <f ca="1">IFERROR(__xludf.DUMMYFUNCTION("""COMPUTED_VALUE"""),2.32)</f>
        <v>2.3199999999999998</v>
      </c>
      <c r="F1094" s="1">
        <f ca="1">IFERROR(__xludf.DUMMYFUNCTION("""COMPUTED_VALUE"""),451400)</f>
        <v>451400</v>
      </c>
      <c r="I1094" s="1"/>
    </row>
    <row r="1095" spans="1:9">
      <c r="A1095" s="3">
        <f ca="1">IFERROR(__xludf.DUMMYFUNCTION("""COMPUTED_VALUE"""),30799.6666666666)</f>
        <v>30799.666666666599</v>
      </c>
      <c r="B1095" s="1">
        <f ca="1">IFERROR(__xludf.DUMMYFUNCTION("""COMPUTED_VALUE"""),2.31)</f>
        <v>2.31</v>
      </c>
      <c r="C1095" s="1">
        <f ca="1">IFERROR(__xludf.DUMMYFUNCTION("""COMPUTED_VALUE"""),2.34)</f>
        <v>2.34</v>
      </c>
      <c r="D1095" s="1">
        <f ca="1">IFERROR(__xludf.DUMMYFUNCTION("""COMPUTED_VALUE"""),2.29)</f>
        <v>2.29</v>
      </c>
      <c r="E1095" s="1">
        <f ca="1">IFERROR(__xludf.DUMMYFUNCTION("""COMPUTED_VALUE"""),2.31)</f>
        <v>2.31</v>
      </c>
      <c r="F1095" s="1">
        <f ca="1">IFERROR(__xludf.DUMMYFUNCTION("""COMPUTED_VALUE"""),249800)</f>
        <v>249800</v>
      </c>
      <c r="I1095" s="1"/>
    </row>
    <row r="1096" spans="1:9">
      <c r="A1096" s="3">
        <f ca="1">IFERROR(__xludf.DUMMYFUNCTION("""COMPUTED_VALUE"""),30802.6666666666)</f>
        <v>30802.666666666599</v>
      </c>
      <c r="B1096" s="1">
        <f ca="1">IFERROR(__xludf.DUMMYFUNCTION("""COMPUTED_VALUE"""),2.34)</f>
        <v>2.34</v>
      </c>
      <c r="C1096" s="1">
        <f ca="1">IFERROR(__xludf.DUMMYFUNCTION("""COMPUTED_VALUE"""),2.34)</f>
        <v>2.34</v>
      </c>
      <c r="D1096" s="1">
        <f ca="1">IFERROR(__xludf.DUMMYFUNCTION("""COMPUTED_VALUE"""),2.3)</f>
        <v>2.2999999999999998</v>
      </c>
      <c r="E1096" s="1">
        <f ca="1">IFERROR(__xludf.DUMMYFUNCTION("""COMPUTED_VALUE"""),2.34)</f>
        <v>2.34</v>
      </c>
      <c r="F1096" s="1">
        <f ca="1">IFERROR(__xludf.DUMMYFUNCTION("""COMPUTED_VALUE"""),243600)</f>
        <v>243600</v>
      </c>
      <c r="I1096" s="1"/>
    </row>
    <row r="1097" spans="1:9">
      <c r="A1097" s="3">
        <f ca="1">IFERROR(__xludf.DUMMYFUNCTION("""COMPUTED_VALUE"""),30803.6666666666)</f>
        <v>30803.666666666599</v>
      </c>
      <c r="B1097" s="1">
        <f ca="1">IFERROR(__xludf.DUMMYFUNCTION("""COMPUTED_VALUE"""),2.33)</f>
        <v>2.33</v>
      </c>
      <c r="C1097" s="1">
        <f ca="1">IFERROR(__xludf.DUMMYFUNCTION("""COMPUTED_VALUE"""),2.38)</f>
        <v>2.38</v>
      </c>
      <c r="D1097" s="1">
        <f ca="1">IFERROR(__xludf.DUMMYFUNCTION("""COMPUTED_VALUE"""),2.31)</f>
        <v>2.31</v>
      </c>
      <c r="E1097" s="1">
        <f ca="1">IFERROR(__xludf.DUMMYFUNCTION("""COMPUTED_VALUE"""),2.33)</f>
        <v>2.33</v>
      </c>
      <c r="F1097" s="1">
        <f ca="1">IFERROR(__xludf.DUMMYFUNCTION("""COMPUTED_VALUE"""),524800)</f>
        <v>524800</v>
      </c>
      <c r="I1097" s="1"/>
    </row>
    <row r="1098" spans="1:9">
      <c r="A1098" s="3">
        <f ca="1">IFERROR(__xludf.DUMMYFUNCTION("""COMPUTED_VALUE"""),30804.6666666666)</f>
        <v>30804.666666666599</v>
      </c>
      <c r="B1098" s="1">
        <f ca="1">IFERROR(__xludf.DUMMYFUNCTION("""COMPUTED_VALUE"""),2.33)</f>
        <v>2.33</v>
      </c>
      <c r="C1098" s="1">
        <f ca="1">IFERROR(__xludf.DUMMYFUNCTION("""COMPUTED_VALUE"""),2.34)</f>
        <v>2.34</v>
      </c>
      <c r="D1098" s="1">
        <f ca="1">IFERROR(__xludf.DUMMYFUNCTION("""COMPUTED_VALUE"""),2.3)</f>
        <v>2.2999999999999998</v>
      </c>
      <c r="E1098" s="1">
        <f ca="1">IFERROR(__xludf.DUMMYFUNCTION("""COMPUTED_VALUE"""),2.33)</f>
        <v>2.33</v>
      </c>
      <c r="F1098" s="1">
        <f ca="1">IFERROR(__xludf.DUMMYFUNCTION("""COMPUTED_VALUE"""),786700)</f>
        <v>786700</v>
      </c>
      <c r="I1098" s="1"/>
    </row>
    <row r="1099" spans="1:9">
      <c r="A1099" s="3">
        <f ca="1">IFERROR(__xludf.DUMMYFUNCTION("""COMPUTED_VALUE"""),30805.6666666666)</f>
        <v>30805.666666666599</v>
      </c>
      <c r="B1099" s="1">
        <f ca="1">IFERROR(__xludf.DUMMYFUNCTION("""COMPUTED_VALUE"""),2.35)</f>
        <v>2.35</v>
      </c>
      <c r="C1099" s="1">
        <f ca="1">IFERROR(__xludf.DUMMYFUNCTION("""COMPUTED_VALUE"""),2.36)</f>
        <v>2.36</v>
      </c>
      <c r="D1099" s="1">
        <f ca="1">IFERROR(__xludf.DUMMYFUNCTION("""COMPUTED_VALUE"""),2.34)</f>
        <v>2.34</v>
      </c>
      <c r="E1099" s="1">
        <f ca="1">IFERROR(__xludf.DUMMYFUNCTION("""COMPUTED_VALUE"""),2.35)</f>
        <v>2.35</v>
      </c>
      <c r="F1099" s="1">
        <f ca="1">IFERROR(__xludf.DUMMYFUNCTION("""COMPUTED_VALUE"""),317800)</f>
        <v>317800</v>
      </c>
      <c r="I1099" s="1"/>
    </row>
    <row r="1100" spans="1:9">
      <c r="A1100" s="3">
        <f ca="1">IFERROR(__xludf.DUMMYFUNCTION("""COMPUTED_VALUE"""),30806.6666666666)</f>
        <v>30806.666666666599</v>
      </c>
      <c r="B1100" s="1">
        <f ca="1">IFERROR(__xludf.DUMMYFUNCTION("""COMPUTED_VALUE"""),2.29)</f>
        <v>2.29</v>
      </c>
      <c r="C1100" s="1">
        <f ca="1">IFERROR(__xludf.DUMMYFUNCTION("""COMPUTED_VALUE"""),2.34)</f>
        <v>2.34</v>
      </c>
      <c r="D1100" s="1">
        <f ca="1">IFERROR(__xludf.DUMMYFUNCTION("""COMPUTED_VALUE"""),2.29)</f>
        <v>2.29</v>
      </c>
      <c r="E1100" s="1">
        <f ca="1">IFERROR(__xludf.DUMMYFUNCTION("""COMPUTED_VALUE"""),2.29)</f>
        <v>2.29</v>
      </c>
      <c r="F1100" s="1">
        <f ca="1">IFERROR(__xludf.DUMMYFUNCTION("""COMPUTED_VALUE"""),352400)</f>
        <v>352400</v>
      </c>
      <c r="I1100" s="1"/>
    </row>
    <row r="1101" spans="1:9">
      <c r="A1101" s="3">
        <f ca="1">IFERROR(__xludf.DUMMYFUNCTION("""COMPUTED_VALUE"""),30809.6666666666)</f>
        <v>30809.666666666599</v>
      </c>
      <c r="B1101" s="1">
        <f ca="1">IFERROR(__xludf.DUMMYFUNCTION("""COMPUTED_VALUE"""),2.3)</f>
        <v>2.2999999999999998</v>
      </c>
      <c r="C1101" s="1">
        <f ca="1">IFERROR(__xludf.DUMMYFUNCTION("""COMPUTED_VALUE"""),2.34)</f>
        <v>2.34</v>
      </c>
      <c r="D1101" s="1">
        <f ca="1">IFERROR(__xludf.DUMMYFUNCTION("""COMPUTED_VALUE"""),2.3)</f>
        <v>2.2999999999999998</v>
      </c>
      <c r="E1101" s="1">
        <f ca="1">IFERROR(__xludf.DUMMYFUNCTION("""COMPUTED_VALUE"""),2.3)</f>
        <v>2.2999999999999998</v>
      </c>
      <c r="F1101" s="1">
        <f ca="1">IFERROR(__xludf.DUMMYFUNCTION("""COMPUTED_VALUE"""),277700)</f>
        <v>277700</v>
      </c>
      <c r="I1101" s="1"/>
    </row>
    <row r="1102" spans="1:9">
      <c r="A1102" s="3">
        <f ca="1">IFERROR(__xludf.DUMMYFUNCTION("""COMPUTED_VALUE"""),30810.6666666666)</f>
        <v>30810.666666666599</v>
      </c>
      <c r="B1102" s="1">
        <f ca="1">IFERROR(__xludf.DUMMYFUNCTION("""COMPUTED_VALUE"""),2.32)</f>
        <v>2.3199999999999998</v>
      </c>
      <c r="C1102" s="1">
        <f ca="1">IFERROR(__xludf.DUMMYFUNCTION("""COMPUTED_VALUE"""),2.34)</f>
        <v>2.34</v>
      </c>
      <c r="D1102" s="1">
        <f ca="1">IFERROR(__xludf.DUMMYFUNCTION("""COMPUTED_VALUE"""),2.29)</f>
        <v>2.29</v>
      </c>
      <c r="E1102" s="1">
        <f ca="1">IFERROR(__xludf.DUMMYFUNCTION("""COMPUTED_VALUE"""),2.32)</f>
        <v>2.3199999999999998</v>
      </c>
      <c r="F1102" s="1">
        <f ca="1">IFERROR(__xludf.DUMMYFUNCTION("""COMPUTED_VALUE"""),439900)</f>
        <v>439900</v>
      </c>
      <c r="I1102" s="1"/>
    </row>
    <row r="1103" spans="1:9">
      <c r="A1103" s="3">
        <f ca="1">IFERROR(__xludf.DUMMYFUNCTION("""COMPUTED_VALUE"""),30811.6666666666)</f>
        <v>30811.666666666599</v>
      </c>
      <c r="B1103" s="1">
        <f ca="1">IFERROR(__xludf.DUMMYFUNCTION("""COMPUTED_VALUE"""),2.32)</f>
        <v>2.3199999999999998</v>
      </c>
      <c r="C1103" s="1">
        <f ca="1">IFERROR(__xludf.DUMMYFUNCTION("""COMPUTED_VALUE"""),2.37)</f>
        <v>2.37</v>
      </c>
      <c r="D1103" s="1">
        <f ca="1">IFERROR(__xludf.DUMMYFUNCTION("""COMPUTED_VALUE"""),2.31)</f>
        <v>2.31</v>
      </c>
      <c r="E1103" s="1">
        <f ca="1">IFERROR(__xludf.DUMMYFUNCTION("""COMPUTED_VALUE"""),2.32)</f>
        <v>2.3199999999999998</v>
      </c>
      <c r="F1103" s="1">
        <f ca="1">IFERROR(__xludf.DUMMYFUNCTION("""COMPUTED_VALUE"""),443700)</f>
        <v>443700</v>
      </c>
      <c r="I1103" s="1"/>
    </row>
    <row r="1104" spans="1:9">
      <c r="A1104" s="3">
        <f ca="1">IFERROR(__xludf.DUMMYFUNCTION("""COMPUTED_VALUE"""),30812.6666666666)</f>
        <v>30812.666666666599</v>
      </c>
      <c r="B1104" s="1">
        <f ca="1">IFERROR(__xludf.DUMMYFUNCTION("""COMPUTED_VALUE"""),2.3)</f>
        <v>2.2999999999999998</v>
      </c>
      <c r="C1104" s="1">
        <f ca="1">IFERROR(__xludf.DUMMYFUNCTION("""COMPUTED_VALUE"""),2.34)</f>
        <v>2.34</v>
      </c>
      <c r="D1104" s="1">
        <f ca="1">IFERROR(__xludf.DUMMYFUNCTION("""COMPUTED_VALUE"""),2.3)</f>
        <v>2.2999999999999998</v>
      </c>
      <c r="E1104" s="1">
        <f ca="1">IFERROR(__xludf.DUMMYFUNCTION("""COMPUTED_VALUE"""),2.3)</f>
        <v>2.2999999999999998</v>
      </c>
      <c r="F1104" s="1">
        <f ca="1">IFERROR(__xludf.DUMMYFUNCTION("""COMPUTED_VALUE"""),563400)</f>
        <v>563400</v>
      </c>
      <c r="I1104" s="1"/>
    </row>
    <row r="1105" spans="1:9">
      <c r="A1105" s="3">
        <f ca="1">IFERROR(__xludf.DUMMYFUNCTION("""COMPUTED_VALUE"""),30813.6666666666)</f>
        <v>30813.666666666599</v>
      </c>
      <c r="B1105" s="1">
        <f ca="1">IFERROR(__xludf.DUMMYFUNCTION("""COMPUTED_VALUE"""),2.24)</f>
        <v>2.2400000000000002</v>
      </c>
      <c r="C1105" s="1">
        <f ca="1">IFERROR(__xludf.DUMMYFUNCTION("""COMPUTED_VALUE"""),2.27)</f>
        <v>2.27</v>
      </c>
      <c r="D1105" s="1">
        <f ca="1">IFERROR(__xludf.DUMMYFUNCTION("""COMPUTED_VALUE"""),2.23)</f>
        <v>2.23</v>
      </c>
      <c r="E1105" s="1">
        <f ca="1">IFERROR(__xludf.DUMMYFUNCTION("""COMPUTED_VALUE"""),2.24)</f>
        <v>2.2400000000000002</v>
      </c>
      <c r="F1105" s="1">
        <f ca="1">IFERROR(__xludf.DUMMYFUNCTION("""COMPUTED_VALUE"""),413000)</f>
        <v>413000</v>
      </c>
      <c r="I1105" s="1"/>
    </row>
    <row r="1106" spans="1:9">
      <c r="A1106" s="3">
        <f ca="1">IFERROR(__xludf.DUMMYFUNCTION("""COMPUTED_VALUE"""),30816.6666666666)</f>
        <v>30816.666666666599</v>
      </c>
      <c r="B1106" s="1">
        <f ca="1">IFERROR(__xludf.DUMMYFUNCTION("""COMPUTED_VALUE"""),2.22)</f>
        <v>2.2200000000000002</v>
      </c>
      <c r="C1106" s="1">
        <f ca="1">IFERROR(__xludf.DUMMYFUNCTION("""COMPUTED_VALUE"""),2.23)</f>
        <v>2.23</v>
      </c>
      <c r="D1106" s="1">
        <f ca="1">IFERROR(__xludf.DUMMYFUNCTION("""COMPUTED_VALUE"""),2.2)</f>
        <v>2.2000000000000002</v>
      </c>
      <c r="E1106" s="1">
        <f ca="1">IFERROR(__xludf.DUMMYFUNCTION("""COMPUTED_VALUE"""),2.22)</f>
        <v>2.2200000000000002</v>
      </c>
      <c r="F1106" s="1">
        <f ca="1">IFERROR(__xludf.DUMMYFUNCTION("""COMPUTED_VALUE"""),353700)</f>
        <v>353700</v>
      </c>
      <c r="I1106" s="1"/>
    </row>
    <row r="1107" spans="1:9">
      <c r="A1107" s="3">
        <f ca="1">IFERROR(__xludf.DUMMYFUNCTION("""COMPUTED_VALUE"""),30817.6666666666)</f>
        <v>30817.666666666599</v>
      </c>
      <c r="B1107" s="1">
        <f ca="1">IFERROR(__xludf.DUMMYFUNCTION("""COMPUTED_VALUE"""),2.24)</f>
        <v>2.2400000000000002</v>
      </c>
      <c r="C1107" s="1">
        <f ca="1">IFERROR(__xludf.DUMMYFUNCTION("""COMPUTED_VALUE"""),2.25)</f>
        <v>2.25</v>
      </c>
      <c r="D1107" s="1">
        <f ca="1">IFERROR(__xludf.DUMMYFUNCTION("""COMPUTED_VALUE"""),2.21)</f>
        <v>2.21</v>
      </c>
      <c r="E1107" s="1">
        <f ca="1">IFERROR(__xludf.DUMMYFUNCTION("""COMPUTED_VALUE"""),2.24)</f>
        <v>2.2400000000000002</v>
      </c>
      <c r="F1107" s="1">
        <f ca="1">IFERROR(__xludf.DUMMYFUNCTION("""COMPUTED_VALUE"""),476100)</f>
        <v>476100</v>
      </c>
      <c r="I1107" s="1"/>
    </row>
    <row r="1108" spans="1:9">
      <c r="A1108" s="3">
        <f ca="1">IFERROR(__xludf.DUMMYFUNCTION("""COMPUTED_VALUE"""),30818.6666666666)</f>
        <v>30818.666666666599</v>
      </c>
      <c r="B1108" s="1">
        <f ca="1">IFERROR(__xludf.DUMMYFUNCTION("""COMPUTED_VALUE"""),2.21)</f>
        <v>2.21</v>
      </c>
      <c r="C1108" s="1">
        <f ca="1">IFERROR(__xludf.DUMMYFUNCTION("""COMPUTED_VALUE"""),2.23)</f>
        <v>2.23</v>
      </c>
      <c r="D1108" s="1">
        <f ca="1">IFERROR(__xludf.DUMMYFUNCTION("""COMPUTED_VALUE"""),2.21)</f>
        <v>2.21</v>
      </c>
      <c r="E1108" s="1">
        <f ca="1">IFERROR(__xludf.DUMMYFUNCTION("""COMPUTED_VALUE"""),2.21)</f>
        <v>2.21</v>
      </c>
      <c r="F1108" s="1">
        <f ca="1">IFERROR(__xludf.DUMMYFUNCTION("""COMPUTED_VALUE"""),362200)</f>
        <v>362200</v>
      </c>
      <c r="I1108" s="1"/>
    </row>
    <row r="1109" spans="1:9">
      <c r="A1109" s="3">
        <f ca="1">IFERROR(__xludf.DUMMYFUNCTION("""COMPUTED_VALUE"""),30819.6666666666)</f>
        <v>30819.666666666599</v>
      </c>
      <c r="B1109" s="1">
        <f ca="1">IFERROR(__xludf.DUMMYFUNCTION("""COMPUTED_VALUE"""),2.17)</f>
        <v>2.17</v>
      </c>
      <c r="C1109" s="1">
        <f ca="1">IFERROR(__xludf.DUMMYFUNCTION("""COMPUTED_VALUE"""),2.21)</f>
        <v>2.21</v>
      </c>
      <c r="D1109" s="1">
        <f ca="1">IFERROR(__xludf.DUMMYFUNCTION("""COMPUTED_VALUE"""),2.15)</f>
        <v>2.15</v>
      </c>
      <c r="E1109" s="1">
        <f ca="1">IFERROR(__xludf.DUMMYFUNCTION("""COMPUTED_VALUE"""),2.17)</f>
        <v>2.17</v>
      </c>
      <c r="F1109" s="1">
        <f ca="1">IFERROR(__xludf.DUMMYFUNCTION("""COMPUTED_VALUE"""),371200)</f>
        <v>371200</v>
      </c>
      <c r="I1109" s="1"/>
    </row>
    <row r="1110" spans="1:9">
      <c r="A1110" s="3">
        <f ca="1">IFERROR(__xludf.DUMMYFUNCTION("""COMPUTED_VALUE"""),30820.6666666666)</f>
        <v>30820.666666666599</v>
      </c>
      <c r="B1110" s="1">
        <f ca="1">IFERROR(__xludf.DUMMYFUNCTION("""COMPUTED_VALUE"""),2.16)</f>
        <v>2.16</v>
      </c>
      <c r="C1110" s="1">
        <f ca="1">IFERROR(__xludf.DUMMYFUNCTION("""COMPUTED_VALUE"""),2.17)</f>
        <v>2.17</v>
      </c>
      <c r="D1110" s="1">
        <f ca="1">IFERROR(__xludf.DUMMYFUNCTION("""COMPUTED_VALUE"""),2.13)</f>
        <v>2.13</v>
      </c>
      <c r="E1110" s="1">
        <f ca="1">IFERROR(__xludf.DUMMYFUNCTION("""COMPUTED_VALUE"""),2.16)</f>
        <v>2.16</v>
      </c>
      <c r="F1110" s="1">
        <f ca="1">IFERROR(__xludf.DUMMYFUNCTION("""COMPUTED_VALUE"""),578800)</f>
        <v>578800</v>
      </c>
      <c r="I1110" s="1"/>
    </row>
    <row r="1111" spans="1:9">
      <c r="A1111" s="3">
        <f ca="1">IFERROR(__xludf.DUMMYFUNCTION("""COMPUTED_VALUE"""),30823.6666666666)</f>
        <v>30823.666666666599</v>
      </c>
      <c r="B1111" s="1">
        <f ca="1">IFERROR(__xludf.DUMMYFUNCTION("""COMPUTED_VALUE"""),2.09)</f>
        <v>2.09</v>
      </c>
      <c r="C1111" s="1">
        <f ca="1">IFERROR(__xludf.DUMMYFUNCTION("""COMPUTED_VALUE"""),2.17)</f>
        <v>2.17</v>
      </c>
      <c r="D1111" s="1">
        <f ca="1">IFERROR(__xludf.DUMMYFUNCTION("""COMPUTED_VALUE"""),2.09)</f>
        <v>2.09</v>
      </c>
      <c r="E1111" s="1">
        <f ca="1">IFERROR(__xludf.DUMMYFUNCTION("""COMPUTED_VALUE"""),2.09)</f>
        <v>2.09</v>
      </c>
      <c r="F1111" s="1">
        <f ca="1">IFERROR(__xludf.DUMMYFUNCTION("""COMPUTED_VALUE"""),356900)</f>
        <v>356900</v>
      </c>
      <c r="I1111" s="1"/>
    </row>
    <row r="1112" spans="1:9">
      <c r="A1112" s="3">
        <f ca="1">IFERROR(__xludf.DUMMYFUNCTION("""COMPUTED_VALUE"""),30824.6666666666)</f>
        <v>30824.666666666599</v>
      </c>
      <c r="B1112" s="1">
        <f ca="1">IFERROR(__xludf.DUMMYFUNCTION("""COMPUTED_VALUE"""),2.03)</f>
        <v>2.0299999999999998</v>
      </c>
      <c r="C1112" s="1">
        <f ca="1">IFERROR(__xludf.DUMMYFUNCTION("""COMPUTED_VALUE"""),2.08)</f>
        <v>2.08</v>
      </c>
      <c r="D1112" s="1">
        <f ca="1">IFERROR(__xludf.DUMMYFUNCTION("""COMPUTED_VALUE"""),2.01)</f>
        <v>2.0099999999999998</v>
      </c>
      <c r="E1112" s="1">
        <f ca="1">IFERROR(__xludf.DUMMYFUNCTION("""COMPUTED_VALUE"""),2.03)</f>
        <v>2.0299999999999998</v>
      </c>
      <c r="F1112" s="1">
        <f ca="1">IFERROR(__xludf.DUMMYFUNCTION("""COMPUTED_VALUE"""),596700)</f>
        <v>596700</v>
      </c>
      <c r="I1112" s="1"/>
    </row>
    <row r="1113" spans="1:9">
      <c r="A1113" s="3">
        <f ca="1">IFERROR(__xludf.DUMMYFUNCTION("""COMPUTED_VALUE"""),30825.6666666666)</f>
        <v>30825.666666666599</v>
      </c>
      <c r="B1113" s="1">
        <f ca="1">IFERROR(__xludf.DUMMYFUNCTION("""COMPUTED_VALUE"""),2.04)</f>
        <v>2.04</v>
      </c>
      <c r="C1113" s="1">
        <f ca="1">IFERROR(__xludf.DUMMYFUNCTION("""COMPUTED_VALUE"""),2.07)</f>
        <v>2.0699999999999998</v>
      </c>
      <c r="D1113" s="1">
        <f ca="1">IFERROR(__xludf.DUMMYFUNCTION("""COMPUTED_VALUE"""),2.04)</f>
        <v>2.04</v>
      </c>
      <c r="E1113" s="1">
        <f ca="1">IFERROR(__xludf.DUMMYFUNCTION("""COMPUTED_VALUE"""),2.04)</f>
        <v>2.04</v>
      </c>
      <c r="F1113" s="1">
        <f ca="1">IFERROR(__xludf.DUMMYFUNCTION("""COMPUTED_VALUE"""),265000)</f>
        <v>265000</v>
      </c>
      <c r="I1113" s="1"/>
    </row>
    <row r="1114" spans="1:9">
      <c r="A1114" s="3">
        <f ca="1">IFERROR(__xludf.DUMMYFUNCTION("""COMPUTED_VALUE"""),30826.6666666666)</f>
        <v>30826.666666666599</v>
      </c>
      <c r="B1114" s="1">
        <f ca="1">IFERROR(__xludf.DUMMYFUNCTION("""COMPUTED_VALUE"""),2.02)</f>
        <v>2.02</v>
      </c>
      <c r="C1114" s="1">
        <f ca="1">IFERROR(__xludf.DUMMYFUNCTION("""COMPUTED_VALUE"""),2.05)</f>
        <v>2.0499999999999998</v>
      </c>
      <c r="D1114" s="1">
        <f ca="1">IFERROR(__xludf.DUMMYFUNCTION("""COMPUTED_VALUE"""),1.97)</f>
        <v>1.97</v>
      </c>
      <c r="E1114" s="1">
        <f ca="1">IFERROR(__xludf.DUMMYFUNCTION("""COMPUTED_VALUE"""),2.02)</f>
        <v>2.02</v>
      </c>
      <c r="F1114" s="1">
        <f ca="1">IFERROR(__xludf.DUMMYFUNCTION("""COMPUTED_VALUE"""),591700)</f>
        <v>591700</v>
      </c>
      <c r="I1114" s="1"/>
    </row>
    <row r="1115" spans="1:9">
      <c r="A1115" s="3">
        <f ca="1">IFERROR(__xludf.DUMMYFUNCTION("""COMPUTED_VALUE"""),30827.6666666666)</f>
        <v>30827.666666666599</v>
      </c>
      <c r="B1115" s="1">
        <f ca="1">IFERROR(__xludf.DUMMYFUNCTION("""COMPUTED_VALUE"""),2.03)</f>
        <v>2.0299999999999998</v>
      </c>
      <c r="C1115" s="1">
        <f ca="1">IFERROR(__xludf.DUMMYFUNCTION("""COMPUTED_VALUE"""),2.05)</f>
        <v>2.0499999999999998</v>
      </c>
      <c r="D1115" s="1">
        <f ca="1">IFERROR(__xludf.DUMMYFUNCTION("""COMPUTED_VALUE"""),2.02)</f>
        <v>2.02</v>
      </c>
      <c r="E1115" s="1">
        <f ca="1">IFERROR(__xludf.DUMMYFUNCTION("""COMPUTED_VALUE"""),2.03)</f>
        <v>2.0299999999999998</v>
      </c>
      <c r="F1115" s="1">
        <f ca="1">IFERROR(__xludf.DUMMYFUNCTION("""COMPUTED_VALUE"""),226600)</f>
        <v>226600</v>
      </c>
      <c r="I1115" s="1"/>
    </row>
    <row r="1116" spans="1:9">
      <c r="A1116" s="3">
        <f ca="1">IFERROR(__xludf.DUMMYFUNCTION("""COMPUTED_VALUE"""),30831.6666666666)</f>
        <v>30831.666666666599</v>
      </c>
      <c r="B1116" s="1">
        <f ca="1">IFERROR(__xludf.DUMMYFUNCTION("""COMPUTED_VALUE"""),1.93)</f>
        <v>1.93</v>
      </c>
      <c r="C1116" s="1">
        <f ca="1">IFERROR(__xludf.DUMMYFUNCTION("""COMPUTED_VALUE"""),2.01)</f>
        <v>2.0099999999999998</v>
      </c>
      <c r="D1116" s="1">
        <f ca="1">IFERROR(__xludf.DUMMYFUNCTION("""COMPUTED_VALUE"""),1.92)</f>
        <v>1.92</v>
      </c>
      <c r="E1116" s="1">
        <f ca="1">IFERROR(__xludf.DUMMYFUNCTION("""COMPUTED_VALUE"""),1.93)</f>
        <v>1.93</v>
      </c>
      <c r="F1116" s="1">
        <f ca="1">IFERROR(__xludf.DUMMYFUNCTION("""COMPUTED_VALUE"""),483800)</f>
        <v>483800</v>
      </c>
      <c r="I1116" s="1"/>
    </row>
    <row r="1117" spans="1:9">
      <c r="A1117" s="3">
        <f ca="1">IFERROR(__xludf.DUMMYFUNCTION("""COMPUTED_VALUE"""),30832.6666666666)</f>
        <v>30832.666666666599</v>
      </c>
      <c r="B1117" s="1">
        <f ca="1">IFERROR(__xludf.DUMMYFUNCTION("""COMPUTED_VALUE"""),1.97)</f>
        <v>1.97</v>
      </c>
      <c r="C1117" s="1">
        <f ca="1">IFERROR(__xludf.DUMMYFUNCTION("""COMPUTED_VALUE"""),1.97)</f>
        <v>1.97</v>
      </c>
      <c r="D1117" s="1">
        <f ca="1">IFERROR(__xludf.DUMMYFUNCTION("""COMPUTED_VALUE"""),1.88)</f>
        <v>1.88</v>
      </c>
      <c r="E1117" s="1">
        <f ca="1">IFERROR(__xludf.DUMMYFUNCTION("""COMPUTED_VALUE"""),1.97)</f>
        <v>1.97</v>
      </c>
      <c r="F1117" s="1">
        <f ca="1">IFERROR(__xludf.DUMMYFUNCTION("""COMPUTED_VALUE"""),617800)</f>
        <v>617800</v>
      </c>
      <c r="I1117" s="1"/>
    </row>
    <row r="1118" spans="1:9">
      <c r="A1118" s="3">
        <f ca="1">IFERROR(__xludf.DUMMYFUNCTION("""COMPUTED_VALUE"""),30833.6666666666)</f>
        <v>30833.666666666599</v>
      </c>
      <c r="B1118" s="1">
        <f ca="1">IFERROR(__xludf.DUMMYFUNCTION("""COMPUTED_VALUE"""),1.91)</f>
        <v>1.91</v>
      </c>
      <c r="C1118" s="1">
        <f ca="1">IFERROR(__xludf.DUMMYFUNCTION("""COMPUTED_VALUE"""),1.95)</f>
        <v>1.95</v>
      </c>
      <c r="D1118" s="1">
        <f ca="1">IFERROR(__xludf.DUMMYFUNCTION("""COMPUTED_VALUE"""),1.91)</f>
        <v>1.91</v>
      </c>
      <c r="E1118" s="1">
        <f ca="1">IFERROR(__xludf.DUMMYFUNCTION("""COMPUTED_VALUE"""),1.91)</f>
        <v>1.91</v>
      </c>
      <c r="F1118" s="1">
        <f ca="1">IFERROR(__xludf.DUMMYFUNCTION("""COMPUTED_VALUE"""),263800)</f>
        <v>263800</v>
      </c>
      <c r="I1118" s="1"/>
    </row>
    <row r="1119" spans="1:9">
      <c r="A1119" s="3">
        <f ca="1">IFERROR(__xludf.DUMMYFUNCTION("""COMPUTED_VALUE"""),30834.6666666666)</f>
        <v>30834.666666666599</v>
      </c>
      <c r="B1119" s="1">
        <f ca="1">IFERROR(__xludf.DUMMYFUNCTION("""COMPUTED_VALUE"""),1.94)</f>
        <v>1.94</v>
      </c>
      <c r="C1119" s="1">
        <f ca="1">IFERROR(__xludf.DUMMYFUNCTION("""COMPUTED_VALUE"""),1.95)</f>
        <v>1.95</v>
      </c>
      <c r="D1119" s="1">
        <f ca="1">IFERROR(__xludf.DUMMYFUNCTION("""COMPUTED_VALUE"""),1.91)</f>
        <v>1.91</v>
      </c>
      <c r="E1119" s="1">
        <f ca="1">IFERROR(__xludf.DUMMYFUNCTION("""COMPUTED_VALUE"""),1.94)</f>
        <v>1.94</v>
      </c>
      <c r="F1119" s="1">
        <f ca="1">IFERROR(__xludf.DUMMYFUNCTION("""COMPUTED_VALUE"""),512800)</f>
        <v>512800</v>
      </c>
      <c r="I1119" s="1"/>
    </row>
    <row r="1120" spans="1:9">
      <c r="A1120" s="3">
        <f ca="1">IFERROR(__xludf.DUMMYFUNCTION("""COMPUTED_VALUE"""),30837.6666666666)</f>
        <v>30837.666666666599</v>
      </c>
      <c r="B1120" s="1">
        <f ca="1">IFERROR(__xludf.DUMMYFUNCTION("""COMPUTED_VALUE"""),1.94)</f>
        <v>1.94</v>
      </c>
      <c r="C1120" s="1">
        <f ca="1">IFERROR(__xludf.DUMMYFUNCTION("""COMPUTED_VALUE"""),1.96)</f>
        <v>1.96</v>
      </c>
      <c r="D1120" s="1">
        <f ca="1">IFERROR(__xludf.DUMMYFUNCTION("""COMPUTED_VALUE"""),1.93)</f>
        <v>1.93</v>
      </c>
      <c r="E1120" s="1">
        <f ca="1">IFERROR(__xludf.DUMMYFUNCTION("""COMPUTED_VALUE"""),1.94)</f>
        <v>1.94</v>
      </c>
      <c r="F1120" s="1">
        <f ca="1">IFERROR(__xludf.DUMMYFUNCTION("""COMPUTED_VALUE"""),491900)</f>
        <v>491900</v>
      </c>
      <c r="I1120" s="1"/>
    </row>
    <row r="1121" spans="1:9">
      <c r="A1121" s="3">
        <f ca="1">IFERROR(__xludf.DUMMYFUNCTION("""COMPUTED_VALUE"""),30838.6666666666)</f>
        <v>30838.666666666599</v>
      </c>
      <c r="B1121" s="1">
        <f ca="1">IFERROR(__xludf.DUMMYFUNCTION("""COMPUTED_VALUE"""),2.01)</f>
        <v>2.0099999999999998</v>
      </c>
      <c r="C1121" s="1">
        <f ca="1">IFERROR(__xludf.DUMMYFUNCTION("""COMPUTED_VALUE"""),2.02)</f>
        <v>2.02</v>
      </c>
      <c r="D1121" s="1">
        <f ca="1">IFERROR(__xludf.DUMMYFUNCTION("""COMPUTED_VALUE"""),1.92)</f>
        <v>1.92</v>
      </c>
      <c r="E1121" s="1">
        <f ca="1">IFERROR(__xludf.DUMMYFUNCTION("""COMPUTED_VALUE"""),2.01)</f>
        <v>2.0099999999999998</v>
      </c>
      <c r="F1121" s="1">
        <f ca="1">IFERROR(__xludf.DUMMYFUNCTION("""COMPUTED_VALUE"""),368200)</f>
        <v>368200</v>
      </c>
      <c r="I1121" s="1"/>
    </row>
    <row r="1122" spans="1:9">
      <c r="A1122" s="3">
        <f ca="1">IFERROR(__xludf.DUMMYFUNCTION("""COMPUTED_VALUE"""),30839.6666666666)</f>
        <v>30839.666666666599</v>
      </c>
      <c r="B1122" s="1">
        <f ca="1">IFERROR(__xludf.DUMMYFUNCTION("""COMPUTED_VALUE"""),2.04)</f>
        <v>2.04</v>
      </c>
      <c r="C1122" s="1">
        <f ca="1">IFERROR(__xludf.DUMMYFUNCTION("""COMPUTED_VALUE"""),2.04)</f>
        <v>2.04</v>
      </c>
      <c r="D1122" s="1">
        <f ca="1">IFERROR(__xludf.DUMMYFUNCTION("""COMPUTED_VALUE"""),2.01)</f>
        <v>2.0099999999999998</v>
      </c>
      <c r="E1122" s="1">
        <f ca="1">IFERROR(__xludf.DUMMYFUNCTION("""COMPUTED_VALUE"""),2.04)</f>
        <v>2.04</v>
      </c>
      <c r="F1122" s="1">
        <f ca="1">IFERROR(__xludf.DUMMYFUNCTION("""COMPUTED_VALUE"""),510900)</f>
        <v>510900</v>
      </c>
      <c r="I1122" s="1"/>
    </row>
    <row r="1123" spans="1:9">
      <c r="A1123" s="3">
        <f ca="1">IFERROR(__xludf.DUMMYFUNCTION("""COMPUTED_VALUE"""),30840.6666666666)</f>
        <v>30840.666666666599</v>
      </c>
      <c r="B1123" s="1">
        <f ca="1">IFERROR(__xludf.DUMMYFUNCTION("""COMPUTED_VALUE"""),2.01)</f>
        <v>2.0099999999999998</v>
      </c>
      <c r="C1123" s="1">
        <f ca="1">IFERROR(__xludf.DUMMYFUNCTION("""COMPUTED_VALUE"""),2.03)</f>
        <v>2.0299999999999998</v>
      </c>
      <c r="D1123" s="1">
        <f ca="1">IFERROR(__xludf.DUMMYFUNCTION("""COMPUTED_VALUE"""),2.01)</f>
        <v>2.0099999999999998</v>
      </c>
      <c r="E1123" s="1">
        <f ca="1">IFERROR(__xludf.DUMMYFUNCTION("""COMPUTED_VALUE"""),2.01)</f>
        <v>2.0099999999999998</v>
      </c>
      <c r="F1123" s="1">
        <f ca="1">IFERROR(__xludf.DUMMYFUNCTION("""COMPUTED_VALUE"""),251900)</f>
        <v>251900</v>
      </c>
      <c r="I1123" s="1"/>
    </row>
    <row r="1124" spans="1:9">
      <c r="A1124" s="3">
        <f ca="1">IFERROR(__xludf.DUMMYFUNCTION("""COMPUTED_VALUE"""),30841.6666666666)</f>
        <v>30841.666666666599</v>
      </c>
      <c r="B1124" s="1">
        <f ca="1">IFERROR(__xludf.DUMMYFUNCTION("""COMPUTED_VALUE"""),2.05)</f>
        <v>2.0499999999999998</v>
      </c>
      <c r="C1124" s="1">
        <f ca="1">IFERROR(__xludf.DUMMYFUNCTION("""COMPUTED_VALUE"""),2.05)</f>
        <v>2.0499999999999998</v>
      </c>
      <c r="D1124" s="1">
        <f ca="1">IFERROR(__xludf.DUMMYFUNCTION("""COMPUTED_VALUE"""),2)</f>
        <v>2</v>
      </c>
      <c r="E1124" s="1">
        <f ca="1">IFERROR(__xludf.DUMMYFUNCTION("""COMPUTED_VALUE"""),2.05)</f>
        <v>2.0499999999999998</v>
      </c>
      <c r="F1124" s="1">
        <f ca="1">IFERROR(__xludf.DUMMYFUNCTION("""COMPUTED_VALUE"""),402800)</f>
        <v>402800</v>
      </c>
      <c r="I1124" s="1"/>
    </row>
    <row r="1125" spans="1:9">
      <c r="A1125" s="3">
        <f ca="1">IFERROR(__xludf.DUMMYFUNCTION("""COMPUTED_VALUE"""),30844.6666666666)</f>
        <v>30844.666666666599</v>
      </c>
      <c r="B1125" s="1">
        <f ca="1">IFERROR(__xludf.DUMMYFUNCTION("""COMPUTED_VALUE"""),2.02)</f>
        <v>2.02</v>
      </c>
      <c r="C1125" s="1">
        <f ca="1">IFERROR(__xludf.DUMMYFUNCTION("""COMPUTED_VALUE"""),2.05)</f>
        <v>2.0499999999999998</v>
      </c>
      <c r="D1125" s="1">
        <f ca="1">IFERROR(__xludf.DUMMYFUNCTION("""COMPUTED_VALUE"""),2.01)</f>
        <v>2.0099999999999998</v>
      </c>
      <c r="E1125" s="1">
        <f ca="1">IFERROR(__xludf.DUMMYFUNCTION("""COMPUTED_VALUE"""),2.02)</f>
        <v>2.02</v>
      </c>
      <c r="F1125" s="1">
        <f ca="1">IFERROR(__xludf.DUMMYFUNCTION("""COMPUTED_VALUE"""),306900)</f>
        <v>306900</v>
      </c>
      <c r="I1125" s="1"/>
    </row>
    <row r="1126" spans="1:9">
      <c r="A1126" s="3">
        <f ca="1">IFERROR(__xludf.DUMMYFUNCTION("""COMPUTED_VALUE"""),30845.6666666666)</f>
        <v>30845.666666666599</v>
      </c>
      <c r="B1126" s="1">
        <f ca="1">IFERROR(__xludf.DUMMYFUNCTION("""COMPUTED_VALUE"""),2.02)</f>
        <v>2.02</v>
      </c>
      <c r="C1126" s="1">
        <f ca="1">IFERROR(__xludf.DUMMYFUNCTION("""COMPUTED_VALUE"""),2.02)</f>
        <v>2.02</v>
      </c>
      <c r="D1126" s="1">
        <f ca="1">IFERROR(__xludf.DUMMYFUNCTION("""COMPUTED_VALUE"""),1.99)</f>
        <v>1.99</v>
      </c>
      <c r="E1126" s="1">
        <f ca="1">IFERROR(__xludf.DUMMYFUNCTION("""COMPUTED_VALUE"""),2.02)</f>
        <v>2.02</v>
      </c>
      <c r="F1126" s="1">
        <f ca="1">IFERROR(__xludf.DUMMYFUNCTION("""COMPUTED_VALUE"""),438000)</f>
        <v>438000</v>
      </c>
      <c r="I1126" s="1"/>
    </row>
    <row r="1127" spans="1:9">
      <c r="A1127" s="3">
        <f ca="1">IFERROR(__xludf.DUMMYFUNCTION("""COMPUTED_VALUE"""),30846.6666666666)</f>
        <v>30846.666666666599</v>
      </c>
      <c r="B1127" s="1">
        <f ca="1">IFERROR(__xludf.DUMMYFUNCTION("""COMPUTED_VALUE"""),1.98)</f>
        <v>1.98</v>
      </c>
      <c r="C1127" s="1">
        <f ca="1">IFERROR(__xludf.DUMMYFUNCTION("""COMPUTED_VALUE"""),2.03)</f>
        <v>2.0299999999999998</v>
      </c>
      <c r="D1127" s="1">
        <f ca="1">IFERROR(__xludf.DUMMYFUNCTION("""COMPUTED_VALUE"""),1.97)</f>
        <v>1.97</v>
      </c>
      <c r="E1127" s="1">
        <f ca="1">IFERROR(__xludf.DUMMYFUNCTION("""COMPUTED_VALUE"""),1.98)</f>
        <v>1.98</v>
      </c>
      <c r="F1127" s="1">
        <f ca="1">IFERROR(__xludf.DUMMYFUNCTION("""COMPUTED_VALUE"""),1029100)</f>
        <v>1029100</v>
      </c>
      <c r="I1127" s="1"/>
    </row>
    <row r="1128" spans="1:9">
      <c r="A1128" s="3">
        <f ca="1">IFERROR(__xludf.DUMMYFUNCTION("""COMPUTED_VALUE"""),30847.6666666666)</f>
        <v>30847.666666666599</v>
      </c>
      <c r="B1128" s="1">
        <f ca="1">IFERROR(__xludf.DUMMYFUNCTION("""COMPUTED_VALUE"""),1.98)</f>
        <v>1.98</v>
      </c>
      <c r="C1128" s="1">
        <f ca="1">IFERROR(__xludf.DUMMYFUNCTION("""COMPUTED_VALUE"""),2.01)</f>
        <v>2.0099999999999998</v>
      </c>
      <c r="D1128" s="1">
        <f ca="1">IFERROR(__xludf.DUMMYFUNCTION("""COMPUTED_VALUE"""),1.95)</f>
        <v>1.95</v>
      </c>
      <c r="E1128" s="1">
        <f ca="1">IFERROR(__xludf.DUMMYFUNCTION("""COMPUTED_VALUE"""),1.98)</f>
        <v>1.98</v>
      </c>
      <c r="F1128" s="1">
        <f ca="1">IFERROR(__xludf.DUMMYFUNCTION("""COMPUTED_VALUE"""),340400)</f>
        <v>340400</v>
      </c>
      <c r="I1128" s="1"/>
    </row>
    <row r="1129" spans="1:9">
      <c r="A1129" s="3">
        <f ca="1">IFERROR(__xludf.DUMMYFUNCTION("""COMPUTED_VALUE"""),30848.6666666666)</f>
        <v>30848.666666666599</v>
      </c>
      <c r="B1129" s="1">
        <f ca="1">IFERROR(__xludf.DUMMYFUNCTION("""COMPUTED_VALUE"""),2)</f>
        <v>2</v>
      </c>
      <c r="C1129" s="1">
        <f ca="1">IFERROR(__xludf.DUMMYFUNCTION("""COMPUTED_VALUE"""),2.01)</f>
        <v>2.0099999999999998</v>
      </c>
      <c r="D1129" s="1">
        <f ca="1">IFERROR(__xludf.DUMMYFUNCTION("""COMPUTED_VALUE"""),1.96)</f>
        <v>1.96</v>
      </c>
      <c r="E1129" s="1">
        <f ca="1">IFERROR(__xludf.DUMMYFUNCTION("""COMPUTED_VALUE"""),2)</f>
        <v>2</v>
      </c>
      <c r="F1129" s="1">
        <f ca="1">IFERROR(__xludf.DUMMYFUNCTION("""COMPUTED_VALUE"""),268000)</f>
        <v>268000</v>
      </c>
      <c r="I1129" s="1"/>
    </row>
    <row r="1130" spans="1:9">
      <c r="A1130" s="3">
        <f ca="1">IFERROR(__xludf.DUMMYFUNCTION("""COMPUTED_VALUE"""),30851.6666666666)</f>
        <v>30851.666666666599</v>
      </c>
      <c r="B1130" s="1">
        <f ca="1">IFERROR(__xludf.DUMMYFUNCTION("""COMPUTED_VALUE"""),2.03)</f>
        <v>2.0299999999999998</v>
      </c>
      <c r="C1130" s="1">
        <f ca="1">IFERROR(__xludf.DUMMYFUNCTION("""COMPUTED_VALUE"""),2.04)</f>
        <v>2.04</v>
      </c>
      <c r="D1130" s="1">
        <f ca="1">IFERROR(__xludf.DUMMYFUNCTION("""COMPUTED_VALUE"""),1.98)</f>
        <v>1.98</v>
      </c>
      <c r="E1130" s="1">
        <f ca="1">IFERROR(__xludf.DUMMYFUNCTION("""COMPUTED_VALUE"""),2.03)</f>
        <v>2.0299999999999998</v>
      </c>
      <c r="F1130" s="1">
        <f ca="1">IFERROR(__xludf.DUMMYFUNCTION("""COMPUTED_VALUE"""),436300)</f>
        <v>436300</v>
      </c>
      <c r="I1130" s="1"/>
    </row>
    <row r="1131" spans="1:9">
      <c r="A1131" s="3">
        <f ca="1">IFERROR(__xludf.DUMMYFUNCTION("""COMPUTED_VALUE"""),30852.6666666666)</f>
        <v>30852.666666666599</v>
      </c>
      <c r="B1131" s="1">
        <f ca="1">IFERROR(__xludf.DUMMYFUNCTION("""COMPUTED_VALUE"""),2.02)</f>
        <v>2.02</v>
      </c>
      <c r="C1131" s="1">
        <f ca="1">IFERROR(__xludf.DUMMYFUNCTION("""COMPUTED_VALUE"""),2.03)</f>
        <v>2.0299999999999998</v>
      </c>
      <c r="D1131" s="1">
        <f ca="1">IFERROR(__xludf.DUMMYFUNCTION("""COMPUTED_VALUE"""),2.01)</f>
        <v>2.0099999999999998</v>
      </c>
      <c r="E1131" s="1">
        <f ca="1">IFERROR(__xludf.DUMMYFUNCTION("""COMPUTED_VALUE"""),2.02)</f>
        <v>2.02</v>
      </c>
      <c r="F1131" s="1">
        <f ca="1">IFERROR(__xludf.DUMMYFUNCTION("""COMPUTED_VALUE"""),461300)</f>
        <v>461300</v>
      </c>
      <c r="I1131" s="1"/>
    </row>
    <row r="1132" spans="1:9">
      <c r="A1132" s="3">
        <f ca="1">IFERROR(__xludf.DUMMYFUNCTION("""COMPUTED_VALUE"""),30853.6666666666)</f>
        <v>30853.666666666599</v>
      </c>
      <c r="B1132" s="1">
        <f ca="1">IFERROR(__xludf.DUMMYFUNCTION("""COMPUTED_VALUE"""),2.06)</f>
        <v>2.06</v>
      </c>
      <c r="C1132" s="1">
        <f ca="1">IFERROR(__xludf.DUMMYFUNCTION("""COMPUTED_VALUE"""),2.06)</f>
        <v>2.06</v>
      </c>
      <c r="D1132" s="1">
        <f ca="1">IFERROR(__xludf.DUMMYFUNCTION("""COMPUTED_VALUE"""),1.98)</f>
        <v>1.98</v>
      </c>
      <c r="E1132" s="1">
        <f ca="1">IFERROR(__xludf.DUMMYFUNCTION("""COMPUTED_VALUE"""),2.06)</f>
        <v>2.06</v>
      </c>
      <c r="F1132" s="1">
        <f ca="1">IFERROR(__xludf.DUMMYFUNCTION("""COMPUTED_VALUE"""),456300)</f>
        <v>456300</v>
      </c>
      <c r="I1132" s="1"/>
    </row>
    <row r="1133" spans="1:9">
      <c r="A1133" s="3">
        <f ca="1">IFERROR(__xludf.DUMMYFUNCTION("""COMPUTED_VALUE"""),30854.6666666666)</f>
        <v>30854.666666666599</v>
      </c>
      <c r="B1133" s="1">
        <f ca="1">IFERROR(__xludf.DUMMYFUNCTION("""COMPUTED_VALUE"""),2.04)</f>
        <v>2.04</v>
      </c>
      <c r="C1133" s="1">
        <f ca="1">IFERROR(__xludf.DUMMYFUNCTION("""COMPUTED_VALUE"""),2.07)</f>
        <v>2.0699999999999998</v>
      </c>
      <c r="D1133" s="1">
        <f ca="1">IFERROR(__xludf.DUMMYFUNCTION("""COMPUTED_VALUE"""),2.03)</f>
        <v>2.0299999999999998</v>
      </c>
      <c r="E1133" s="1">
        <f ca="1">IFERROR(__xludf.DUMMYFUNCTION("""COMPUTED_VALUE"""),2.04)</f>
        <v>2.04</v>
      </c>
      <c r="F1133" s="1">
        <f ca="1">IFERROR(__xludf.DUMMYFUNCTION("""COMPUTED_VALUE"""),436100)</f>
        <v>436100</v>
      </c>
      <c r="I1133" s="1"/>
    </row>
    <row r="1134" spans="1:9">
      <c r="A1134" s="3">
        <f ca="1">IFERROR(__xludf.DUMMYFUNCTION("""COMPUTED_VALUE"""),30855.6666666666)</f>
        <v>30855.666666666599</v>
      </c>
      <c r="B1134" s="1">
        <f ca="1">IFERROR(__xludf.DUMMYFUNCTION("""COMPUTED_VALUE"""),1.98)</f>
        <v>1.98</v>
      </c>
      <c r="C1134" s="1">
        <f ca="1">IFERROR(__xludf.DUMMYFUNCTION("""COMPUTED_VALUE"""),2.05)</f>
        <v>2.0499999999999998</v>
      </c>
      <c r="D1134" s="1">
        <f ca="1">IFERROR(__xludf.DUMMYFUNCTION("""COMPUTED_VALUE"""),1.97)</f>
        <v>1.97</v>
      </c>
      <c r="E1134" s="1">
        <f ca="1">IFERROR(__xludf.DUMMYFUNCTION("""COMPUTED_VALUE"""),1.98)</f>
        <v>1.98</v>
      </c>
      <c r="F1134" s="1">
        <f ca="1">IFERROR(__xludf.DUMMYFUNCTION("""COMPUTED_VALUE"""),773400)</f>
        <v>773400</v>
      </c>
      <c r="I1134" s="1"/>
    </row>
    <row r="1135" spans="1:9">
      <c r="A1135" s="3">
        <f ca="1">IFERROR(__xludf.DUMMYFUNCTION("""COMPUTED_VALUE"""),30858.6666666666)</f>
        <v>30858.666666666599</v>
      </c>
      <c r="B1135" s="1">
        <f ca="1">IFERROR(__xludf.DUMMYFUNCTION("""COMPUTED_VALUE"""),1.84)</f>
        <v>1.84</v>
      </c>
      <c r="C1135" s="1">
        <f ca="1">IFERROR(__xludf.DUMMYFUNCTION("""COMPUTED_VALUE"""),1.95)</f>
        <v>1.95</v>
      </c>
      <c r="D1135" s="1">
        <f ca="1">IFERROR(__xludf.DUMMYFUNCTION("""COMPUTED_VALUE"""),1.84)</f>
        <v>1.84</v>
      </c>
      <c r="E1135" s="1">
        <f ca="1">IFERROR(__xludf.DUMMYFUNCTION("""COMPUTED_VALUE"""),1.84)</f>
        <v>1.84</v>
      </c>
      <c r="F1135" s="1">
        <f ca="1">IFERROR(__xludf.DUMMYFUNCTION("""COMPUTED_VALUE"""),1113300)</f>
        <v>1113300</v>
      </c>
      <c r="I1135" s="1"/>
    </row>
    <row r="1136" spans="1:9">
      <c r="A1136" s="3">
        <f ca="1">IFERROR(__xludf.DUMMYFUNCTION("""COMPUTED_VALUE"""),30859.6666666666)</f>
        <v>30859.666666666599</v>
      </c>
      <c r="B1136" s="1">
        <f ca="1">IFERROR(__xludf.DUMMYFUNCTION("""COMPUTED_VALUE"""),1.87)</f>
        <v>1.87</v>
      </c>
      <c r="C1136" s="1">
        <f ca="1">IFERROR(__xludf.DUMMYFUNCTION("""COMPUTED_VALUE"""),1.88)</f>
        <v>1.88</v>
      </c>
      <c r="D1136" s="1">
        <f ca="1">IFERROR(__xludf.DUMMYFUNCTION("""COMPUTED_VALUE"""),1.84)</f>
        <v>1.84</v>
      </c>
      <c r="E1136" s="1">
        <f ca="1">IFERROR(__xludf.DUMMYFUNCTION("""COMPUTED_VALUE"""),1.87)</f>
        <v>1.87</v>
      </c>
      <c r="F1136" s="1">
        <f ca="1">IFERROR(__xludf.DUMMYFUNCTION("""COMPUTED_VALUE"""),1030300)</f>
        <v>1030300</v>
      </c>
      <c r="I1136" s="1"/>
    </row>
    <row r="1137" spans="1:9">
      <c r="A1137" s="3">
        <f ca="1">IFERROR(__xludf.DUMMYFUNCTION("""COMPUTED_VALUE"""),30860.6666666666)</f>
        <v>30860.666666666599</v>
      </c>
      <c r="B1137" s="1">
        <f ca="1">IFERROR(__xludf.DUMMYFUNCTION("""COMPUTED_VALUE"""),1.88)</f>
        <v>1.88</v>
      </c>
      <c r="C1137" s="1">
        <f ca="1">IFERROR(__xludf.DUMMYFUNCTION("""COMPUTED_VALUE"""),1.89)</f>
        <v>1.89</v>
      </c>
      <c r="D1137" s="1">
        <f ca="1">IFERROR(__xludf.DUMMYFUNCTION("""COMPUTED_VALUE"""),1.87)</f>
        <v>1.87</v>
      </c>
      <c r="E1137" s="1">
        <f ca="1">IFERROR(__xludf.DUMMYFUNCTION("""COMPUTED_VALUE"""),1.88)</f>
        <v>1.88</v>
      </c>
      <c r="F1137" s="1">
        <f ca="1">IFERROR(__xludf.DUMMYFUNCTION("""COMPUTED_VALUE"""),429700)</f>
        <v>429700</v>
      </c>
      <c r="I1137" s="1"/>
    </row>
    <row r="1138" spans="1:9">
      <c r="A1138" s="3">
        <f ca="1">IFERROR(__xludf.DUMMYFUNCTION("""COMPUTED_VALUE"""),30861.6666666666)</f>
        <v>30861.666666666599</v>
      </c>
      <c r="B1138" s="1">
        <f ca="1">IFERROR(__xludf.DUMMYFUNCTION("""COMPUTED_VALUE"""),1.88)</f>
        <v>1.88</v>
      </c>
      <c r="C1138" s="1">
        <f ca="1">IFERROR(__xludf.DUMMYFUNCTION("""COMPUTED_VALUE"""),1.88)</f>
        <v>1.88</v>
      </c>
      <c r="D1138" s="1">
        <f ca="1">IFERROR(__xludf.DUMMYFUNCTION("""COMPUTED_VALUE"""),1.86)</f>
        <v>1.86</v>
      </c>
      <c r="E1138" s="1">
        <f ca="1">IFERROR(__xludf.DUMMYFUNCTION("""COMPUTED_VALUE"""),1.88)</f>
        <v>1.88</v>
      </c>
      <c r="F1138" s="1">
        <f ca="1">IFERROR(__xludf.DUMMYFUNCTION("""COMPUTED_VALUE"""),472600)</f>
        <v>472600</v>
      </c>
      <c r="I1138" s="1"/>
    </row>
    <row r="1139" spans="1:9">
      <c r="A1139" s="3">
        <f ca="1">IFERROR(__xludf.DUMMYFUNCTION("""COMPUTED_VALUE"""),30862.6666666666)</f>
        <v>30862.666666666599</v>
      </c>
      <c r="B1139" s="1">
        <f ca="1">IFERROR(__xludf.DUMMYFUNCTION("""COMPUTED_VALUE"""),1.88)</f>
        <v>1.88</v>
      </c>
      <c r="C1139" s="1">
        <f ca="1">IFERROR(__xludf.DUMMYFUNCTION("""COMPUTED_VALUE"""),1.88)</f>
        <v>1.88</v>
      </c>
      <c r="D1139" s="1">
        <f ca="1">IFERROR(__xludf.DUMMYFUNCTION("""COMPUTED_VALUE"""),1.87)</f>
        <v>1.87</v>
      </c>
      <c r="E1139" s="1">
        <f ca="1">IFERROR(__xludf.DUMMYFUNCTION("""COMPUTED_VALUE"""),1.88)</f>
        <v>1.88</v>
      </c>
      <c r="F1139" s="1">
        <f ca="1">IFERROR(__xludf.DUMMYFUNCTION("""COMPUTED_VALUE"""),391900)</f>
        <v>391900</v>
      </c>
      <c r="I1139" s="1"/>
    </row>
    <row r="1140" spans="1:9">
      <c r="A1140" s="3">
        <f ca="1">IFERROR(__xludf.DUMMYFUNCTION("""COMPUTED_VALUE"""),30865.6666666666)</f>
        <v>30865.666666666599</v>
      </c>
      <c r="B1140" s="1">
        <f ca="1">IFERROR(__xludf.DUMMYFUNCTION("""COMPUTED_VALUE"""),1.91)</f>
        <v>1.91</v>
      </c>
      <c r="C1140" s="1">
        <f ca="1">IFERROR(__xludf.DUMMYFUNCTION("""COMPUTED_VALUE"""),1.91)</f>
        <v>1.91</v>
      </c>
      <c r="D1140" s="1">
        <f ca="1">IFERROR(__xludf.DUMMYFUNCTION("""COMPUTED_VALUE"""),1.88)</f>
        <v>1.88</v>
      </c>
      <c r="E1140" s="1">
        <f ca="1">IFERROR(__xludf.DUMMYFUNCTION("""COMPUTED_VALUE"""),1.91)</f>
        <v>1.91</v>
      </c>
      <c r="F1140" s="1">
        <f ca="1">IFERROR(__xludf.DUMMYFUNCTION("""COMPUTED_VALUE"""),245700)</f>
        <v>245700</v>
      </c>
      <c r="I1140" s="1"/>
    </row>
    <row r="1141" spans="1:9">
      <c r="A1141" s="3">
        <f ca="1">IFERROR(__xludf.DUMMYFUNCTION("""COMPUTED_VALUE"""),30866.6666666666)</f>
        <v>30866.666666666599</v>
      </c>
      <c r="B1141" s="1">
        <f ca="1">IFERROR(__xludf.DUMMYFUNCTION("""COMPUTED_VALUE"""),1.92)</f>
        <v>1.92</v>
      </c>
      <c r="C1141" s="1">
        <f ca="1">IFERROR(__xludf.DUMMYFUNCTION("""COMPUTED_VALUE"""),1.93)</f>
        <v>1.93</v>
      </c>
      <c r="D1141" s="1">
        <f ca="1">IFERROR(__xludf.DUMMYFUNCTION("""COMPUTED_VALUE"""),1.91)</f>
        <v>1.91</v>
      </c>
      <c r="E1141" s="1">
        <f ca="1">IFERROR(__xludf.DUMMYFUNCTION("""COMPUTED_VALUE"""),1.92)</f>
        <v>1.92</v>
      </c>
      <c r="F1141" s="1">
        <f ca="1">IFERROR(__xludf.DUMMYFUNCTION("""COMPUTED_VALUE"""),213700)</f>
        <v>213700</v>
      </c>
      <c r="I1141" s="1"/>
    </row>
    <row r="1142" spans="1:9">
      <c r="A1142" s="3">
        <f ca="1">IFERROR(__xludf.DUMMYFUNCTION("""COMPUTED_VALUE"""),30868.6666666666)</f>
        <v>30868.666666666599</v>
      </c>
      <c r="B1142" s="1">
        <f ca="1">IFERROR(__xludf.DUMMYFUNCTION("""COMPUTED_VALUE"""),1.88)</f>
        <v>1.88</v>
      </c>
      <c r="C1142" s="1">
        <f ca="1">IFERROR(__xludf.DUMMYFUNCTION("""COMPUTED_VALUE"""),1.92)</f>
        <v>1.92</v>
      </c>
      <c r="D1142" s="1">
        <f ca="1">IFERROR(__xludf.DUMMYFUNCTION("""COMPUTED_VALUE"""),1.88)</f>
        <v>1.88</v>
      </c>
      <c r="E1142" s="1">
        <f ca="1">IFERROR(__xludf.DUMMYFUNCTION("""COMPUTED_VALUE"""),1.88)</f>
        <v>1.88</v>
      </c>
      <c r="F1142" s="1">
        <f ca="1">IFERROR(__xludf.DUMMYFUNCTION("""COMPUTED_VALUE"""),225800)</f>
        <v>225800</v>
      </c>
      <c r="I1142" s="1"/>
    </row>
    <row r="1143" spans="1:9">
      <c r="A1143" s="3">
        <f ca="1">IFERROR(__xludf.DUMMYFUNCTION("""COMPUTED_VALUE"""),30869.6666666666)</f>
        <v>30869.666666666599</v>
      </c>
      <c r="B1143" s="1">
        <f ca="1">IFERROR(__xludf.DUMMYFUNCTION("""COMPUTED_VALUE"""),1.85)</f>
        <v>1.85</v>
      </c>
      <c r="C1143" s="1">
        <f ca="1">IFERROR(__xludf.DUMMYFUNCTION("""COMPUTED_VALUE"""),1.88)</f>
        <v>1.88</v>
      </c>
      <c r="D1143" s="1">
        <f ca="1">IFERROR(__xludf.DUMMYFUNCTION("""COMPUTED_VALUE"""),1.84)</f>
        <v>1.84</v>
      </c>
      <c r="E1143" s="1">
        <f ca="1">IFERROR(__xludf.DUMMYFUNCTION("""COMPUTED_VALUE"""),1.85)</f>
        <v>1.85</v>
      </c>
      <c r="F1143" s="1">
        <f ca="1">IFERROR(__xludf.DUMMYFUNCTION("""COMPUTED_VALUE"""),516400)</f>
        <v>516400</v>
      </c>
      <c r="I1143" s="1"/>
    </row>
    <row r="1144" spans="1:9">
      <c r="A1144" s="3">
        <f ca="1">IFERROR(__xludf.DUMMYFUNCTION("""COMPUTED_VALUE"""),30872.6666666666)</f>
        <v>30872.666666666599</v>
      </c>
      <c r="B1144" s="1">
        <f ca="1">IFERROR(__xludf.DUMMYFUNCTION("""COMPUTED_VALUE"""),1.88)</f>
        <v>1.88</v>
      </c>
      <c r="C1144" s="1">
        <f ca="1">IFERROR(__xludf.DUMMYFUNCTION("""COMPUTED_VALUE"""),1.88)</f>
        <v>1.88</v>
      </c>
      <c r="D1144" s="1">
        <f ca="1">IFERROR(__xludf.DUMMYFUNCTION("""COMPUTED_VALUE"""),1.85)</f>
        <v>1.85</v>
      </c>
      <c r="E1144" s="1">
        <f ca="1">IFERROR(__xludf.DUMMYFUNCTION("""COMPUTED_VALUE"""),1.88)</f>
        <v>1.88</v>
      </c>
      <c r="F1144" s="1">
        <f ca="1">IFERROR(__xludf.DUMMYFUNCTION("""COMPUTED_VALUE"""),433300)</f>
        <v>433300</v>
      </c>
      <c r="I1144" s="1"/>
    </row>
    <row r="1145" spans="1:9">
      <c r="A1145" s="3">
        <f ca="1">IFERROR(__xludf.DUMMYFUNCTION("""COMPUTED_VALUE"""),30873.6666666666)</f>
        <v>30873.666666666599</v>
      </c>
      <c r="B1145" s="1">
        <f ca="1">IFERROR(__xludf.DUMMYFUNCTION("""COMPUTED_VALUE"""),1.84)</f>
        <v>1.84</v>
      </c>
      <c r="C1145" s="1">
        <f ca="1">IFERROR(__xludf.DUMMYFUNCTION("""COMPUTED_VALUE"""),1.88)</f>
        <v>1.88</v>
      </c>
      <c r="D1145" s="1">
        <f ca="1">IFERROR(__xludf.DUMMYFUNCTION("""COMPUTED_VALUE"""),1.83)</f>
        <v>1.83</v>
      </c>
      <c r="E1145" s="1">
        <f ca="1">IFERROR(__xludf.DUMMYFUNCTION("""COMPUTED_VALUE"""),1.84)</f>
        <v>1.84</v>
      </c>
      <c r="F1145" s="1">
        <f ca="1">IFERROR(__xludf.DUMMYFUNCTION("""COMPUTED_VALUE"""),1307300)</f>
        <v>1307300</v>
      </c>
      <c r="I1145" s="1"/>
    </row>
    <row r="1146" spans="1:9">
      <c r="A1146" s="3">
        <f ca="1">IFERROR(__xludf.DUMMYFUNCTION("""COMPUTED_VALUE"""),30874.6666666666)</f>
        <v>30874.666666666599</v>
      </c>
      <c r="B1146" s="1">
        <f ca="1">IFERROR(__xludf.DUMMYFUNCTION("""COMPUTED_VALUE"""),1.82)</f>
        <v>1.82</v>
      </c>
      <c r="C1146" s="1">
        <f ca="1">IFERROR(__xludf.DUMMYFUNCTION("""COMPUTED_VALUE"""),1.85)</f>
        <v>1.85</v>
      </c>
      <c r="D1146" s="1">
        <f ca="1">IFERROR(__xludf.DUMMYFUNCTION("""COMPUTED_VALUE"""),1.82)</f>
        <v>1.82</v>
      </c>
      <c r="E1146" s="1">
        <f ca="1">IFERROR(__xludf.DUMMYFUNCTION("""COMPUTED_VALUE"""),1.82)</f>
        <v>1.82</v>
      </c>
      <c r="F1146" s="1">
        <f ca="1">IFERROR(__xludf.DUMMYFUNCTION("""COMPUTED_VALUE"""),497300)</f>
        <v>497300</v>
      </c>
      <c r="I1146" s="1"/>
    </row>
    <row r="1147" spans="1:9">
      <c r="A1147" s="3">
        <f ca="1">IFERROR(__xludf.DUMMYFUNCTION("""COMPUTED_VALUE"""),30875.6666666666)</f>
        <v>30875.666666666599</v>
      </c>
      <c r="B1147" s="1">
        <f ca="1">IFERROR(__xludf.DUMMYFUNCTION("""COMPUTED_VALUE"""),1.81)</f>
        <v>1.81</v>
      </c>
      <c r="C1147" s="1">
        <f ca="1">IFERROR(__xludf.DUMMYFUNCTION("""COMPUTED_VALUE"""),1.84)</f>
        <v>1.84</v>
      </c>
      <c r="D1147" s="1">
        <f ca="1">IFERROR(__xludf.DUMMYFUNCTION("""COMPUTED_VALUE"""),1.8)</f>
        <v>1.8</v>
      </c>
      <c r="E1147" s="1">
        <f ca="1">IFERROR(__xludf.DUMMYFUNCTION("""COMPUTED_VALUE"""),1.81)</f>
        <v>1.81</v>
      </c>
      <c r="F1147" s="1">
        <f ca="1">IFERROR(__xludf.DUMMYFUNCTION("""COMPUTED_VALUE"""),537600)</f>
        <v>537600</v>
      </c>
      <c r="I1147" s="1"/>
    </row>
    <row r="1148" spans="1:9">
      <c r="A1148" s="3">
        <f ca="1">IFERROR(__xludf.DUMMYFUNCTION("""COMPUTED_VALUE"""),30876.6666666666)</f>
        <v>30876.666666666599</v>
      </c>
      <c r="B1148" s="1">
        <f ca="1">IFERROR(__xludf.DUMMYFUNCTION("""COMPUTED_VALUE"""),1.81)</f>
        <v>1.81</v>
      </c>
      <c r="C1148" s="1">
        <f ca="1">IFERROR(__xludf.DUMMYFUNCTION("""COMPUTED_VALUE"""),1.83)</f>
        <v>1.83</v>
      </c>
      <c r="D1148" s="1">
        <f ca="1">IFERROR(__xludf.DUMMYFUNCTION("""COMPUTED_VALUE"""),1.8)</f>
        <v>1.8</v>
      </c>
      <c r="E1148" s="1">
        <f ca="1">IFERROR(__xludf.DUMMYFUNCTION("""COMPUTED_VALUE"""),1.81)</f>
        <v>1.81</v>
      </c>
      <c r="F1148" s="1">
        <f ca="1">IFERROR(__xludf.DUMMYFUNCTION("""COMPUTED_VALUE"""),312200)</f>
        <v>312200</v>
      </c>
      <c r="I1148" s="1"/>
    </row>
    <row r="1149" spans="1:9">
      <c r="A1149" s="3">
        <f ca="1">IFERROR(__xludf.DUMMYFUNCTION("""COMPUTED_VALUE"""),30879.6666666666)</f>
        <v>30879.666666666599</v>
      </c>
      <c r="B1149" s="1">
        <f ca="1">IFERROR(__xludf.DUMMYFUNCTION("""COMPUTED_VALUE"""),1.84)</f>
        <v>1.84</v>
      </c>
      <c r="C1149" s="1">
        <f ca="1">IFERROR(__xludf.DUMMYFUNCTION("""COMPUTED_VALUE"""),1.84)</f>
        <v>1.84</v>
      </c>
      <c r="D1149" s="1">
        <f ca="1">IFERROR(__xludf.DUMMYFUNCTION("""COMPUTED_VALUE"""),1.8)</f>
        <v>1.8</v>
      </c>
      <c r="E1149" s="1">
        <f ca="1">IFERROR(__xludf.DUMMYFUNCTION("""COMPUTED_VALUE"""),1.84)</f>
        <v>1.84</v>
      </c>
      <c r="F1149" s="1">
        <f ca="1">IFERROR(__xludf.DUMMYFUNCTION("""COMPUTED_VALUE"""),338000)</f>
        <v>338000</v>
      </c>
      <c r="I1149" s="1"/>
    </row>
    <row r="1150" spans="1:9">
      <c r="A1150" s="3">
        <f ca="1">IFERROR(__xludf.DUMMYFUNCTION("""COMPUTED_VALUE"""),30880.6666666666)</f>
        <v>30880.666666666599</v>
      </c>
      <c r="B1150" s="1">
        <f ca="1">IFERROR(__xludf.DUMMYFUNCTION("""COMPUTED_VALUE"""),1.85)</f>
        <v>1.85</v>
      </c>
      <c r="C1150" s="1">
        <f ca="1">IFERROR(__xludf.DUMMYFUNCTION("""COMPUTED_VALUE"""),1.85)</f>
        <v>1.85</v>
      </c>
      <c r="D1150" s="1">
        <f ca="1">IFERROR(__xludf.DUMMYFUNCTION("""COMPUTED_VALUE"""),1.84)</f>
        <v>1.84</v>
      </c>
      <c r="E1150" s="1">
        <f ca="1">IFERROR(__xludf.DUMMYFUNCTION("""COMPUTED_VALUE"""),1.85)</f>
        <v>1.85</v>
      </c>
      <c r="F1150" s="1">
        <f ca="1">IFERROR(__xludf.DUMMYFUNCTION("""COMPUTED_VALUE"""),284000)</f>
        <v>284000</v>
      </c>
      <c r="I1150" s="1"/>
    </row>
    <row r="1151" spans="1:9">
      <c r="A1151" s="3">
        <f ca="1">IFERROR(__xludf.DUMMYFUNCTION("""COMPUTED_VALUE"""),30881.6666666666)</f>
        <v>30881.666666666599</v>
      </c>
      <c r="B1151" s="1">
        <f ca="1">IFERROR(__xludf.DUMMYFUNCTION("""COMPUTED_VALUE"""),1.82)</f>
        <v>1.82</v>
      </c>
      <c r="C1151" s="1">
        <f ca="1">IFERROR(__xludf.DUMMYFUNCTION("""COMPUTED_VALUE"""),1.85)</f>
        <v>1.85</v>
      </c>
      <c r="D1151" s="1">
        <f ca="1">IFERROR(__xludf.DUMMYFUNCTION("""COMPUTED_VALUE"""),1.82)</f>
        <v>1.82</v>
      </c>
      <c r="E1151" s="1">
        <f ca="1">IFERROR(__xludf.DUMMYFUNCTION("""COMPUTED_VALUE"""),1.82)</f>
        <v>1.82</v>
      </c>
      <c r="F1151" s="1">
        <f ca="1">IFERROR(__xludf.DUMMYFUNCTION("""COMPUTED_VALUE"""),289700)</f>
        <v>289700</v>
      </c>
      <c r="I1151" s="1"/>
    </row>
    <row r="1152" spans="1:9">
      <c r="A1152" s="3">
        <f ca="1">IFERROR(__xludf.DUMMYFUNCTION("""COMPUTED_VALUE"""),30882.6666666666)</f>
        <v>30882.666666666599</v>
      </c>
      <c r="B1152" s="1">
        <f ca="1">IFERROR(__xludf.DUMMYFUNCTION("""COMPUTED_VALUE"""),1.77)</f>
        <v>1.77</v>
      </c>
      <c r="C1152" s="1">
        <f ca="1">IFERROR(__xludf.DUMMYFUNCTION("""COMPUTED_VALUE"""),1.82)</f>
        <v>1.82</v>
      </c>
      <c r="D1152" s="1">
        <f ca="1">IFERROR(__xludf.DUMMYFUNCTION("""COMPUTED_VALUE"""),1.77)</f>
        <v>1.77</v>
      </c>
      <c r="E1152" s="1">
        <f ca="1">IFERROR(__xludf.DUMMYFUNCTION("""COMPUTED_VALUE"""),1.77)</f>
        <v>1.77</v>
      </c>
      <c r="F1152" s="1">
        <f ca="1">IFERROR(__xludf.DUMMYFUNCTION("""COMPUTED_VALUE"""),509600)</f>
        <v>509600</v>
      </c>
      <c r="I1152" s="1"/>
    </row>
    <row r="1153" spans="1:9">
      <c r="A1153" s="3">
        <f ca="1">IFERROR(__xludf.DUMMYFUNCTION("""COMPUTED_VALUE"""),30883.6666666666)</f>
        <v>30883.666666666599</v>
      </c>
      <c r="B1153" s="1">
        <f ca="1">IFERROR(__xludf.DUMMYFUNCTION("""COMPUTED_VALUE"""),1.79)</f>
        <v>1.79</v>
      </c>
      <c r="C1153" s="1">
        <f ca="1">IFERROR(__xludf.DUMMYFUNCTION("""COMPUTED_VALUE"""),1.85)</f>
        <v>1.85</v>
      </c>
      <c r="D1153" s="1">
        <f ca="1">IFERROR(__xludf.DUMMYFUNCTION("""COMPUTED_VALUE"""),1.75)</f>
        <v>1.75</v>
      </c>
      <c r="E1153" s="1">
        <f ca="1">IFERROR(__xludf.DUMMYFUNCTION("""COMPUTED_VALUE"""),1.79)</f>
        <v>1.79</v>
      </c>
      <c r="F1153" s="1">
        <f ca="1">IFERROR(__xludf.DUMMYFUNCTION("""COMPUTED_VALUE"""),304300)</f>
        <v>304300</v>
      </c>
      <c r="I1153" s="1"/>
    </row>
    <row r="1154" spans="1:9">
      <c r="A1154" s="3">
        <f ca="1">IFERROR(__xludf.DUMMYFUNCTION("""COMPUTED_VALUE"""),30886.6666666666)</f>
        <v>30886.666666666599</v>
      </c>
      <c r="B1154" s="1">
        <f ca="1">IFERROR(__xludf.DUMMYFUNCTION("""COMPUTED_VALUE"""),1.8)</f>
        <v>1.8</v>
      </c>
      <c r="C1154" s="1">
        <f ca="1">IFERROR(__xludf.DUMMYFUNCTION("""COMPUTED_VALUE"""),1.81)</f>
        <v>1.81</v>
      </c>
      <c r="D1154" s="1">
        <f ca="1">IFERROR(__xludf.DUMMYFUNCTION("""COMPUTED_VALUE"""),1.76)</f>
        <v>1.76</v>
      </c>
      <c r="E1154" s="1">
        <f ca="1">IFERROR(__xludf.DUMMYFUNCTION("""COMPUTED_VALUE"""),1.8)</f>
        <v>1.8</v>
      </c>
      <c r="F1154" s="1">
        <f ca="1">IFERROR(__xludf.DUMMYFUNCTION("""COMPUTED_VALUE"""),205100)</f>
        <v>205100</v>
      </c>
      <c r="I1154" s="1"/>
    </row>
    <row r="1155" spans="1:9">
      <c r="A1155" s="3">
        <f ca="1">IFERROR(__xludf.DUMMYFUNCTION("""COMPUTED_VALUE"""),30887.6666666666)</f>
        <v>30887.666666666599</v>
      </c>
      <c r="B1155" s="1">
        <f ca="1">IFERROR(__xludf.DUMMYFUNCTION("""COMPUTED_VALUE"""),1.77)</f>
        <v>1.77</v>
      </c>
      <c r="C1155" s="1">
        <f ca="1">IFERROR(__xludf.DUMMYFUNCTION("""COMPUTED_VALUE"""),1.82)</f>
        <v>1.82</v>
      </c>
      <c r="D1155" s="1">
        <f ca="1">IFERROR(__xludf.DUMMYFUNCTION("""COMPUTED_VALUE"""),1.77)</f>
        <v>1.77</v>
      </c>
      <c r="E1155" s="1">
        <f ca="1">IFERROR(__xludf.DUMMYFUNCTION("""COMPUTED_VALUE"""),1.77)</f>
        <v>1.77</v>
      </c>
      <c r="F1155" s="1">
        <f ca="1">IFERROR(__xludf.DUMMYFUNCTION("""COMPUTED_VALUE"""),290500)</f>
        <v>290500</v>
      </c>
      <c r="I1155" s="1"/>
    </row>
    <row r="1156" spans="1:9">
      <c r="A1156" s="3">
        <f ca="1">IFERROR(__xludf.DUMMYFUNCTION("""COMPUTED_VALUE"""),30888.6666666666)</f>
        <v>30888.666666666599</v>
      </c>
      <c r="B1156" s="1">
        <f ca="1">IFERROR(__xludf.DUMMYFUNCTION("""COMPUTED_VALUE"""),1.77)</f>
        <v>1.77</v>
      </c>
      <c r="C1156" s="1">
        <f ca="1">IFERROR(__xludf.DUMMYFUNCTION("""COMPUTED_VALUE"""),1.8)</f>
        <v>1.8</v>
      </c>
      <c r="D1156" s="1">
        <f ca="1">IFERROR(__xludf.DUMMYFUNCTION("""COMPUTED_VALUE"""),1.76)</f>
        <v>1.76</v>
      </c>
      <c r="E1156" s="1">
        <f ca="1">IFERROR(__xludf.DUMMYFUNCTION("""COMPUTED_VALUE"""),1.77)</f>
        <v>1.77</v>
      </c>
      <c r="F1156" s="1">
        <f ca="1">IFERROR(__xludf.DUMMYFUNCTION("""COMPUTED_VALUE"""),291500)</f>
        <v>291500</v>
      </c>
      <c r="I1156" s="1"/>
    </row>
    <row r="1157" spans="1:9">
      <c r="A1157" s="3">
        <f ca="1">IFERROR(__xludf.DUMMYFUNCTION("""COMPUTED_VALUE"""),30889.6666666666)</f>
        <v>30889.666666666599</v>
      </c>
      <c r="B1157" s="1">
        <f ca="1">IFERROR(__xludf.DUMMYFUNCTION("""COMPUTED_VALUE"""),1.78)</f>
        <v>1.78</v>
      </c>
      <c r="C1157" s="1">
        <f ca="1">IFERROR(__xludf.DUMMYFUNCTION("""COMPUTED_VALUE"""),1.8)</f>
        <v>1.8</v>
      </c>
      <c r="D1157" s="1">
        <f ca="1">IFERROR(__xludf.DUMMYFUNCTION("""COMPUTED_VALUE"""),1.76)</f>
        <v>1.76</v>
      </c>
      <c r="E1157" s="1">
        <f ca="1">IFERROR(__xludf.DUMMYFUNCTION("""COMPUTED_VALUE"""),1.78)</f>
        <v>1.78</v>
      </c>
      <c r="F1157" s="1">
        <f ca="1">IFERROR(__xludf.DUMMYFUNCTION("""COMPUTED_VALUE"""),384900)</f>
        <v>384900</v>
      </c>
      <c r="I1157" s="1"/>
    </row>
    <row r="1158" spans="1:9">
      <c r="A1158" s="3">
        <f ca="1">IFERROR(__xludf.DUMMYFUNCTION("""COMPUTED_VALUE"""),30890.6666666666)</f>
        <v>30890.666666666599</v>
      </c>
      <c r="B1158" s="1">
        <f ca="1">IFERROR(__xludf.DUMMYFUNCTION("""COMPUTED_VALUE"""),1.79)</f>
        <v>1.79</v>
      </c>
      <c r="C1158" s="1">
        <f ca="1">IFERROR(__xludf.DUMMYFUNCTION("""COMPUTED_VALUE"""),1.81)</f>
        <v>1.81</v>
      </c>
      <c r="D1158" s="1">
        <f ca="1">IFERROR(__xludf.DUMMYFUNCTION("""COMPUTED_VALUE"""),1.77)</f>
        <v>1.77</v>
      </c>
      <c r="E1158" s="1">
        <f ca="1">IFERROR(__xludf.DUMMYFUNCTION("""COMPUTED_VALUE"""),1.79)</f>
        <v>1.79</v>
      </c>
      <c r="F1158" s="1">
        <f ca="1">IFERROR(__xludf.DUMMYFUNCTION("""COMPUTED_VALUE"""),445200)</f>
        <v>445200</v>
      </c>
      <c r="I1158" s="1"/>
    </row>
    <row r="1159" spans="1:9">
      <c r="A1159" s="3">
        <f ca="1">IFERROR(__xludf.DUMMYFUNCTION("""COMPUTED_VALUE"""),30893.6666666666)</f>
        <v>30893.666666666599</v>
      </c>
      <c r="B1159" s="1">
        <f ca="1">IFERROR(__xludf.DUMMYFUNCTION("""COMPUTED_VALUE"""),1.79)</f>
        <v>1.79</v>
      </c>
      <c r="C1159" s="1">
        <f ca="1">IFERROR(__xludf.DUMMYFUNCTION("""COMPUTED_VALUE"""),1.8)</f>
        <v>1.8</v>
      </c>
      <c r="D1159" s="1">
        <f ca="1">IFERROR(__xludf.DUMMYFUNCTION("""COMPUTED_VALUE"""),1.77)</f>
        <v>1.77</v>
      </c>
      <c r="E1159" s="1">
        <f ca="1">IFERROR(__xludf.DUMMYFUNCTION("""COMPUTED_VALUE"""),1.79)</f>
        <v>1.79</v>
      </c>
      <c r="F1159" s="1">
        <f ca="1">IFERROR(__xludf.DUMMYFUNCTION("""COMPUTED_VALUE"""),229300)</f>
        <v>229300</v>
      </c>
      <c r="I1159" s="1"/>
    </row>
    <row r="1160" spans="1:9">
      <c r="A1160" s="3">
        <f ca="1">IFERROR(__xludf.DUMMYFUNCTION("""COMPUTED_VALUE"""),30894.6666666666)</f>
        <v>30894.666666666599</v>
      </c>
      <c r="B1160" s="1">
        <f ca="1">IFERROR(__xludf.DUMMYFUNCTION("""COMPUTED_VALUE"""),1.83)</f>
        <v>1.83</v>
      </c>
      <c r="C1160" s="1">
        <f ca="1">IFERROR(__xludf.DUMMYFUNCTION("""COMPUTED_VALUE"""),1.84)</f>
        <v>1.84</v>
      </c>
      <c r="D1160" s="1">
        <f ca="1">IFERROR(__xludf.DUMMYFUNCTION("""COMPUTED_VALUE"""),1.78)</f>
        <v>1.78</v>
      </c>
      <c r="E1160" s="1">
        <f ca="1">IFERROR(__xludf.DUMMYFUNCTION("""COMPUTED_VALUE"""),1.83)</f>
        <v>1.83</v>
      </c>
      <c r="F1160" s="1">
        <f ca="1">IFERROR(__xludf.DUMMYFUNCTION("""COMPUTED_VALUE"""),396700)</f>
        <v>396700</v>
      </c>
      <c r="I1160" s="1"/>
    </row>
    <row r="1161" spans="1:9">
      <c r="A1161" s="3">
        <f ca="1">IFERROR(__xludf.DUMMYFUNCTION("""COMPUTED_VALUE"""),30895.6666666666)</f>
        <v>30895.666666666599</v>
      </c>
      <c r="B1161" s="1">
        <f ca="1">IFERROR(__xludf.DUMMYFUNCTION("""COMPUTED_VALUE"""),1.87)</f>
        <v>1.87</v>
      </c>
      <c r="C1161" s="1">
        <f ca="1">IFERROR(__xludf.DUMMYFUNCTION("""COMPUTED_VALUE"""),1.87)</f>
        <v>1.87</v>
      </c>
      <c r="D1161" s="1">
        <f ca="1">IFERROR(__xludf.DUMMYFUNCTION("""COMPUTED_VALUE"""),1.83)</f>
        <v>1.83</v>
      </c>
      <c r="E1161" s="1">
        <f ca="1">IFERROR(__xludf.DUMMYFUNCTION("""COMPUTED_VALUE"""),1.87)</f>
        <v>1.87</v>
      </c>
      <c r="F1161" s="1">
        <f ca="1">IFERROR(__xludf.DUMMYFUNCTION("""COMPUTED_VALUE"""),489100)</f>
        <v>489100</v>
      </c>
      <c r="I1161" s="1"/>
    </row>
    <row r="1162" spans="1:9">
      <c r="A1162" s="3">
        <f ca="1">IFERROR(__xludf.DUMMYFUNCTION("""COMPUTED_VALUE"""),30896.6666666666)</f>
        <v>30896.666666666599</v>
      </c>
      <c r="B1162" s="1">
        <f ca="1">IFERROR(__xludf.DUMMYFUNCTION("""COMPUTED_VALUE"""),1.91)</f>
        <v>1.91</v>
      </c>
      <c r="C1162" s="1">
        <f ca="1">IFERROR(__xludf.DUMMYFUNCTION("""COMPUTED_VALUE"""),1.91)</f>
        <v>1.91</v>
      </c>
      <c r="D1162" s="1">
        <f ca="1">IFERROR(__xludf.DUMMYFUNCTION("""COMPUTED_VALUE"""),1.86)</f>
        <v>1.86</v>
      </c>
      <c r="E1162" s="1">
        <f ca="1">IFERROR(__xludf.DUMMYFUNCTION("""COMPUTED_VALUE"""),1.91)</f>
        <v>1.91</v>
      </c>
      <c r="F1162" s="1">
        <f ca="1">IFERROR(__xludf.DUMMYFUNCTION("""COMPUTED_VALUE"""),889200)</f>
        <v>889200</v>
      </c>
      <c r="I1162" s="1"/>
    </row>
    <row r="1163" spans="1:9">
      <c r="A1163" s="3">
        <f ca="1">IFERROR(__xludf.DUMMYFUNCTION("""COMPUTED_VALUE"""),30897.6666666666)</f>
        <v>30897.666666666599</v>
      </c>
      <c r="B1163" s="1">
        <f ca="1">IFERROR(__xludf.DUMMYFUNCTION("""COMPUTED_VALUE"""),1.94)</f>
        <v>1.94</v>
      </c>
      <c r="C1163" s="1">
        <f ca="1">IFERROR(__xludf.DUMMYFUNCTION("""COMPUTED_VALUE"""),1.94)</f>
        <v>1.94</v>
      </c>
      <c r="D1163" s="1">
        <f ca="1">IFERROR(__xludf.DUMMYFUNCTION("""COMPUTED_VALUE"""),1.91)</f>
        <v>1.91</v>
      </c>
      <c r="E1163" s="1">
        <f ca="1">IFERROR(__xludf.DUMMYFUNCTION("""COMPUTED_VALUE"""),1.94)</f>
        <v>1.94</v>
      </c>
      <c r="F1163" s="1">
        <f ca="1">IFERROR(__xludf.DUMMYFUNCTION("""COMPUTED_VALUE"""),1166500)</f>
        <v>1166500</v>
      </c>
      <c r="I1163" s="1"/>
    </row>
    <row r="1164" spans="1:9">
      <c r="A1164" s="3">
        <f ca="1">IFERROR(__xludf.DUMMYFUNCTION("""COMPUTED_VALUE"""),30900.6666666666)</f>
        <v>30900.666666666599</v>
      </c>
      <c r="B1164" s="1">
        <f ca="1">IFERROR(__xludf.DUMMYFUNCTION("""COMPUTED_VALUE"""),1.96)</f>
        <v>1.96</v>
      </c>
      <c r="C1164" s="1">
        <f ca="1">IFERROR(__xludf.DUMMYFUNCTION("""COMPUTED_VALUE"""),2.02)</f>
        <v>2.02</v>
      </c>
      <c r="D1164" s="1">
        <f ca="1">IFERROR(__xludf.DUMMYFUNCTION("""COMPUTED_VALUE"""),1.92)</f>
        <v>1.92</v>
      </c>
      <c r="E1164" s="1">
        <f ca="1">IFERROR(__xludf.DUMMYFUNCTION("""COMPUTED_VALUE"""),1.96)</f>
        <v>1.96</v>
      </c>
      <c r="F1164" s="1">
        <f ca="1">IFERROR(__xludf.DUMMYFUNCTION("""COMPUTED_VALUE"""),1044300)</f>
        <v>1044300</v>
      </c>
      <c r="I1164" s="1"/>
    </row>
    <row r="1165" spans="1:9">
      <c r="A1165" s="3">
        <f ca="1">IFERROR(__xludf.DUMMYFUNCTION("""COMPUTED_VALUE"""),30901.6666666666)</f>
        <v>30901.666666666599</v>
      </c>
      <c r="B1165" s="1">
        <f ca="1">IFERROR(__xludf.DUMMYFUNCTION("""COMPUTED_VALUE"""),1.97)</f>
        <v>1.97</v>
      </c>
      <c r="C1165" s="1">
        <f ca="1">IFERROR(__xludf.DUMMYFUNCTION("""COMPUTED_VALUE"""),1.98)</f>
        <v>1.98</v>
      </c>
      <c r="D1165" s="1">
        <f ca="1">IFERROR(__xludf.DUMMYFUNCTION("""COMPUTED_VALUE"""),1.92)</f>
        <v>1.92</v>
      </c>
      <c r="E1165" s="1">
        <f ca="1">IFERROR(__xludf.DUMMYFUNCTION("""COMPUTED_VALUE"""),1.97)</f>
        <v>1.97</v>
      </c>
      <c r="F1165" s="1">
        <f ca="1">IFERROR(__xludf.DUMMYFUNCTION("""COMPUTED_VALUE"""),412800)</f>
        <v>412800</v>
      </c>
      <c r="I1165" s="1"/>
    </row>
    <row r="1166" spans="1:9">
      <c r="A1166" s="3">
        <f ca="1">IFERROR(__xludf.DUMMYFUNCTION("""COMPUTED_VALUE"""),30902.6666666666)</f>
        <v>30902.666666666599</v>
      </c>
      <c r="B1166" s="1">
        <f ca="1">IFERROR(__xludf.DUMMYFUNCTION("""COMPUTED_VALUE"""),1.98)</f>
        <v>1.98</v>
      </c>
      <c r="C1166" s="1">
        <f ca="1">IFERROR(__xludf.DUMMYFUNCTION("""COMPUTED_VALUE"""),2.01)</f>
        <v>2.0099999999999998</v>
      </c>
      <c r="D1166" s="1">
        <f ca="1">IFERROR(__xludf.DUMMYFUNCTION("""COMPUTED_VALUE"""),1.97)</f>
        <v>1.97</v>
      </c>
      <c r="E1166" s="1">
        <f ca="1">IFERROR(__xludf.DUMMYFUNCTION("""COMPUTED_VALUE"""),1.98)</f>
        <v>1.98</v>
      </c>
      <c r="F1166" s="1">
        <f ca="1">IFERROR(__xludf.DUMMYFUNCTION("""COMPUTED_VALUE"""),528000)</f>
        <v>528000</v>
      </c>
      <c r="I1166" s="1"/>
    </row>
    <row r="1167" spans="1:9">
      <c r="A1167" s="3">
        <f ca="1">IFERROR(__xludf.DUMMYFUNCTION("""COMPUTED_VALUE"""),30903.6666666666)</f>
        <v>30903.666666666599</v>
      </c>
      <c r="B1167" s="1">
        <f ca="1">IFERROR(__xludf.DUMMYFUNCTION("""COMPUTED_VALUE"""),2.04)</f>
        <v>2.04</v>
      </c>
      <c r="C1167" s="1">
        <f ca="1">IFERROR(__xludf.DUMMYFUNCTION("""COMPUTED_VALUE"""),2.05)</f>
        <v>2.0499999999999998</v>
      </c>
      <c r="D1167" s="1">
        <f ca="1">IFERROR(__xludf.DUMMYFUNCTION("""COMPUTED_VALUE"""),1.98)</f>
        <v>1.98</v>
      </c>
      <c r="E1167" s="1">
        <f ca="1">IFERROR(__xludf.DUMMYFUNCTION("""COMPUTED_VALUE"""),2.04)</f>
        <v>2.04</v>
      </c>
      <c r="F1167" s="1">
        <f ca="1">IFERROR(__xludf.DUMMYFUNCTION("""COMPUTED_VALUE"""),596700)</f>
        <v>596700</v>
      </c>
      <c r="I1167" s="1"/>
    </row>
    <row r="1168" spans="1:9">
      <c r="A1168" s="3">
        <f ca="1">IFERROR(__xludf.DUMMYFUNCTION("""COMPUTED_VALUE"""),30904.6666666666)</f>
        <v>30904.666666666599</v>
      </c>
      <c r="B1168" s="1">
        <f ca="1">IFERROR(__xludf.DUMMYFUNCTION("""COMPUTED_VALUE"""),2.02)</f>
        <v>2.02</v>
      </c>
      <c r="C1168" s="1">
        <f ca="1">IFERROR(__xludf.DUMMYFUNCTION("""COMPUTED_VALUE"""),2.11)</f>
        <v>2.11</v>
      </c>
      <c r="D1168" s="1">
        <f ca="1">IFERROR(__xludf.DUMMYFUNCTION("""COMPUTED_VALUE"""),2.01)</f>
        <v>2.0099999999999998</v>
      </c>
      <c r="E1168" s="1">
        <f ca="1">IFERROR(__xludf.DUMMYFUNCTION("""COMPUTED_VALUE"""),2.02)</f>
        <v>2.02</v>
      </c>
      <c r="F1168" s="1">
        <f ca="1">IFERROR(__xludf.DUMMYFUNCTION("""COMPUTED_VALUE"""),620500)</f>
        <v>620500</v>
      </c>
      <c r="I1168" s="1"/>
    </row>
    <row r="1169" spans="1:9">
      <c r="A1169" s="3">
        <f ca="1">IFERROR(__xludf.DUMMYFUNCTION("""COMPUTED_VALUE"""),30907.6666666666)</f>
        <v>30907.666666666599</v>
      </c>
      <c r="B1169" s="1">
        <f ca="1">IFERROR(__xludf.DUMMYFUNCTION("""COMPUTED_VALUE"""),2.05)</f>
        <v>2.0499999999999998</v>
      </c>
      <c r="C1169" s="1">
        <f ca="1">IFERROR(__xludf.DUMMYFUNCTION("""COMPUTED_VALUE"""),2.05)</f>
        <v>2.0499999999999998</v>
      </c>
      <c r="D1169" s="1">
        <f ca="1">IFERROR(__xludf.DUMMYFUNCTION("""COMPUTED_VALUE"""),1.99)</f>
        <v>1.99</v>
      </c>
      <c r="E1169" s="1">
        <f ca="1">IFERROR(__xludf.DUMMYFUNCTION("""COMPUTED_VALUE"""),2.05)</f>
        <v>2.0499999999999998</v>
      </c>
      <c r="F1169" s="1">
        <f ca="1">IFERROR(__xludf.DUMMYFUNCTION("""COMPUTED_VALUE"""),232700)</f>
        <v>232700</v>
      </c>
      <c r="I1169" s="1"/>
    </row>
    <row r="1170" spans="1:9">
      <c r="A1170" s="3">
        <f ca="1">IFERROR(__xludf.DUMMYFUNCTION("""COMPUTED_VALUE"""),30908.6666666666)</f>
        <v>30908.666666666599</v>
      </c>
      <c r="B1170" s="1">
        <f ca="1">IFERROR(__xludf.DUMMYFUNCTION("""COMPUTED_VALUE"""),2.05)</f>
        <v>2.0499999999999998</v>
      </c>
      <c r="C1170" s="1">
        <f ca="1">IFERROR(__xludf.DUMMYFUNCTION("""COMPUTED_VALUE"""),2.08)</f>
        <v>2.08</v>
      </c>
      <c r="D1170" s="1">
        <f ca="1">IFERROR(__xludf.DUMMYFUNCTION("""COMPUTED_VALUE"""),2.04)</f>
        <v>2.04</v>
      </c>
      <c r="E1170" s="1">
        <f ca="1">IFERROR(__xludf.DUMMYFUNCTION("""COMPUTED_VALUE"""),2.05)</f>
        <v>2.0499999999999998</v>
      </c>
      <c r="F1170" s="1">
        <f ca="1">IFERROR(__xludf.DUMMYFUNCTION("""COMPUTED_VALUE"""),326200)</f>
        <v>326200</v>
      </c>
      <c r="I1170" s="1"/>
    </row>
    <row r="1171" spans="1:9">
      <c r="A1171" s="3">
        <f ca="1">IFERROR(__xludf.DUMMYFUNCTION("""COMPUTED_VALUE"""),30909.6666666666)</f>
        <v>30909.666666666599</v>
      </c>
      <c r="B1171" s="1">
        <f ca="1">IFERROR(__xludf.DUMMYFUNCTION("""COMPUTED_VALUE"""),2.03)</f>
        <v>2.0299999999999998</v>
      </c>
      <c r="C1171" s="1">
        <f ca="1">IFERROR(__xludf.DUMMYFUNCTION("""COMPUTED_VALUE"""),2.08)</f>
        <v>2.08</v>
      </c>
      <c r="D1171" s="1">
        <f ca="1">IFERROR(__xludf.DUMMYFUNCTION("""COMPUTED_VALUE"""),2.03)</f>
        <v>2.0299999999999998</v>
      </c>
      <c r="E1171" s="1">
        <f ca="1">IFERROR(__xludf.DUMMYFUNCTION("""COMPUTED_VALUE"""),2.03)</f>
        <v>2.0299999999999998</v>
      </c>
      <c r="F1171" s="1">
        <f ca="1">IFERROR(__xludf.DUMMYFUNCTION("""COMPUTED_VALUE"""),287800)</f>
        <v>287800</v>
      </c>
      <c r="I1171" s="1"/>
    </row>
    <row r="1172" spans="1:9">
      <c r="A1172" s="3">
        <f ca="1">IFERROR(__xludf.DUMMYFUNCTION("""COMPUTED_VALUE"""),30910.6666666666)</f>
        <v>30910.666666666599</v>
      </c>
      <c r="B1172" s="1">
        <f ca="1">IFERROR(__xludf.DUMMYFUNCTION("""COMPUTED_VALUE"""),2.08)</f>
        <v>2.08</v>
      </c>
      <c r="C1172" s="1">
        <f ca="1">IFERROR(__xludf.DUMMYFUNCTION("""COMPUTED_VALUE"""),2.1)</f>
        <v>2.1</v>
      </c>
      <c r="D1172" s="1">
        <f ca="1">IFERROR(__xludf.DUMMYFUNCTION("""COMPUTED_VALUE"""),2.04)</f>
        <v>2.04</v>
      </c>
      <c r="E1172" s="1">
        <f ca="1">IFERROR(__xludf.DUMMYFUNCTION("""COMPUTED_VALUE"""),2.08)</f>
        <v>2.08</v>
      </c>
      <c r="F1172" s="1">
        <f ca="1">IFERROR(__xludf.DUMMYFUNCTION("""COMPUTED_VALUE"""),333100)</f>
        <v>333100</v>
      </c>
      <c r="I1172" s="1"/>
    </row>
    <row r="1173" spans="1:9">
      <c r="A1173" s="3">
        <f ca="1">IFERROR(__xludf.DUMMYFUNCTION("""COMPUTED_VALUE"""),30911.6666666666)</f>
        <v>30911.666666666599</v>
      </c>
      <c r="B1173" s="1">
        <f ca="1">IFERROR(__xludf.DUMMYFUNCTION("""COMPUTED_VALUE"""),2.09)</f>
        <v>2.09</v>
      </c>
      <c r="C1173" s="1">
        <f ca="1">IFERROR(__xludf.DUMMYFUNCTION("""COMPUTED_VALUE"""),2.1)</f>
        <v>2.1</v>
      </c>
      <c r="D1173" s="1">
        <f ca="1">IFERROR(__xludf.DUMMYFUNCTION("""COMPUTED_VALUE"""),2.07)</f>
        <v>2.0699999999999998</v>
      </c>
      <c r="E1173" s="1">
        <f ca="1">IFERROR(__xludf.DUMMYFUNCTION("""COMPUTED_VALUE"""),2.09)</f>
        <v>2.09</v>
      </c>
      <c r="F1173" s="1">
        <f ca="1">IFERROR(__xludf.DUMMYFUNCTION("""COMPUTED_VALUE"""),287000)</f>
        <v>287000</v>
      </c>
      <c r="I1173" s="1"/>
    </row>
    <row r="1174" spans="1:9">
      <c r="A1174" s="3">
        <f ca="1">IFERROR(__xludf.DUMMYFUNCTION("""COMPUTED_VALUE"""),30914.6666666666)</f>
        <v>30914.666666666599</v>
      </c>
      <c r="B1174" s="1">
        <f ca="1">IFERROR(__xludf.DUMMYFUNCTION("""COMPUTED_VALUE"""),2.06)</f>
        <v>2.06</v>
      </c>
      <c r="C1174" s="1">
        <f ca="1">IFERROR(__xludf.DUMMYFUNCTION("""COMPUTED_VALUE"""),2.09)</f>
        <v>2.09</v>
      </c>
      <c r="D1174" s="1">
        <f ca="1">IFERROR(__xludf.DUMMYFUNCTION("""COMPUTED_VALUE"""),2.06)</f>
        <v>2.06</v>
      </c>
      <c r="E1174" s="1">
        <f ca="1">IFERROR(__xludf.DUMMYFUNCTION("""COMPUTED_VALUE"""),2.06)</f>
        <v>2.06</v>
      </c>
      <c r="F1174" s="1">
        <f ca="1">IFERROR(__xludf.DUMMYFUNCTION("""COMPUTED_VALUE"""),416300)</f>
        <v>416300</v>
      </c>
      <c r="I1174" s="1"/>
    </row>
    <row r="1175" spans="1:9">
      <c r="A1175" s="3">
        <f ca="1">IFERROR(__xludf.DUMMYFUNCTION("""COMPUTED_VALUE"""),30915.6666666666)</f>
        <v>30915.666666666599</v>
      </c>
      <c r="B1175" s="1">
        <f ca="1">IFERROR(__xludf.DUMMYFUNCTION("""COMPUTED_VALUE"""),2.06)</f>
        <v>2.06</v>
      </c>
      <c r="C1175" s="1">
        <f ca="1">IFERROR(__xludf.DUMMYFUNCTION("""COMPUTED_VALUE"""),2.08)</f>
        <v>2.08</v>
      </c>
      <c r="D1175" s="1">
        <f ca="1">IFERROR(__xludf.DUMMYFUNCTION("""COMPUTED_VALUE"""),2.04)</f>
        <v>2.04</v>
      </c>
      <c r="E1175" s="1">
        <f ca="1">IFERROR(__xludf.DUMMYFUNCTION("""COMPUTED_VALUE"""),2.06)</f>
        <v>2.06</v>
      </c>
      <c r="F1175" s="1">
        <f ca="1">IFERROR(__xludf.DUMMYFUNCTION("""COMPUTED_VALUE"""),474500)</f>
        <v>474500</v>
      </c>
      <c r="I1175" s="1"/>
    </row>
    <row r="1176" spans="1:9">
      <c r="A1176" s="3">
        <f ca="1">IFERROR(__xludf.DUMMYFUNCTION("""COMPUTED_VALUE"""),30916.6666666666)</f>
        <v>30916.666666666599</v>
      </c>
      <c r="B1176" s="1">
        <f ca="1">IFERROR(__xludf.DUMMYFUNCTION("""COMPUTED_VALUE"""),1.99)</f>
        <v>1.99</v>
      </c>
      <c r="C1176" s="1">
        <f ca="1">IFERROR(__xludf.DUMMYFUNCTION("""COMPUTED_VALUE"""),2.05)</f>
        <v>2.0499999999999998</v>
      </c>
      <c r="D1176" s="1">
        <f ca="1">IFERROR(__xludf.DUMMYFUNCTION("""COMPUTED_VALUE"""),1.95)</f>
        <v>1.95</v>
      </c>
      <c r="E1176" s="1">
        <f ca="1">IFERROR(__xludf.DUMMYFUNCTION("""COMPUTED_VALUE"""),1.99)</f>
        <v>1.99</v>
      </c>
      <c r="F1176" s="1">
        <f ca="1">IFERROR(__xludf.DUMMYFUNCTION("""COMPUTED_VALUE"""),651400)</f>
        <v>651400</v>
      </c>
      <c r="I1176" s="1"/>
    </row>
    <row r="1177" spans="1:9">
      <c r="A1177" s="3">
        <f ca="1">IFERROR(__xludf.DUMMYFUNCTION("""COMPUTED_VALUE"""),30917.6666666666)</f>
        <v>30917.666666666599</v>
      </c>
      <c r="B1177" s="1">
        <f ca="1">IFERROR(__xludf.DUMMYFUNCTION("""COMPUTED_VALUE"""),1.99)</f>
        <v>1.99</v>
      </c>
      <c r="C1177" s="1">
        <f ca="1">IFERROR(__xludf.DUMMYFUNCTION("""COMPUTED_VALUE"""),2.02)</f>
        <v>2.02</v>
      </c>
      <c r="D1177" s="1">
        <f ca="1">IFERROR(__xludf.DUMMYFUNCTION("""COMPUTED_VALUE"""),1.96)</f>
        <v>1.96</v>
      </c>
      <c r="E1177" s="1">
        <f ca="1">IFERROR(__xludf.DUMMYFUNCTION("""COMPUTED_VALUE"""),1.99)</f>
        <v>1.99</v>
      </c>
      <c r="F1177" s="1">
        <f ca="1">IFERROR(__xludf.DUMMYFUNCTION("""COMPUTED_VALUE"""),734900)</f>
        <v>734900</v>
      </c>
      <c r="I1177" s="1"/>
    </row>
    <row r="1178" spans="1:9">
      <c r="A1178" s="3">
        <f ca="1">IFERROR(__xludf.DUMMYFUNCTION("""COMPUTED_VALUE"""),30918.6666666666)</f>
        <v>30918.666666666599</v>
      </c>
      <c r="B1178" s="1">
        <f ca="1">IFERROR(__xludf.DUMMYFUNCTION("""COMPUTED_VALUE"""),2.04)</f>
        <v>2.04</v>
      </c>
      <c r="C1178" s="1">
        <f ca="1">IFERROR(__xludf.DUMMYFUNCTION("""COMPUTED_VALUE"""),2.04)</f>
        <v>2.04</v>
      </c>
      <c r="D1178" s="1">
        <f ca="1">IFERROR(__xludf.DUMMYFUNCTION("""COMPUTED_VALUE"""),1.99)</f>
        <v>1.99</v>
      </c>
      <c r="E1178" s="1">
        <f ca="1">IFERROR(__xludf.DUMMYFUNCTION("""COMPUTED_VALUE"""),2.04)</f>
        <v>2.04</v>
      </c>
      <c r="F1178" s="1">
        <f ca="1">IFERROR(__xludf.DUMMYFUNCTION("""COMPUTED_VALUE"""),401500)</f>
        <v>401500</v>
      </c>
      <c r="I1178" s="1"/>
    </row>
    <row r="1179" spans="1:9">
      <c r="A1179" s="3">
        <f ca="1">IFERROR(__xludf.DUMMYFUNCTION("""COMPUTED_VALUE"""),30921.6666666666)</f>
        <v>30921.666666666599</v>
      </c>
      <c r="B1179" s="1">
        <f ca="1">IFERROR(__xludf.DUMMYFUNCTION("""COMPUTED_VALUE"""),2.06)</f>
        <v>2.06</v>
      </c>
      <c r="C1179" s="1">
        <f ca="1">IFERROR(__xludf.DUMMYFUNCTION("""COMPUTED_VALUE"""),2.06)</f>
        <v>2.06</v>
      </c>
      <c r="D1179" s="1">
        <f ca="1">IFERROR(__xludf.DUMMYFUNCTION("""COMPUTED_VALUE"""),2.02)</f>
        <v>2.02</v>
      </c>
      <c r="E1179" s="1">
        <f ca="1">IFERROR(__xludf.DUMMYFUNCTION("""COMPUTED_VALUE"""),2.06)</f>
        <v>2.06</v>
      </c>
      <c r="F1179" s="1">
        <f ca="1">IFERROR(__xludf.DUMMYFUNCTION("""COMPUTED_VALUE"""),274500)</f>
        <v>274500</v>
      </c>
      <c r="I1179" s="1"/>
    </row>
    <row r="1180" spans="1:9">
      <c r="A1180" s="3">
        <f ca="1">IFERROR(__xludf.DUMMYFUNCTION("""COMPUTED_VALUE"""),30922.6666666666)</f>
        <v>30922.666666666599</v>
      </c>
      <c r="B1180" s="1">
        <f ca="1">IFERROR(__xludf.DUMMYFUNCTION("""COMPUTED_VALUE"""),2.09)</f>
        <v>2.09</v>
      </c>
      <c r="C1180" s="1">
        <f ca="1">IFERROR(__xludf.DUMMYFUNCTION("""COMPUTED_VALUE"""),2.1)</f>
        <v>2.1</v>
      </c>
      <c r="D1180" s="1">
        <f ca="1">IFERROR(__xludf.DUMMYFUNCTION("""COMPUTED_VALUE"""),2.06)</f>
        <v>2.06</v>
      </c>
      <c r="E1180" s="1">
        <f ca="1">IFERROR(__xludf.DUMMYFUNCTION("""COMPUTED_VALUE"""),2.09)</f>
        <v>2.09</v>
      </c>
      <c r="F1180" s="1">
        <f ca="1">IFERROR(__xludf.DUMMYFUNCTION("""COMPUTED_VALUE"""),431900)</f>
        <v>431900</v>
      </c>
      <c r="I1180" s="1"/>
    </row>
    <row r="1181" spans="1:9">
      <c r="A1181" s="3">
        <f ca="1">IFERROR(__xludf.DUMMYFUNCTION("""COMPUTED_VALUE"""),30923.6666666666)</f>
        <v>30923.666666666599</v>
      </c>
      <c r="B1181" s="1">
        <f ca="1">IFERROR(__xludf.DUMMYFUNCTION("""COMPUTED_VALUE"""),2.08)</f>
        <v>2.08</v>
      </c>
      <c r="C1181" s="1">
        <f ca="1">IFERROR(__xludf.DUMMYFUNCTION("""COMPUTED_VALUE"""),2.11)</f>
        <v>2.11</v>
      </c>
      <c r="D1181" s="1">
        <f ca="1">IFERROR(__xludf.DUMMYFUNCTION("""COMPUTED_VALUE"""),2.08)</f>
        <v>2.08</v>
      </c>
      <c r="E1181" s="1">
        <f ca="1">IFERROR(__xludf.DUMMYFUNCTION("""COMPUTED_VALUE"""),2.08)</f>
        <v>2.08</v>
      </c>
      <c r="F1181" s="1">
        <f ca="1">IFERROR(__xludf.DUMMYFUNCTION("""COMPUTED_VALUE"""),266400)</f>
        <v>266400</v>
      </c>
      <c r="I1181" s="1"/>
    </row>
    <row r="1182" spans="1:9">
      <c r="A1182" s="3">
        <f ca="1">IFERROR(__xludf.DUMMYFUNCTION("""COMPUTED_VALUE"""),30924.6666666666)</f>
        <v>30924.666666666599</v>
      </c>
      <c r="B1182" s="1">
        <f ca="1">IFERROR(__xludf.DUMMYFUNCTION("""COMPUTED_VALUE"""),2.09)</f>
        <v>2.09</v>
      </c>
      <c r="C1182" s="1">
        <f ca="1">IFERROR(__xludf.DUMMYFUNCTION("""COMPUTED_VALUE"""),2.11)</f>
        <v>2.11</v>
      </c>
      <c r="D1182" s="1">
        <f ca="1">IFERROR(__xludf.DUMMYFUNCTION("""COMPUTED_VALUE"""),2.06)</f>
        <v>2.06</v>
      </c>
      <c r="E1182" s="1">
        <f ca="1">IFERROR(__xludf.DUMMYFUNCTION("""COMPUTED_VALUE"""),2.09)</f>
        <v>2.09</v>
      </c>
      <c r="F1182" s="1">
        <f ca="1">IFERROR(__xludf.DUMMYFUNCTION("""COMPUTED_VALUE"""),360300)</f>
        <v>360300</v>
      </c>
      <c r="I1182" s="1"/>
    </row>
    <row r="1183" spans="1:9">
      <c r="A1183" s="3">
        <f ca="1">IFERROR(__xludf.DUMMYFUNCTION("""COMPUTED_VALUE"""),30925.6666666666)</f>
        <v>30925.666666666599</v>
      </c>
      <c r="B1183" s="1">
        <f ca="1">IFERROR(__xludf.DUMMYFUNCTION("""COMPUTED_VALUE"""),2.11)</f>
        <v>2.11</v>
      </c>
      <c r="C1183" s="1">
        <f ca="1">IFERROR(__xludf.DUMMYFUNCTION("""COMPUTED_VALUE"""),2.12)</f>
        <v>2.12</v>
      </c>
      <c r="D1183" s="1">
        <f ca="1">IFERROR(__xludf.DUMMYFUNCTION("""COMPUTED_VALUE"""),2.08)</f>
        <v>2.08</v>
      </c>
      <c r="E1183" s="1">
        <f ca="1">IFERROR(__xludf.DUMMYFUNCTION("""COMPUTED_VALUE"""),2.11)</f>
        <v>2.11</v>
      </c>
      <c r="F1183" s="1">
        <f ca="1">IFERROR(__xludf.DUMMYFUNCTION("""COMPUTED_VALUE"""),323500)</f>
        <v>323500</v>
      </c>
      <c r="I1183" s="1"/>
    </row>
    <row r="1184" spans="1:9">
      <c r="A1184" s="3">
        <f ca="1">IFERROR(__xludf.DUMMYFUNCTION("""COMPUTED_VALUE"""),30929.6666666666)</f>
        <v>30929.666666666599</v>
      </c>
      <c r="B1184" s="1">
        <f ca="1">IFERROR(__xludf.DUMMYFUNCTION("""COMPUTED_VALUE"""),2.13)</f>
        <v>2.13</v>
      </c>
      <c r="C1184" s="1">
        <f ca="1">IFERROR(__xludf.DUMMYFUNCTION("""COMPUTED_VALUE"""),2.13)</f>
        <v>2.13</v>
      </c>
      <c r="D1184" s="1">
        <f ca="1">IFERROR(__xludf.DUMMYFUNCTION("""COMPUTED_VALUE"""),2.09)</f>
        <v>2.09</v>
      </c>
      <c r="E1184" s="1">
        <f ca="1">IFERROR(__xludf.DUMMYFUNCTION("""COMPUTED_VALUE"""),2.13)</f>
        <v>2.13</v>
      </c>
      <c r="F1184" s="1">
        <f ca="1">IFERROR(__xludf.DUMMYFUNCTION("""COMPUTED_VALUE"""),386400)</f>
        <v>386400</v>
      </c>
      <c r="I1184" s="1"/>
    </row>
    <row r="1185" spans="1:9">
      <c r="A1185" s="3">
        <f ca="1">IFERROR(__xludf.DUMMYFUNCTION("""COMPUTED_VALUE"""),30930.6666666666)</f>
        <v>30930.666666666599</v>
      </c>
      <c r="B1185" s="1">
        <f ca="1">IFERROR(__xludf.DUMMYFUNCTION("""COMPUTED_VALUE"""),2.13)</f>
        <v>2.13</v>
      </c>
      <c r="C1185" s="1">
        <f ca="1">IFERROR(__xludf.DUMMYFUNCTION("""COMPUTED_VALUE"""),2.15)</f>
        <v>2.15</v>
      </c>
      <c r="D1185" s="1">
        <f ca="1">IFERROR(__xludf.DUMMYFUNCTION("""COMPUTED_VALUE"""),2.11)</f>
        <v>2.11</v>
      </c>
      <c r="E1185" s="1">
        <f ca="1">IFERROR(__xludf.DUMMYFUNCTION("""COMPUTED_VALUE"""),2.13)</f>
        <v>2.13</v>
      </c>
      <c r="F1185" s="1">
        <f ca="1">IFERROR(__xludf.DUMMYFUNCTION("""COMPUTED_VALUE"""),343500)</f>
        <v>343500</v>
      </c>
      <c r="I1185" s="1"/>
    </row>
    <row r="1186" spans="1:9">
      <c r="A1186" s="3">
        <f ca="1">IFERROR(__xludf.DUMMYFUNCTION("""COMPUTED_VALUE"""),30931.6666666666)</f>
        <v>30931.666666666599</v>
      </c>
      <c r="B1186" s="1">
        <f ca="1">IFERROR(__xludf.DUMMYFUNCTION("""COMPUTED_VALUE"""),2.15)</f>
        <v>2.15</v>
      </c>
      <c r="C1186" s="1">
        <f ca="1">IFERROR(__xludf.DUMMYFUNCTION("""COMPUTED_VALUE"""),2.16)</f>
        <v>2.16</v>
      </c>
      <c r="D1186" s="1">
        <f ca="1">IFERROR(__xludf.DUMMYFUNCTION("""COMPUTED_VALUE"""),2.13)</f>
        <v>2.13</v>
      </c>
      <c r="E1186" s="1">
        <f ca="1">IFERROR(__xludf.DUMMYFUNCTION("""COMPUTED_VALUE"""),2.15)</f>
        <v>2.15</v>
      </c>
      <c r="F1186" s="1">
        <f ca="1">IFERROR(__xludf.DUMMYFUNCTION("""COMPUTED_VALUE"""),531900)</f>
        <v>531900</v>
      </c>
      <c r="I1186" s="1"/>
    </row>
    <row r="1187" spans="1:9">
      <c r="A1187" s="3">
        <f ca="1">IFERROR(__xludf.DUMMYFUNCTION("""COMPUTED_VALUE"""),30932.6666666666)</f>
        <v>30932.666666666599</v>
      </c>
      <c r="B1187" s="1">
        <f ca="1">IFERROR(__xludf.DUMMYFUNCTION("""COMPUTED_VALUE"""),2.13)</f>
        <v>2.13</v>
      </c>
      <c r="C1187" s="1">
        <f ca="1">IFERROR(__xludf.DUMMYFUNCTION("""COMPUTED_VALUE"""),2.17)</f>
        <v>2.17</v>
      </c>
      <c r="D1187" s="1">
        <f ca="1">IFERROR(__xludf.DUMMYFUNCTION("""COMPUTED_VALUE"""),2.12)</f>
        <v>2.12</v>
      </c>
      <c r="E1187" s="1">
        <f ca="1">IFERROR(__xludf.DUMMYFUNCTION("""COMPUTED_VALUE"""),2.13)</f>
        <v>2.13</v>
      </c>
      <c r="F1187" s="1">
        <f ca="1">IFERROR(__xludf.DUMMYFUNCTION("""COMPUTED_VALUE"""),264000)</f>
        <v>264000</v>
      </c>
      <c r="I1187" s="1"/>
    </row>
    <row r="1188" spans="1:9">
      <c r="A1188" s="3">
        <f ca="1">IFERROR(__xludf.DUMMYFUNCTION("""COMPUTED_VALUE"""),30935.6666666666)</f>
        <v>30935.666666666599</v>
      </c>
      <c r="B1188" s="1">
        <f ca="1">IFERROR(__xludf.DUMMYFUNCTION("""COMPUTED_VALUE"""),2.09)</f>
        <v>2.09</v>
      </c>
      <c r="C1188" s="1">
        <f ca="1">IFERROR(__xludf.DUMMYFUNCTION("""COMPUTED_VALUE"""),2.11)</f>
        <v>2.11</v>
      </c>
      <c r="D1188" s="1">
        <f ca="1">IFERROR(__xludf.DUMMYFUNCTION("""COMPUTED_VALUE"""),2.08)</f>
        <v>2.08</v>
      </c>
      <c r="E1188" s="1">
        <f ca="1">IFERROR(__xludf.DUMMYFUNCTION("""COMPUTED_VALUE"""),2.09)</f>
        <v>2.09</v>
      </c>
      <c r="F1188" s="1">
        <f ca="1">IFERROR(__xludf.DUMMYFUNCTION("""COMPUTED_VALUE"""),368600)</f>
        <v>368600</v>
      </c>
      <c r="I1188" s="1"/>
    </row>
    <row r="1189" spans="1:9">
      <c r="A1189" s="3">
        <f ca="1">IFERROR(__xludf.DUMMYFUNCTION("""COMPUTED_VALUE"""),30936.6666666666)</f>
        <v>30936.666666666599</v>
      </c>
      <c r="B1189" s="1">
        <f ca="1">IFERROR(__xludf.DUMMYFUNCTION("""COMPUTED_VALUE"""),2.08)</f>
        <v>2.08</v>
      </c>
      <c r="C1189" s="1">
        <f ca="1">IFERROR(__xludf.DUMMYFUNCTION("""COMPUTED_VALUE"""),2.13)</f>
        <v>2.13</v>
      </c>
      <c r="D1189" s="1">
        <f ca="1">IFERROR(__xludf.DUMMYFUNCTION("""COMPUTED_VALUE"""),2.08)</f>
        <v>2.08</v>
      </c>
      <c r="E1189" s="1">
        <f ca="1">IFERROR(__xludf.DUMMYFUNCTION("""COMPUTED_VALUE"""),2.08)</f>
        <v>2.08</v>
      </c>
      <c r="F1189" s="1">
        <f ca="1">IFERROR(__xludf.DUMMYFUNCTION("""COMPUTED_VALUE"""),386300)</f>
        <v>386300</v>
      </c>
      <c r="I1189" s="1"/>
    </row>
    <row r="1190" spans="1:9">
      <c r="A1190" s="3">
        <f ca="1">IFERROR(__xludf.DUMMYFUNCTION("""COMPUTED_VALUE"""),30937.6666666666)</f>
        <v>30937.666666666599</v>
      </c>
      <c r="B1190" s="1">
        <f ca="1">IFERROR(__xludf.DUMMYFUNCTION("""COMPUTED_VALUE"""),2.07)</f>
        <v>2.0699999999999998</v>
      </c>
      <c r="C1190" s="1">
        <f ca="1">IFERROR(__xludf.DUMMYFUNCTION("""COMPUTED_VALUE"""),2.11)</f>
        <v>2.11</v>
      </c>
      <c r="D1190" s="1">
        <f ca="1">IFERROR(__xludf.DUMMYFUNCTION("""COMPUTED_VALUE"""),2.07)</f>
        <v>2.0699999999999998</v>
      </c>
      <c r="E1190" s="1">
        <f ca="1">IFERROR(__xludf.DUMMYFUNCTION("""COMPUTED_VALUE"""),2.07)</f>
        <v>2.0699999999999998</v>
      </c>
      <c r="F1190" s="1">
        <f ca="1">IFERROR(__xludf.DUMMYFUNCTION("""COMPUTED_VALUE"""),293600)</f>
        <v>293600</v>
      </c>
      <c r="I1190" s="1"/>
    </row>
    <row r="1191" spans="1:9">
      <c r="A1191" s="3">
        <f ca="1">IFERROR(__xludf.DUMMYFUNCTION("""COMPUTED_VALUE"""),30938.6666666666)</f>
        <v>30938.666666666599</v>
      </c>
      <c r="B1191" s="1">
        <f ca="1">IFERROR(__xludf.DUMMYFUNCTION("""COMPUTED_VALUE"""),2.13)</f>
        <v>2.13</v>
      </c>
      <c r="C1191" s="1">
        <f ca="1">IFERROR(__xludf.DUMMYFUNCTION("""COMPUTED_VALUE"""),2.18)</f>
        <v>2.1800000000000002</v>
      </c>
      <c r="D1191" s="1">
        <f ca="1">IFERROR(__xludf.DUMMYFUNCTION("""COMPUTED_VALUE"""),2.05)</f>
        <v>2.0499999999999998</v>
      </c>
      <c r="E1191" s="1">
        <f ca="1">IFERROR(__xludf.DUMMYFUNCTION("""COMPUTED_VALUE"""),2.13)</f>
        <v>2.13</v>
      </c>
      <c r="F1191" s="1">
        <f ca="1">IFERROR(__xludf.DUMMYFUNCTION("""COMPUTED_VALUE"""),448000)</f>
        <v>448000</v>
      </c>
      <c r="I1191" s="1"/>
    </row>
    <row r="1192" spans="1:9">
      <c r="A1192" s="3">
        <f ca="1">IFERROR(__xludf.DUMMYFUNCTION("""COMPUTED_VALUE"""),30939.6666666666)</f>
        <v>30939.666666666599</v>
      </c>
      <c r="B1192" s="1">
        <f ca="1">IFERROR(__xludf.DUMMYFUNCTION("""COMPUTED_VALUE"""),2.14)</f>
        <v>2.14</v>
      </c>
      <c r="C1192" s="1">
        <f ca="1">IFERROR(__xludf.DUMMYFUNCTION("""COMPUTED_VALUE"""),2.16)</f>
        <v>2.16</v>
      </c>
      <c r="D1192" s="1">
        <f ca="1">IFERROR(__xludf.DUMMYFUNCTION("""COMPUTED_VALUE"""),2.12)</f>
        <v>2.12</v>
      </c>
      <c r="E1192" s="1">
        <f ca="1">IFERROR(__xludf.DUMMYFUNCTION("""COMPUTED_VALUE"""),2.14)</f>
        <v>2.14</v>
      </c>
      <c r="F1192" s="1">
        <f ca="1">IFERROR(__xludf.DUMMYFUNCTION("""COMPUTED_VALUE"""),345800)</f>
        <v>345800</v>
      </c>
      <c r="I1192" s="1"/>
    </row>
    <row r="1193" spans="1:9">
      <c r="A1193" s="3">
        <f ca="1">IFERROR(__xludf.DUMMYFUNCTION("""COMPUTED_VALUE"""),30942.6666666666)</f>
        <v>30942.666666666599</v>
      </c>
      <c r="B1193" s="1">
        <f ca="1">IFERROR(__xludf.DUMMYFUNCTION("""COMPUTED_VALUE"""),2.14)</f>
        <v>2.14</v>
      </c>
      <c r="C1193" s="1">
        <f ca="1">IFERROR(__xludf.DUMMYFUNCTION("""COMPUTED_VALUE"""),2.16)</f>
        <v>2.16</v>
      </c>
      <c r="D1193" s="1">
        <f ca="1">IFERROR(__xludf.DUMMYFUNCTION("""COMPUTED_VALUE"""),2.12)</f>
        <v>2.12</v>
      </c>
      <c r="E1193" s="1">
        <f ca="1">IFERROR(__xludf.DUMMYFUNCTION("""COMPUTED_VALUE"""),2.14)</f>
        <v>2.14</v>
      </c>
      <c r="F1193" s="1">
        <f ca="1">IFERROR(__xludf.DUMMYFUNCTION("""COMPUTED_VALUE"""),292500)</f>
        <v>292500</v>
      </c>
      <c r="I1193" s="1"/>
    </row>
    <row r="1194" spans="1:9">
      <c r="A1194" s="3">
        <f ca="1">IFERROR(__xludf.DUMMYFUNCTION("""COMPUTED_VALUE"""),30943.6666666666)</f>
        <v>30943.666666666599</v>
      </c>
      <c r="B1194" s="1">
        <f ca="1">IFERROR(__xludf.DUMMYFUNCTION("""COMPUTED_VALUE"""),2.1)</f>
        <v>2.1</v>
      </c>
      <c r="C1194" s="1">
        <f ca="1">IFERROR(__xludf.DUMMYFUNCTION("""COMPUTED_VALUE"""),2.16)</f>
        <v>2.16</v>
      </c>
      <c r="D1194" s="1">
        <f ca="1">IFERROR(__xludf.DUMMYFUNCTION("""COMPUTED_VALUE"""),2.1)</f>
        <v>2.1</v>
      </c>
      <c r="E1194" s="1">
        <f ca="1">IFERROR(__xludf.DUMMYFUNCTION("""COMPUTED_VALUE"""),2.1)</f>
        <v>2.1</v>
      </c>
      <c r="F1194" s="1">
        <f ca="1">IFERROR(__xludf.DUMMYFUNCTION("""COMPUTED_VALUE"""),448300)</f>
        <v>448300</v>
      </c>
      <c r="I1194" s="1"/>
    </row>
    <row r="1195" spans="1:9">
      <c r="A1195" s="3">
        <f ca="1">IFERROR(__xludf.DUMMYFUNCTION("""COMPUTED_VALUE"""),30944.6666666666)</f>
        <v>30944.666666666599</v>
      </c>
      <c r="B1195" s="1">
        <f ca="1">IFERROR(__xludf.DUMMYFUNCTION("""COMPUTED_VALUE"""),2.07)</f>
        <v>2.0699999999999998</v>
      </c>
      <c r="C1195" s="1">
        <f ca="1">IFERROR(__xludf.DUMMYFUNCTION("""COMPUTED_VALUE"""),2.11)</f>
        <v>2.11</v>
      </c>
      <c r="D1195" s="1">
        <f ca="1">IFERROR(__xludf.DUMMYFUNCTION("""COMPUTED_VALUE"""),2.07)</f>
        <v>2.0699999999999998</v>
      </c>
      <c r="E1195" s="1">
        <f ca="1">IFERROR(__xludf.DUMMYFUNCTION("""COMPUTED_VALUE"""),2.07)</f>
        <v>2.0699999999999998</v>
      </c>
      <c r="F1195" s="1">
        <f ca="1">IFERROR(__xludf.DUMMYFUNCTION("""COMPUTED_VALUE"""),468800)</f>
        <v>468800</v>
      </c>
      <c r="I1195" s="1"/>
    </row>
    <row r="1196" spans="1:9">
      <c r="A1196" s="3">
        <f ca="1">IFERROR(__xludf.DUMMYFUNCTION("""COMPUTED_VALUE"""),30945.6666666666)</f>
        <v>30945.666666666599</v>
      </c>
      <c r="B1196" s="1">
        <f ca="1">IFERROR(__xludf.DUMMYFUNCTION("""COMPUTED_VALUE"""),2.09)</f>
        <v>2.09</v>
      </c>
      <c r="C1196" s="1">
        <f ca="1">IFERROR(__xludf.DUMMYFUNCTION("""COMPUTED_VALUE"""),2.09)</f>
        <v>2.09</v>
      </c>
      <c r="D1196" s="1">
        <f ca="1">IFERROR(__xludf.DUMMYFUNCTION("""COMPUTED_VALUE"""),2.06)</f>
        <v>2.06</v>
      </c>
      <c r="E1196" s="1">
        <f ca="1">IFERROR(__xludf.DUMMYFUNCTION("""COMPUTED_VALUE"""),2.09)</f>
        <v>2.09</v>
      </c>
      <c r="F1196" s="1">
        <f ca="1">IFERROR(__xludf.DUMMYFUNCTION("""COMPUTED_VALUE"""),308400)</f>
        <v>308400</v>
      </c>
      <c r="I1196" s="1"/>
    </row>
    <row r="1197" spans="1:9">
      <c r="A1197" s="3">
        <f ca="1">IFERROR(__xludf.DUMMYFUNCTION("""COMPUTED_VALUE"""),30946.6666666666)</f>
        <v>30946.666666666599</v>
      </c>
      <c r="B1197" s="1">
        <f ca="1">IFERROR(__xludf.DUMMYFUNCTION("""COMPUTED_VALUE"""),2.04)</f>
        <v>2.04</v>
      </c>
      <c r="C1197" s="1">
        <f ca="1">IFERROR(__xludf.DUMMYFUNCTION("""COMPUTED_VALUE"""),2.1)</f>
        <v>2.1</v>
      </c>
      <c r="D1197" s="1">
        <f ca="1">IFERROR(__xludf.DUMMYFUNCTION("""COMPUTED_VALUE"""),2.03)</f>
        <v>2.0299999999999998</v>
      </c>
      <c r="E1197" s="1">
        <f ca="1">IFERROR(__xludf.DUMMYFUNCTION("""COMPUTED_VALUE"""),2.04)</f>
        <v>2.04</v>
      </c>
      <c r="F1197" s="1">
        <f ca="1">IFERROR(__xludf.DUMMYFUNCTION("""COMPUTED_VALUE"""),446100)</f>
        <v>446100</v>
      </c>
      <c r="I1197" s="1"/>
    </row>
    <row r="1198" spans="1:9">
      <c r="A1198" s="3">
        <f ca="1">IFERROR(__xludf.DUMMYFUNCTION("""COMPUTED_VALUE"""),30949.6666666666)</f>
        <v>30949.666666666599</v>
      </c>
      <c r="B1198" s="1">
        <f ca="1">IFERROR(__xludf.DUMMYFUNCTION("""COMPUTED_VALUE"""),2.05)</f>
        <v>2.0499999999999998</v>
      </c>
      <c r="C1198" s="1">
        <f ca="1">IFERROR(__xludf.DUMMYFUNCTION("""COMPUTED_VALUE"""),2.05)</f>
        <v>2.0499999999999998</v>
      </c>
      <c r="D1198" s="1">
        <f ca="1">IFERROR(__xludf.DUMMYFUNCTION("""COMPUTED_VALUE"""),1.98)</f>
        <v>1.98</v>
      </c>
      <c r="E1198" s="1">
        <f ca="1">IFERROR(__xludf.DUMMYFUNCTION("""COMPUTED_VALUE"""),2.05)</f>
        <v>2.0499999999999998</v>
      </c>
      <c r="F1198" s="1">
        <f ca="1">IFERROR(__xludf.DUMMYFUNCTION("""COMPUTED_VALUE"""),273900)</f>
        <v>273900</v>
      </c>
      <c r="I1198" s="1"/>
    </row>
    <row r="1199" spans="1:9">
      <c r="A1199" s="3">
        <f ca="1">IFERROR(__xludf.DUMMYFUNCTION("""COMPUTED_VALUE"""),30950.6666666666)</f>
        <v>30950.666666666599</v>
      </c>
      <c r="B1199" s="1">
        <f ca="1">IFERROR(__xludf.DUMMYFUNCTION("""COMPUTED_VALUE"""),2.02)</f>
        <v>2.02</v>
      </c>
      <c r="C1199" s="1">
        <f ca="1">IFERROR(__xludf.DUMMYFUNCTION("""COMPUTED_VALUE"""),2.05)</f>
        <v>2.0499999999999998</v>
      </c>
      <c r="D1199" s="1">
        <f ca="1">IFERROR(__xludf.DUMMYFUNCTION("""COMPUTED_VALUE"""),1.99)</f>
        <v>1.99</v>
      </c>
      <c r="E1199" s="1">
        <f ca="1">IFERROR(__xludf.DUMMYFUNCTION("""COMPUTED_VALUE"""),2.02)</f>
        <v>2.02</v>
      </c>
      <c r="F1199" s="1">
        <f ca="1">IFERROR(__xludf.DUMMYFUNCTION("""COMPUTED_VALUE"""),407000)</f>
        <v>407000</v>
      </c>
      <c r="I1199" s="1"/>
    </row>
    <row r="1200" spans="1:9">
      <c r="A1200" s="3">
        <f ca="1">IFERROR(__xludf.DUMMYFUNCTION("""COMPUTED_VALUE"""),30951.6666666666)</f>
        <v>30951.666666666599</v>
      </c>
      <c r="B1200" s="1">
        <f ca="1">IFERROR(__xludf.DUMMYFUNCTION("""COMPUTED_VALUE"""),2.05)</f>
        <v>2.0499999999999998</v>
      </c>
      <c r="C1200" s="1">
        <f ca="1">IFERROR(__xludf.DUMMYFUNCTION("""COMPUTED_VALUE"""),2.07)</f>
        <v>2.0699999999999998</v>
      </c>
      <c r="D1200" s="1">
        <f ca="1">IFERROR(__xludf.DUMMYFUNCTION("""COMPUTED_VALUE"""),2.02)</f>
        <v>2.02</v>
      </c>
      <c r="E1200" s="1">
        <f ca="1">IFERROR(__xludf.DUMMYFUNCTION("""COMPUTED_VALUE"""),2.05)</f>
        <v>2.0499999999999998</v>
      </c>
      <c r="F1200" s="1">
        <f ca="1">IFERROR(__xludf.DUMMYFUNCTION("""COMPUTED_VALUE"""),270400)</f>
        <v>270400</v>
      </c>
      <c r="I1200" s="1"/>
    </row>
    <row r="1201" spans="1:9">
      <c r="A1201" s="3">
        <f ca="1">IFERROR(__xludf.DUMMYFUNCTION("""COMPUTED_VALUE"""),30952.6666666666)</f>
        <v>30952.666666666599</v>
      </c>
      <c r="B1201" s="1">
        <f ca="1">IFERROR(__xludf.DUMMYFUNCTION("""COMPUTED_VALUE"""),2.05)</f>
        <v>2.0499999999999998</v>
      </c>
      <c r="C1201" s="1">
        <f ca="1">IFERROR(__xludf.DUMMYFUNCTION("""COMPUTED_VALUE"""),2.08)</f>
        <v>2.08</v>
      </c>
      <c r="D1201" s="1">
        <f ca="1">IFERROR(__xludf.DUMMYFUNCTION("""COMPUTED_VALUE"""),2.05)</f>
        <v>2.0499999999999998</v>
      </c>
      <c r="E1201" s="1">
        <f ca="1">IFERROR(__xludf.DUMMYFUNCTION("""COMPUTED_VALUE"""),2.05)</f>
        <v>2.0499999999999998</v>
      </c>
      <c r="F1201" s="1">
        <f ca="1">IFERROR(__xludf.DUMMYFUNCTION("""COMPUTED_VALUE"""),248900)</f>
        <v>248900</v>
      </c>
      <c r="I1201" s="1"/>
    </row>
    <row r="1202" spans="1:9">
      <c r="A1202" s="3">
        <f ca="1">IFERROR(__xludf.DUMMYFUNCTION("""COMPUTED_VALUE"""),30953.6666666666)</f>
        <v>30953.666666666599</v>
      </c>
      <c r="B1202" s="1">
        <f ca="1">IFERROR(__xludf.DUMMYFUNCTION("""COMPUTED_VALUE"""),2.03)</f>
        <v>2.0299999999999998</v>
      </c>
      <c r="C1202" s="1">
        <f ca="1">IFERROR(__xludf.DUMMYFUNCTION("""COMPUTED_VALUE"""),2.05)</f>
        <v>2.0499999999999998</v>
      </c>
      <c r="D1202" s="1">
        <f ca="1">IFERROR(__xludf.DUMMYFUNCTION("""COMPUTED_VALUE"""),2.02)</f>
        <v>2.02</v>
      </c>
      <c r="E1202" s="1">
        <f ca="1">IFERROR(__xludf.DUMMYFUNCTION("""COMPUTED_VALUE"""),2.03)</f>
        <v>2.0299999999999998</v>
      </c>
      <c r="F1202" s="1">
        <f ca="1">IFERROR(__xludf.DUMMYFUNCTION("""COMPUTED_VALUE"""),193000)</f>
        <v>193000</v>
      </c>
      <c r="I1202" s="1"/>
    </row>
    <row r="1203" spans="1:9">
      <c r="A1203" s="3">
        <f ca="1">IFERROR(__xludf.DUMMYFUNCTION("""COMPUTED_VALUE"""),30956.6666666666)</f>
        <v>30956.666666666599</v>
      </c>
      <c r="B1203" s="1">
        <f ca="1">IFERROR(__xludf.DUMMYFUNCTION("""COMPUTED_VALUE"""),2)</f>
        <v>2</v>
      </c>
      <c r="C1203" s="1">
        <f ca="1">IFERROR(__xludf.DUMMYFUNCTION("""COMPUTED_VALUE"""),2.03)</f>
        <v>2.0299999999999998</v>
      </c>
      <c r="D1203" s="1">
        <f ca="1">IFERROR(__xludf.DUMMYFUNCTION("""COMPUTED_VALUE"""),2)</f>
        <v>2</v>
      </c>
      <c r="E1203" s="1">
        <f ca="1">IFERROR(__xludf.DUMMYFUNCTION("""COMPUTED_VALUE"""),2)</f>
        <v>2</v>
      </c>
      <c r="F1203" s="1">
        <f ca="1">IFERROR(__xludf.DUMMYFUNCTION("""COMPUTED_VALUE"""),261600)</f>
        <v>261600</v>
      </c>
      <c r="I1203" s="1"/>
    </row>
    <row r="1204" spans="1:9">
      <c r="A1204" s="3">
        <f ca="1">IFERROR(__xludf.DUMMYFUNCTION("""COMPUTED_VALUE"""),30957.6666666666)</f>
        <v>30957.666666666599</v>
      </c>
      <c r="B1204" s="1">
        <f ca="1">IFERROR(__xludf.DUMMYFUNCTION("""COMPUTED_VALUE"""),1.95)</f>
        <v>1.95</v>
      </c>
      <c r="C1204" s="1">
        <f ca="1">IFERROR(__xludf.DUMMYFUNCTION("""COMPUTED_VALUE"""),2.04)</f>
        <v>2.04</v>
      </c>
      <c r="D1204" s="1">
        <f ca="1">IFERROR(__xludf.DUMMYFUNCTION("""COMPUTED_VALUE"""),1.94)</f>
        <v>1.94</v>
      </c>
      <c r="E1204" s="1">
        <f ca="1">IFERROR(__xludf.DUMMYFUNCTION("""COMPUTED_VALUE"""),1.95)</f>
        <v>1.95</v>
      </c>
      <c r="F1204" s="1">
        <f ca="1">IFERROR(__xludf.DUMMYFUNCTION("""COMPUTED_VALUE"""),592100)</f>
        <v>592100</v>
      </c>
      <c r="I1204" s="1"/>
    </row>
    <row r="1205" spans="1:9">
      <c r="A1205" s="3">
        <f ca="1">IFERROR(__xludf.DUMMYFUNCTION("""COMPUTED_VALUE"""),30958.6666666666)</f>
        <v>30958.666666666599</v>
      </c>
      <c r="B1205" s="1">
        <f ca="1">IFERROR(__xludf.DUMMYFUNCTION("""COMPUTED_VALUE"""),1.91)</f>
        <v>1.91</v>
      </c>
      <c r="C1205" s="1">
        <f ca="1">IFERROR(__xludf.DUMMYFUNCTION("""COMPUTED_VALUE"""),1.95)</f>
        <v>1.95</v>
      </c>
      <c r="D1205" s="1">
        <f ca="1">IFERROR(__xludf.DUMMYFUNCTION("""COMPUTED_VALUE"""),1.91)</f>
        <v>1.91</v>
      </c>
      <c r="E1205" s="1">
        <f ca="1">IFERROR(__xludf.DUMMYFUNCTION("""COMPUTED_VALUE"""),1.91)</f>
        <v>1.91</v>
      </c>
      <c r="F1205" s="1">
        <f ca="1">IFERROR(__xludf.DUMMYFUNCTION("""COMPUTED_VALUE"""),412900)</f>
        <v>412900</v>
      </c>
      <c r="I1205" s="1"/>
    </row>
    <row r="1206" spans="1:9">
      <c r="A1206" s="3">
        <f ca="1">IFERROR(__xludf.DUMMYFUNCTION("""COMPUTED_VALUE"""),30959.6666666666)</f>
        <v>30959.666666666599</v>
      </c>
      <c r="B1206" s="1">
        <f ca="1">IFERROR(__xludf.DUMMYFUNCTION("""COMPUTED_VALUE"""),1.96)</f>
        <v>1.96</v>
      </c>
      <c r="C1206" s="1">
        <f ca="1">IFERROR(__xludf.DUMMYFUNCTION("""COMPUTED_VALUE"""),1.97)</f>
        <v>1.97</v>
      </c>
      <c r="D1206" s="1">
        <f ca="1">IFERROR(__xludf.DUMMYFUNCTION("""COMPUTED_VALUE"""),1.91)</f>
        <v>1.91</v>
      </c>
      <c r="E1206" s="1">
        <f ca="1">IFERROR(__xludf.DUMMYFUNCTION("""COMPUTED_VALUE"""),1.96)</f>
        <v>1.96</v>
      </c>
      <c r="F1206" s="1">
        <f ca="1">IFERROR(__xludf.DUMMYFUNCTION("""COMPUTED_VALUE"""),301400)</f>
        <v>301400</v>
      </c>
      <c r="I1206" s="1"/>
    </row>
    <row r="1207" spans="1:9">
      <c r="A1207" s="3">
        <f ca="1">IFERROR(__xludf.DUMMYFUNCTION("""COMPUTED_VALUE"""),30960.6666666666)</f>
        <v>30960.666666666599</v>
      </c>
      <c r="B1207" s="1">
        <f ca="1">IFERROR(__xludf.DUMMYFUNCTION("""COMPUTED_VALUE"""),1.92)</f>
        <v>1.92</v>
      </c>
      <c r="C1207" s="1">
        <f ca="1">IFERROR(__xludf.DUMMYFUNCTION("""COMPUTED_VALUE"""),1.98)</f>
        <v>1.98</v>
      </c>
      <c r="D1207" s="1">
        <f ca="1">IFERROR(__xludf.DUMMYFUNCTION("""COMPUTED_VALUE"""),1.92)</f>
        <v>1.92</v>
      </c>
      <c r="E1207" s="1">
        <f ca="1">IFERROR(__xludf.DUMMYFUNCTION("""COMPUTED_VALUE"""),1.92)</f>
        <v>1.92</v>
      </c>
      <c r="F1207" s="1">
        <f ca="1">IFERROR(__xludf.DUMMYFUNCTION("""COMPUTED_VALUE"""),392000)</f>
        <v>392000</v>
      </c>
      <c r="I1207" s="1"/>
    </row>
    <row r="1208" spans="1:9">
      <c r="A1208" s="3">
        <f ca="1">IFERROR(__xludf.DUMMYFUNCTION("""COMPUTED_VALUE"""),30963.6666666666)</f>
        <v>30963.666666666599</v>
      </c>
      <c r="B1208" s="1">
        <f ca="1">IFERROR(__xludf.DUMMYFUNCTION("""COMPUTED_VALUE"""),1.93)</f>
        <v>1.93</v>
      </c>
      <c r="C1208" s="1">
        <f ca="1">IFERROR(__xludf.DUMMYFUNCTION("""COMPUTED_VALUE"""),1.94)</f>
        <v>1.94</v>
      </c>
      <c r="D1208" s="1">
        <f ca="1">IFERROR(__xludf.DUMMYFUNCTION("""COMPUTED_VALUE"""),1.91)</f>
        <v>1.91</v>
      </c>
      <c r="E1208" s="1">
        <f ca="1">IFERROR(__xludf.DUMMYFUNCTION("""COMPUTED_VALUE"""),1.93)</f>
        <v>1.93</v>
      </c>
      <c r="F1208" s="1">
        <f ca="1">IFERROR(__xludf.DUMMYFUNCTION("""COMPUTED_VALUE"""),179200)</f>
        <v>179200</v>
      </c>
      <c r="I1208" s="1"/>
    </row>
    <row r="1209" spans="1:9">
      <c r="A1209" s="3">
        <f ca="1">IFERROR(__xludf.DUMMYFUNCTION("""COMPUTED_VALUE"""),30964.6666666666)</f>
        <v>30964.666666666599</v>
      </c>
      <c r="B1209" s="1">
        <f ca="1">IFERROR(__xludf.DUMMYFUNCTION("""COMPUTED_VALUE"""),1.96)</f>
        <v>1.96</v>
      </c>
      <c r="C1209" s="1">
        <f ca="1">IFERROR(__xludf.DUMMYFUNCTION("""COMPUTED_VALUE"""),1.98)</f>
        <v>1.98</v>
      </c>
      <c r="D1209" s="1">
        <f ca="1">IFERROR(__xludf.DUMMYFUNCTION("""COMPUTED_VALUE"""),1.94)</f>
        <v>1.94</v>
      </c>
      <c r="E1209" s="1">
        <f ca="1">IFERROR(__xludf.DUMMYFUNCTION("""COMPUTED_VALUE"""),1.96)</f>
        <v>1.96</v>
      </c>
      <c r="F1209" s="1">
        <f ca="1">IFERROR(__xludf.DUMMYFUNCTION("""COMPUTED_VALUE"""),265200)</f>
        <v>265200</v>
      </c>
      <c r="I1209" s="1"/>
    </row>
    <row r="1210" spans="1:9">
      <c r="A1210" s="3">
        <f ca="1">IFERROR(__xludf.DUMMYFUNCTION("""COMPUTED_VALUE"""),30965.6666666666)</f>
        <v>30965.666666666599</v>
      </c>
      <c r="B1210" s="1">
        <f ca="1">IFERROR(__xludf.DUMMYFUNCTION("""COMPUTED_VALUE"""),1.96)</f>
        <v>1.96</v>
      </c>
      <c r="C1210" s="1">
        <f ca="1">IFERROR(__xludf.DUMMYFUNCTION("""COMPUTED_VALUE"""),1.97)</f>
        <v>1.97</v>
      </c>
      <c r="D1210" s="1">
        <f ca="1">IFERROR(__xludf.DUMMYFUNCTION("""COMPUTED_VALUE"""),1.94)</f>
        <v>1.94</v>
      </c>
      <c r="E1210" s="1">
        <f ca="1">IFERROR(__xludf.DUMMYFUNCTION("""COMPUTED_VALUE"""),1.96)</f>
        <v>1.96</v>
      </c>
      <c r="F1210" s="1">
        <f ca="1">IFERROR(__xludf.DUMMYFUNCTION("""COMPUTED_VALUE"""),419500)</f>
        <v>419500</v>
      </c>
      <c r="I1210" s="1"/>
    </row>
    <row r="1211" spans="1:9">
      <c r="A1211" s="3">
        <f ca="1">IFERROR(__xludf.DUMMYFUNCTION("""COMPUTED_VALUE"""),30966.6666666666)</f>
        <v>30966.666666666599</v>
      </c>
      <c r="B1211" s="1">
        <f ca="1">IFERROR(__xludf.DUMMYFUNCTION("""COMPUTED_VALUE"""),1.98)</f>
        <v>1.98</v>
      </c>
      <c r="C1211" s="1">
        <f ca="1">IFERROR(__xludf.DUMMYFUNCTION("""COMPUTED_VALUE"""),1.99)</f>
        <v>1.99</v>
      </c>
      <c r="D1211" s="1">
        <f ca="1">IFERROR(__xludf.DUMMYFUNCTION("""COMPUTED_VALUE"""),1.95)</f>
        <v>1.95</v>
      </c>
      <c r="E1211" s="1">
        <f ca="1">IFERROR(__xludf.DUMMYFUNCTION("""COMPUTED_VALUE"""),1.98)</f>
        <v>1.98</v>
      </c>
      <c r="F1211" s="1">
        <f ca="1">IFERROR(__xludf.DUMMYFUNCTION("""COMPUTED_VALUE"""),325200)</f>
        <v>325200</v>
      </c>
      <c r="I1211" s="1"/>
    </row>
    <row r="1212" spans="1:9">
      <c r="A1212" s="3">
        <f ca="1">IFERROR(__xludf.DUMMYFUNCTION("""COMPUTED_VALUE"""),30967.6666666666)</f>
        <v>30967.666666666599</v>
      </c>
      <c r="B1212" s="1">
        <f ca="1">IFERROR(__xludf.DUMMYFUNCTION("""COMPUTED_VALUE"""),1.98)</f>
        <v>1.98</v>
      </c>
      <c r="C1212" s="1">
        <f ca="1">IFERROR(__xludf.DUMMYFUNCTION("""COMPUTED_VALUE"""),2.04)</f>
        <v>2.04</v>
      </c>
      <c r="D1212" s="1">
        <f ca="1">IFERROR(__xludf.DUMMYFUNCTION("""COMPUTED_VALUE"""),1.98)</f>
        <v>1.98</v>
      </c>
      <c r="E1212" s="1">
        <f ca="1">IFERROR(__xludf.DUMMYFUNCTION("""COMPUTED_VALUE"""),1.98)</f>
        <v>1.98</v>
      </c>
      <c r="F1212" s="1">
        <f ca="1">IFERROR(__xludf.DUMMYFUNCTION("""COMPUTED_VALUE"""),243900)</f>
        <v>243900</v>
      </c>
      <c r="I1212" s="1"/>
    </row>
    <row r="1213" spans="1:9">
      <c r="A1213" s="3">
        <f ca="1">IFERROR(__xludf.DUMMYFUNCTION("""COMPUTED_VALUE"""),30970.6666666666)</f>
        <v>30970.666666666599</v>
      </c>
      <c r="B1213" s="1">
        <f ca="1">IFERROR(__xludf.DUMMYFUNCTION("""COMPUTED_VALUE"""),1.97)</f>
        <v>1.97</v>
      </c>
      <c r="C1213" s="1">
        <f ca="1">IFERROR(__xludf.DUMMYFUNCTION("""COMPUTED_VALUE"""),1.99)</f>
        <v>1.99</v>
      </c>
      <c r="D1213" s="1">
        <f ca="1">IFERROR(__xludf.DUMMYFUNCTION("""COMPUTED_VALUE"""),1.96)</f>
        <v>1.96</v>
      </c>
      <c r="E1213" s="1">
        <f ca="1">IFERROR(__xludf.DUMMYFUNCTION("""COMPUTED_VALUE"""),1.97)</f>
        <v>1.97</v>
      </c>
      <c r="F1213" s="1">
        <f ca="1">IFERROR(__xludf.DUMMYFUNCTION("""COMPUTED_VALUE"""),162000)</f>
        <v>162000</v>
      </c>
      <c r="I1213" s="1"/>
    </row>
    <row r="1214" spans="1:9">
      <c r="A1214" s="3">
        <f ca="1">IFERROR(__xludf.DUMMYFUNCTION("""COMPUTED_VALUE"""),30971.6666666666)</f>
        <v>30971.666666666599</v>
      </c>
      <c r="B1214" s="1">
        <f ca="1">IFERROR(__xludf.DUMMYFUNCTION("""COMPUTED_VALUE"""),1.91)</f>
        <v>1.91</v>
      </c>
      <c r="C1214" s="1">
        <f ca="1">IFERROR(__xludf.DUMMYFUNCTION("""COMPUTED_VALUE"""),1.97)</f>
        <v>1.97</v>
      </c>
      <c r="D1214" s="1">
        <f ca="1">IFERROR(__xludf.DUMMYFUNCTION("""COMPUTED_VALUE"""),1.91)</f>
        <v>1.91</v>
      </c>
      <c r="E1214" s="1">
        <f ca="1">IFERROR(__xludf.DUMMYFUNCTION("""COMPUTED_VALUE"""),1.91)</f>
        <v>1.91</v>
      </c>
      <c r="F1214" s="1">
        <f ca="1">IFERROR(__xludf.DUMMYFUNCTION("""COMPUTED_VALUE"""),223900)</f>
        <v>223900</v>
      </c>
      <c r="I1214" s="1"/>
    </row>
    <row r="1215" spans="1:9">
      <c r="A1215" s="3">
        <f ca="1">IFERROR(__xludf.DUMMYFUNCTION("""COMPUTED_VALUE"""),30972.6666666666)</f>
        <v>30972.666666666599</v>
      </c>
      <c r="B1215" s="1">
        <f ca="1">IFERROR(__xludf.DUMMYFUNCTION("""COMPUTED_VALUE"""),1.95)</f>
        <v>1.95</v>
      </c>
      <c r="C1215" s="1">
        <f ca="1">IFERROR(__xludf.DUMMYFUNCTION("""COMPUTED_VALUE"""),1.95)</f>
        <v>1.95</v>
      </c>
      <c r="D1215" s="1">
        <f ca="1">IFERROR(__xludf.DUMMYFUNCTION("""COMPUTED_VALUE"""),1.89)</f>
        <v>1.89</v>
      </c>
      <c r="E1215" s="1">
        <f ca="1">IFERROR(__xludf.DUMMYFUNCTION("""COMPUTED_VALUE"""),1.95)</f>
        <v>1.95</v>
      </c>
      <c r="F1215" s="1">
        <f ca="1">IFERROR(__xludf.DUMMYFUNCTION("""COMPUTED_VALUE"""),271200)</f>
        <v>271200</v>
      </c>
      <c r="I1215" s="1"/>
    </row>
    <row r="1216" spans="1:9">
      <c r="A1216" s="3">
        <f ca="1">IFERROR(__xludf.DUMMYFUNCTION("""COMPUTED_VALUE"""),30973.6666666666)</f>
        <v>30973.666666666599</v>
      </c>
      <c r="B1216" s="1">
        <f ca="1">IFERROR(__xludf.DUMMYFUNCTION("""COMPUTED_VALUE"""),2.08)</f>
        <v>2.08</v>
      </c>
      <c r="C1216" s="1">
        <f ca="1">IFERROR(__xludf.DUMMYFUNCTION("""COMPUTED_VALUE"""),2.09)</f>
        <v>2.09</v>
      </c>
      <c r="D1216" s="1">
        <f ca="1">IFERROR(__xludf.DUMMYFUNCTION("""COMPUTED_VALUE"""),1.93)</f>
        <v>1.93</v>
      </c>
      <c r="E1216" s="1">
        <f ca="1">IFERROR(__xludf.DUMMYFUNCTION("""COMPUTED_VALUE"""),2.08)</f>
        <v>2.08</v>
      </c>
      <c r="F1216" s="1">
        <f ca="1">IFERROR(__xludf.DUMMYFUNCTION("""COMPUTED_VALUE"""),551200)</f>
        <v>551200</v>
      </c>
      <c r="I1216" s="1"/>
    </row>
    <row r="1217" spans="1:9">
      <c r="A1217" s="3">
        <f ca="1">IFERROR(__xludf.DUMMYFUNCTION("""COMPUTED_VALUE"""),30974.6666666666)</f>
        <v>30974.666666666599</v>
      </c>
      <c r="B1217" s="1">
        <f ca="1">IFERROR(__xludf.DUMMYFUNCTION("""COMPUTED_VALUE"""),2.08)</f>
        <v>2.08</v>
      </c>
      <c r="C1217" s="1">
        <f ca="1">IFERROR(__xludf.DUMMYFUNCTION("""COMPUTED_VALUE"""),2.12)</f>
        <v>2.12</v>
      </c>
      <c r="D1217" s="1">
        <f ca="1">IFERROR(__xludf.DUMMYFUNCTION("""COMPUTED_VALUE"""),2.05)</f>
        <v>2.0499999999999998</v>
      </c>
      <c r="E1217" s="1">
        <f ca="1">IFERROR(__xludf.DUMMYFUNCTION("""COMPUTED_VALUE"""),2.08)</f>
        <v>2.08</v>
      </c>
      <c r="F1217" s="1">
        <f ca="1">IFERROR(__xludf.DUMMYFUNCTION("""COMPUTED_VALUE"""),813900)</f>
        <v>813900</v>
      </c>
      <c r="I1217" s="1"/>
    </row>
    <row r="1218" spans="1:9">
      <c r="A1218" s="3">
        <f ca="1">IFERROR(__xludf.DUMMYFUNCTION("""COMPUTED_VALUE"""),30977.6666666666)</f>
        <v>30977.666666666599</v>
      </c>
      <c r="B1218" s="1">
        <f ca="1">IFERROR(__xludf.DUMMYFUNCTION("""COMPUTED_VALUE"""),2.02)</f>
        <v>2.02</v>
      </c>
      <c r="C1218" s="1">
        <f ca="1">IFERROR(__xludf.DUMMYFUNCTION("""COMPUTED_VALUE"""),2.06)</f>
        <v>2.06</v>
      </c>
      <c r="D1218" s="1">
        <f ca="1">IFERROR(__xludf.DUMMYFUNCTION("""COMPUTED_VALUE"""),2.01)</f>
        <v>2.0099999999999998</v>
      </c>
      <c r="E1218" s="1">
        <f ca="1">IFERROR(__xludf.DUMMYFUNCTION("""COMPUTED_VALUE"""),2.02)</f>
        <v>2.02</v>
      </c>
      <c r="F1218" s="1">
        <f ca="1">IFERROR(__xludf.DUMMYFUNCTION("""COMPUTED_VALUE"""),190200)</f>
        <v>190200</v>
      </c>
      <c r="I1218" s="1"/>
    </row>
    <row r="1219" spans="1:9">
      <c r="A1219" s="3">
        <f ca="1">IFERROR(__xludf.DUMMYFUNCTION("""COMPUTED_VALUE"""),30978.6666666666)</f>
        <v>30978.666666666599</v>
      </c>
      <c r="B1219" s="1">
        <f ca="1">IFERROR(__xludf.DUMMYFUNCTION("""COMPUTED_VALUE"""),2.04)</f>
        <v>2.04</v>
      </c>
      <c r="C1219" s="1">
        <f ca="1">IFERROR(__xludf.DUMMYFUNCTION("""COMPUTED_VALUE"""),2.08)</f>
        <v>2.08</v>
      </c>
      <c r="D1219" s="1">
        <f ca="1">IFERROR(__xludf.DUMMYFUNCTION("""COMPUTED_VALUE"""),2.03)</f>
        <v>2.0299999999999998</v>
      </c>
      <c r="E1219" s="1">
        <f ca="1">IFERROR(__xludf.DUMMYFUNCTION("""COMPUTED_VALUE"""),2.04)</f>
        <v>2.04</v>
      </c>
      <c r="F1219" s="1">
        <f ca="1">IFERROR(__xludf.DUMMYFUNCTION("""COMPUTED_VALUE"""),262700)</f>
        <v>262700</v>
      </c>
      <c r="I1219" s="1"/>
    </row>
    <row r="1220" spans="1:9">
      <c r="A1220" s="3">
        <f ca="1">IFERROR(__xludf.DUMMYFUNCTION("""COMPUTED_VALUE"""),30979.6666666666)</f>
        <v>30979.666666666599</v>
      </c>
      <c r="B1220" s="1">
        <f ca="1">IFERROR(__xludf.DUMMYFUNCTION("""COMPUTED_VALUE"""),2.03)</f>
        <v>2.0299999999999998</v>
      </c>
      <c r="C1220" s="1">
        <f ca="1">IFERROR(__xludf.DUMMYFUNCTION("""COMPUTED_VALUE"""),2.06)</f>
        <v>2.06</v>
      </c>
      <c r="D1220" s="1">
        <f ca="1">IFERROR(__xludf.DUMMYFUNCTION("""COMPUTED_VALUE"""),1.99)</f>
        <v>1.99</v>
      </c>
      <c r="E1220" s="1">
        <f ca="1">IFERROR(__xludf.DUMMYFUNCTION("""COMPUTED_VALUE"""),2.03)</f>
        <v>2.0299999999999998</v>
      </c>
      <c r="F1220" s="1">
        <f ca="1">IFERROR(__xludf.DUMMYFUNCTION("""COMPUTED_VALUE"""),282700)</f>
        <v>282700</v>
      </c>
      <c r="I1220" s="1"/>
    </row>
    <row r="1221" spans="1:9">
      <c r="A1221" s="3">
        <f ca="1">IFERROR(__xludf.DUMMYFUNCTION("""COMPUTED_VALUE"""),30980.6666666666)</f>
        <v>30980.666666666599</v>
      </c>
      <c r="B1221" s="1">
        <f ca="1">IFERROR(__xludf.DUMMYFUNCTION("""COMPUTED_VALUE"""),2)</f>
        <v>2</v>
      </c>
      <c r="C1221" s="1">
        <f ca="1">IFERROR(__xludf.DUMMYFUNCTION("""COMPUTED_VALUE"""),2.04)</f>
        <v>2.04</v>
      </c>
      <c r="D1221" s="1">
        <f ca="1">IFERROR(__xludf.DUMMYFUNCTION("""COMPUTED_VALUE"""),2)</f>
        <v>2</v>
      </c>
      <c r="E1221" s="1">
        <f ca="1">IFERROR(__xludf.DUMMYFUNCTION("""COMPUTED_VALUE"""),2)</f>
        <v>2</v>
      </c>
      <c r="F1221" s="1">
        <f ca="1">IFERROR(__xludf.DUMMYFUNCTION("""COMPUTED_VALUE"""),202400)</f>
        <v>202400</v>
      </c>
      <c r="I1221" s="1"/>
    </row>
    <row r="1222" spans="1:9">
      <c r="A1222" s="3">
        <f ca="1">IFERROR(__xludf.DUMMYFUNCTION("""COMPUTED_VALUE"""),30981.6666666666)</f>
        <v>30981.666666666599</v>
      </c>
      <c r="B1222" s="1">
        <f ca="1">IFERROR(__xludf.DUMMYFUNCTION("""COMPUTED_VALUE"""),2.05)</f>
        <v>2.0499999999999998</v>
      </c>
      <c r="C1222" s="1">
        <f ca="1">IFERROR(__xludf.DUMMYFUNCTION("""COMPUTED_VALUE"""),2.05)</f>
        <v>2.0499999999999998</v>
      </c>
      <c r="D1222" s="1">
        <f ca="1">IFERROR(__xludf.DUMMYFUNCTION("""COMPUTED_VALUE"""),1.97)</f>
        <v>1.97</v>
      </c>
      <c r="E1222" s="1">
        <f ca="1">IFERROR(__xludf.DUMMYFUNCTION("""COMPUTED_VALUE"""),2.05)</f>
        <v>2.0499999999999998</v>
      </c>
      <c r="F1222" s="1">
        <f ca="1">IFERROR(__xludf.DUMMYFUNCTION("""COMPUTED_VALUE"""),182200)</f>
        <v>182200</v>
      </c>
      <c r="I1222" s="1"/>
    </row>
    <row r="1223" spans="1:9">
      <c r="A1223" s="3">
        <f ca="1">IFERROR(__xludf.DUMMYFUNCTION("""COMPUTED_VALUE"""),30984.6666666666)</f>
        <v>30984.666666666599</v>
      </c>
      <c r="B1223" s="1">
        <f ca="1">IFERROR(__xludf.DUMMYFUNCTION("""COMPUTED_VALUE"""),2.02)</f>
        <v>2.02</v>
      </c>
      <c r="C1223" s="1">
        <f ca="1">IFERROR(__xludf.DUMMYFUNCTION("""COMPUTED_VALUE"""),2.08)</f>
        <v>2.08</v>
      </c>
      <c r="D1223" s="1">
        <f ca="1">IFERROR(__xludf.DUMMYFUNCTION("""COMPUTED_VALUE"""),2.02)</f>
        <v>2.02</v>
      </c>
      <c r="E1223" s="1">
        <f ca="1">IFERROR(__xludf.DUMMYFUNCTION("""COMPUTED_VALUE"""),2.02)</f>
        <v>2.02</v>
      </c>
      <c r="F1223" s="1">
        <f ca="1">IFERROR(__xludf.DUMMYFUNCTION("""COMPUTED_VALUE"""),177900)</f>
        <v>177900</v>
      </c>
      <c r="I1223" s="1"/>
    </row>
    <row r="1224" spans="1:9">
      <c r="A1224" s="3">
        <f ca="1">IFERROR(__xludf.DUMMYFUNCTION("""COMPUTED_VALUE"""),30985.6666666666)</f>
        <v>30985.666666666599</v>
      </c>
      <c r="B1224" s="1">
        <f ca="1">IFERROR(__xludf.DUMMYFUNCTION("""COMPUTED_VALUE"""),2.05)</f>
        <v>2.0499999999999998</v>
      </c>
      <c r="C1224" s="1">
        <f ca="1">IFERROR(__xludf.DUMMYFUNCTION("""COMPUTED_VALUE"""),2.06)</f>
        <v>2.06</v>
      </c>
      <c r="D1224" s="1">
        <f ca="1">IFERROR(__xludf.DUMMYFUNCTION("""COMPUTED_VALUE"""),2.03)</f>
        <v>2.0299999999999998</v>
      </c>
      <c r="E1224" s="1">
        <f ca="1">IFERROR(__xludf.DUMMYFUNCTION("""COMPUTED_VALUE"""),2.05)</f>
        <v>2.0499999999999998</v>
      </c>
      <c r="F1224" s="1">
        <f ca="1">IFERROR(__xludf.DUMMYFUNCTION("""COMPUTED_VALUE"""),375900)</f>
        <v>375900</v>
      </c>
      <c r="I1224" s="1"/>
    </row>
    <row r="1225" spans="1:9">
      <c r="A1225" s="3">
        <f ca="1">IFERROR(__xludf.DUMMYFUNCTION("""COMPUTED_VALUE"""),30986.6666666666)</f>
        <v>30986.666666666599</v>
      </c>
      <c r="B1225" s="1">
        <f ca="1">IFERROR(__xludf.DUMMYFUNCTION("""COMPUTED_VALUE"""),2.03)</f>
        <v>2.0299999999999998</v>
      </c>
      <c r="C1225" s="1">
        <f ca="1">IFERROR(__xludf.DUMMYFUNCTION("""COMPUTED_VALUE"""),2.05)</f>
        <v>2.0499999999999998</v>
      </c>
      <c r="D1225" s="1">
        <f ca="1">IFERROR(__xludf.DUMMYFUNCTION("""COMPUTED_VALUE"""),2.02)</f>
        <v>2.02</v>
      </c>
      <c r="E1225" s="1">
        <f ca="1">IFERROR(__xludf.DUMMYFUNCTION("""COMPUTED_VALUE"""),2.03)</f>
        <v>2.0299999999999998</v>
      </c>
      <c r="F1225" s="1">
        <f ca="1">IFERROR(__xludf.DUMMYFUNCTION("""COMPUTED_VALUE"""),296000)</f>
        <v>296000</v>
      </c>
      <c r="I1225" s="1"/>
    </row>
    <row r="1226" spans="1:9">
      <c r="A1226" s="3">
        <f ca="1">IFERROR(__xludf.DUMMYFUNCTION("""COMPUTED_VALUE"""),30987.6666666666)</f>
        <v>30987.666666666599</v>
      </c>
      <c r="B1226" s="1">
        <f ca="1">IFERROR(__xludf.DUMMYFUNCTION("""COMPUTED_VALUE"""),2.06)</f>
        <v>2.06</v>
      </c>
      <c r="C1226" s="1">
        <f ca="1">IFERROR(__xludf.DUMMYFUNCTION("""COMPUTED_VALUE"""),2.09)</f>
        <v>2.09</v>
      </c>
      <c r="D1226" s="1">
        <f ca="1">IFERROR(__xludf.DUMMYFUNCTION("""COMPUTED_VALUE"""),2.02)</f>
        <v>2.02</v>
      </c>
      <c r="E1226" s="1">
        <f ca="1">IFERROR(__xludf.DUMMYFUNCTION("""COMPUTED_VALUE"""),2.06)</f>
        <v>2.06</v>
      </c>
      <c r="F1226" s="1">
        <f ca="1">IFERROR(__xludf.DUMMYFUNCTION("""COMPUTED_VALUE"""),598300)</f>
        <v>598300</v>
      </c>
      <c r="I1226" s="1"/>
    </row>
    <row r="1227" spans="1:9">
      <c r="A1227" s="3">
        <f ca="1">IFERROR(__xludf.DUMMYFUNCTION("""COMPUTED_VALUE"""),30988.6666666666)</f>
        <v>30988.666666666599</v>
      </c>
      <c r="B1227" s="1">
        <f ca="1">IFERROR(__xludf.DUMMYFUNCTION("""COMPUTED_VALUE"""),2.14)</f>
        <v>2.14</v>
      </c>
      <c r="C1227" s="1">
        <f ca="1">IFERROR(__xludf.DUMMYFUNCTION("""COMPUTED_VALUE"""),2.15)</f>
        <v>2.15</v>
      </c>
      <c r="D1227" s="1">
        <f ca="1">IFERROR(__xludf.DUMMYFUNCTION("""COMPUTED_VALUE"""),2.1)</f>
        <v>2.1</v>
      </c>
      <c r="E1227" s="1">
        <f ca="1">IFERROR(__xludf.DUMMYFUNCTION("""COMPUTED_VALUE"""),2.14)</f>
        <v>2.14</v>
      </c>
      <c r="F1227" s="1">
        <f ca="1">IFERROR(__xludf.DUMMYFUNCTION("""COMPUTED_VALUE"""),559800)</f>
        <v>559800</v>
      </c>
      <c r="I1227" s="1"/>
    </row>
    <row r="1228" spans="1:9">
      <c r="A1228" s="3">
        <f ca="1">IFERROR(__xludf.DUMMYFUNCTION("""COMPUTED_VALUE"""),30991.6666666666)</f>
        <v>30991.666666666599</v>
      </c>
      <c r="B1228" s="1">
        <f ca="1">IFERROR(__xludf.DUMMYFUNCTION("""COMPUTED_VALUE"""),2.18)</f>
        <v>2.1800000000000002</v>
      </c>
      <c r="C1228" s="1">
        <f ca="1">IFERROR(__xludf.DUMMYFUNCTION("""COMPUTED_VALUE"""),2.2)</f>
        <v>2.2000000000000002</v>
      </c>
      <c r="D1228" s="1">
        <f ca="1">IFERROR(__xludf.DUMMYFUNCTION("""COMPUTED_VALUE"""),2.16)</f>
        <v>2.16</v>
      </c>
      <c r="E1228" s="1">
        <f ca="1">IFERROR(__xludf.DUMMYFUNCTION("""COMPUTED_VALUE"""),2.18)</f>
        <v>2.1800000000000002</v>
      </c>
      <c r="F1228" s="1">
        <f ca="1">IFERROR(__xludf.DUMMYFUNCTION("""COMPUTED_VALUE"""),659300)</f>
        <v>659300</v>
      </c>
      <c r="I1228" s="1"/>
    </row>
    <row r="1229" spans="1:9">
      <c r="A1229" s="3">
        <f ca="1">IFERROR(__xludf.DUMMYFUNCTION("""COMPUTED_VALUE"""),30992.6666666666)</f>
        <v>30992.666666666599</v>
      </c>
      <c r="B1229" s="1">
        <f ca="1">IFERROR(__xludf.DUMMYFUNCTION("""COMPUTED_VALUE"""),2.24)</f>
        <v>2.2400000000000002</v>
      </c>
      <c r="C1229" s="1">
        <f ca="1">IFERROR(__xludf.DUMMYFUNCTION("""COMPUTED_VALUE"""),2.24)</f>
        <v>2.2400000000000002</v>
      </c>
      <c r="D1229" s="1">
        <f ca="1">IFERROR(__xludf.DUMMYFUNCTION("""COMPUTED_VALUE"""),2.18)</f>
        <v>2.1800000000000002</v>
      </c>
      <c r="E1229" s="1">
        <f ca="1">IFERROR(__xludf.DUMMYFUNCTION("""COMPUTED_VALUE"""),2.24)</f>
        <v>2.2400000000000002</v>
      </c>
      <c r="F1229" s="1">
        <f ca="1">IFERROR(__xludf.DUMMYFUNCTION("""COMPUTED_VALUE"""),1217900)</f>
        <v>1217900</v>
      </c>
      <c r="I1229" s="1"/>
    </row>
    <row r="1230" spans="1:9">
      <c r="A1230" s="3">
        <f ca="1">IFERROR(__xludf.DUMMYFUNCTION("""COMPUTED_VALUE"""),30993.6666666666)</f>
        <v>30993.666666666599</v>
      </c>
      <c r="B1230" s="1">
        <f ca="1">IFERROR(__xludf.DUMMYFUNCTION("""COMPUTED_VALUE"""),2.2)</f>
        <v>2.2000000000000002</v>
      </c>
      <c r="C1230" s="1">
        <f ca="1">IFERROR(__xludf.DUMMYFUNCTION("""COMPUTED_VALUE"""),2.23)</f>
        <v>2.23</v>
      </c>
      <c r="D1230" s="1">
        <f ca="1">IFERROR(__xludf.DUMMYFUNCTION("""COMPUTED_VALUE"""),2.16)</f>
        <v>2.16</v>
      </c>
      <c r="E1230" s="1">
        <f ca="1">IFERROR(__xludf.DUMMYFUNCTION("""COMPUTED_VALUE"""),2.2)</f>
        <v>2.2000000000000002</v>
      </c>
      <c r="F1230" s="1">
        <f ca="1">IFERROR(__xludf.DUMMYFUNCTION("""COMPUTED_VALUE"""),596000)</f>
        <v>596000</v>
      </c>
      <c r="I1230" s="1"/>
    </row>
    <row r="1231" spans="1:9">
      <c r="A1231" s="3">
        <f ca="1">IFERROR(__xludf.DUMMYFUNCTION("""COMPUTED_VALUE"""),30994.6666666666)</f>
        <v>30994.666666666599</v>
      </c>
      <c r="B1231" s="1">
        <f ca="1">IFERROR(__xludf.DUMMYFUNCTION("""COMPUTED_VALUE"""),2.16)</f>
        <v>2.16</v>
      </c>
      <c r="C1231" s="1">
        <f ca="1">IFERROR(__xludf.DUMMYFUNCTION("""COMPUTED_VALUE"""),2.2)</f>
        <v>2.2000000000000002</v>
      </c>
      <c r="D1231" s="1">
        <f ca="1">IFERROR(__xludf.DUMMYFUNCTION("""COMPUTED_VALUE"""),2.16)</f>
        <v>2.16</v>
      </c>
      <c r="E1231" s="1">
        <f ca="1">IFERROR(__xludf.DUMMYFUNCTION("""COMPUTED_VALUE"""),2.16)</f>
        <v>2.16</v>
      </c>
      <c r="F1231" s="1">
        <f ca="1">IFERROR(__xludf.DUMMYFUNCTION("""COMPUTED_VALUE"""),398300)</f>
        <v>398300</v>
      </c>
      <c r="I1231" s="1"/>
    </row>
    <row r="1232" spans="1:9">
      <c r="A1232" s="3">
        <f ca="1">IFERROR(__xludf.DUMMYFUNCTION("""COMPUTED_VALUE"""),30995.6666666666)</f>
        <v>30995.666666666599</v>
      </c>
      <c r="B1232" s="1">
        <f ca="1">IFERROR(__xludf.DUMMYFUNCTION("""COMPUTED_VALUE"""),2.1)</f>
        <v>2.1</v>
      </c>
      <c r="C1232" s="1">
        <f ca="1">IFERROR(__xludf.DUMMYFUNCTION("""COMPUTED_VALUE"""),2.2)</f>
        <v>2.2000000000000002</v>
      </c>
      <c r="D1232" s="1">
        <f ca="1">IFERROR(__xludf.DUMMYFUNCTION("""COMPUTED_VALUE"""),2.09)</f>
        <v>2.09</v>
      </c>
      <c r="E1232" s="1">
        <f ca="1">IFERROR(__xludf.DUMMYFUNCTION("""COMPUTED_VALUE"""),2.1)</f>
        <v>2.1</v>
      </c>
      <c r="F1232" s="1">
        <f ca="1">IFERROR(__xludf.DUMMYFUNCTION("""COMPUTED_VALUE"""),299000)</f>
        <v>299000</v>
      </c>
      <c r="I1232" s="1"/>
    </row>
    <row r="1233" spans="1:9">
      <c r="A1233" s="3">
        <f ca="1">IFERROR(__xludf.DUMMYFUNCTION("""COMPUTED_VALUE"""),30998.6666666666)</f>
        <v>30998.666666666599</v>
      </c>
      <c r="B1233" s="1">
        <f ca="1">IFERROR(__xludf.DUMMYFUNCTION("""COMPUTED_VALUE"""),2.14)</f>
        <v>2.14</v>
      </c>
      <c r="C1233" s="1">
        <f ca="1">IFERROR(__xludf.DUMMYFUNCTION("""COMPUTED_VALUE"""),2.14)</f>
        <v>2.14</v>
      </c>
      <c r="D1233" s="1">
        <f ca="1">IFERROR(__xludf.DUMMYFUNCTION("""COMPUTED_VALUE"""),2.07)</f>
        <v>2.0699999999999998</v>
      </c>
      <c r="E1233" s="1">
        <f ca="1">IFERROR(__xludf.DUMMYFUNCTION("""COMPUTED_VALUE"""),2.14)</f>
        <v>2.14</v>
      </c>
      <c r="F1233" s="1">
        <f ca="1">IFERROR(__xludf.DUMMYFUNCTION("""COMPUTED_VALUE"""),184000)</f>
        <v>184000</v>
      </c>
      <c r="I1233" s="1"/>
    </row>
    <row r="1234" spans="1:9">
      <c r="A1234" s="3">
        <f ca="1">IFERROR(__xludf.DUMMYFUNCTION("""COMPUTED_VALUE"""),30999.6666666666)</f>
        <v>30999.666666666599</v>
      </c>
      <c r="B1234" s="1">
        <f ca="1">IFERROR(__xludf.DUMMYFUNCTION("""COMPUTED_VALUE"""),2.12)</f>
        <v>2.12</v>
      </c>
      <c r="C1234" s="1">
        <f ca="1">IFERROR(__xludf.DUMMYFUNCTION("""COMPUTED_VALUE"""),2.16)</f>
        <v>2.16</v>
      </c>
      <c r="D1234" s="1">
        <f ca="1">IFERROR(__xludf.DUMMYFUNCTION("""COMPUTED_VALUE"""),2.09)</f>
        <v>2.09</v>
      </c>
      <c r="E1234" s="1">
        <f ca="1">IFERROR(__xludf.DUMMYFUNCTION("""COMPUTED_VALUE"""),2.12)</f>
        <v>2.12</v>
      </c>
      <c r="F1234" s="1">
        <f ca="1">IFERROR(__xludf.DUMMYFUNCTION("""COMPUTED_VALUE"""),248200)</f>
        <v>248200</v>
      </c>
      <c r="I1234" s="1"/>
    </row>
    <row r="1235" spans="1:9">
      <c r="A1235" s="3">
        <f ca="1">IFERROR(__xludf.DUMMYFUNCTION("""COMPUTED_VALUE"""),31000.6666666666)</f>
        <v>31000.666666666599</v>
      </c>
      <c r="B1235" s="1">
        <f ca="1">IFERROR(__xludf.DUMMYFUNCTION("""COMPUTED_VALUE"""),2.16)</f>
        <v>2.16</v>
      </c>
      <c r="C1235" s="1">
        <f ca="1">IFERROR(__xludf.DUMMYFUNCTION("""COMPUTED_VALUE"""),2.16)</f>
        <v>2.16</v>
      </c>
      <c r="D1235" s="1">
        <f ca="1">IFERROR(__xludf.DUMMYFUNCTION("""COMPUTED_VALUE"""),2.11)</f>
        <v>2.11</v>
      </c>
      <c r="E1235" s="1">
        <f ca="1">IFERROR(__xludf.DUMMYFUNCTION("""COMPUTED_VALUE"""),2.16)</f>
        <v>2.16</v>
      </c>
      <c r="F1235" s="1">
        <f ca="1">IFERROR(__xludf.DUMMYFUNCTION("""COMPUTED_VALUE"""),268500)</f>
        <v>268500</v>
      </c>
      <c r="I1235" s="1"/>
    </row>
    <row r="1236" spans="1:9">
      <c r="A1236" s="3">
        <f ca="1">IFERROR(__xludf.DUMMYFUNCTION("""COMPUTED_VALUE"""),31001.6666666666)</f>
        <v>31001.666666666599</v>
      </c>
      <c r="B1236" s="1">
        <f ca="1">IFERROR(__xludf.DUMMYFUNCTION("""COMPUTED_VALUE"""),2.12)</f>
        <v>2.12</v>
      </c>
      <c r="C1236" s="1">
        <f ca="1">IFERROR(__xludf.DUMMYFUNCTION("""COMPUTED_VALUE"""),2.15)</f>
        <v>2.15</v>
      </c>
      <c r="D1236" s="1">
        <f ca="1">IFERROR(__xludf.DUMMYFUNCTION("""COMPUTED_VALUE"""),2.12)</f>
        <v>2.12</v>
      </c>
      <c r="E1236" s="1">
        <f ca="1">IFERROR(__xludf.DUMMYFUNCTION("""COMPUTED_VALUE"""),2.12)</f>
        <v>2.12</v>
      </c>
      <c r="F1236" s="1">
        <f ca="1">IFERROR(__xludf.DUMMYFUNCTION("""COMPUTED_VALUE"""),249500)</f>
        <v>249500</v>
      </c>
      <c r="I1236" s="1"/>
    </row>
    <row r="1237" spans="1:9">
      <c r="A1237" s="3">
        <f ca="1">IFERROR(__xludf.DUMMYFUNCTION("""COMPUTED_VALUE"""),31002.6666666666)</f>
        <v>31002.666666666599</v>
      </c>
      <c r="B1237" s="1">
        <f ca="1">IFERROR(__xludf.DUMMYFUNCTION("""COMPUTED_VALUE"""),2.11)</f>
        <v>2.11</v>
      </c>
      <c r="C1237" s="1">
        <f ca="1">IFERROR(__xludf.DUMMYFUNCTION("""COMPUTED_VALUE"""),2.15)</f>
        <v>2.15</v>
      </c>
      <c r="D1237" s="1">
        <f ca="1">IFERROR(__xludf.DUMMYFUNCTION("""COMPUTED_VALUE"""),2.09)</f>
        <v>2.09</v>
      </c>
      <c r="E1237" s="1">
        <f ca="1">IFERROR(__xludf.DUMMYFUNCTION("""COMPUTED_VALUE"""),2.11)</f>
        <v>2.11</v>
      </c>
      <c r="F1237" s="1">
        <f ca="1">IFERROR(__xludf.DUMMYFUNCTION("""COMPUTED_VALUE"""),256800)</f>
        <v>256800</v>
      </c>
      <c r="I1237" s="1"/>
    </row>
    <row r="1238" spans="1:9">
      <c r="A1238" s="3">
        <f ca="1">IFERROR(__xludf.DUMMYFUNCTION("""COMPUTED_VALUE"""),31005.6666666666)</f>
        <v>31005.666666666599</v>
      </c>
      <c r="B1238" s="1">
        <f ca="1">IFERROR(__xludf.DUMMYFUNCTION("""COMPUTED_VALUE"""),2.15)</f>
        <v>2.15</v>
      </c>
      <c r="C1238" s="1">
        <f ca="1">IFERROR(__xludf.DUMMYFUNCTION("""COMPUTED_VALUE"""),2.16)</f>
        <v>2.16</v>
      </c>
      <c r="D1238" s="1">
        <f ca="1">IFERROR(__xludf.DUMMYFUNCTION("""COMPUTED_VALUE"""),2.12)</f>
        <v>2.12</v>
      </c>
      <c r="E1238" s="1">
        <f ca="1">IFERROR(__xludf.DUMMYFUNCTION("""COMPUTED_VALUE"""),2.15)</f>
        <v>2.15</v>
      </c>
      <c r="F1238" s="1">
        <f ca="1">IFERROR(__xludf.DUMMYFUNCTION("""COMPUTED_VALUE"""),283900)</f>
        <v>283900</v>
      </c>
      <c r="I1238" s="1"/>
    </row>
    <row r="1239" spans="1:9">
      <c r="A1239" s="3">
        <f ca="1">IFERROR(__xludf.DUMMYFUNCTION("""COMPUTED_VALUE"""),31006.6666666666)</f>
        <v>31006.666666666599</v>
      </c>
      <c r="B1239" s="1">
        <f ca="1">IFERROR(__xludf.DUMMYFUNCTION("""COMPUTED_VALUE"""),2.16)</f>
        <v>2.16</v>
      </c>
      <c r="C1239" s="1">
        <f ca="1">IFERROR(__xludf.DUMMYFUNCTION("""COMPUTED_VALUE"""),2.16)</f>
        <v>2.16</v>
      </c>
      <c r="D1239" s="1">
        <f ca="1">IFERROR(__xludf.DUMMYFUNCTION("""COMPUTED_VALUE"""),2.14)</f>
        <v>2.14</v>
      </c>
      <c r="E1239" s="1">
        <f ca="1">IFERROR(__xludf.DUMMYFUNCTION("""COMPUTED_VALUE"""),2.16)</f>
        <v>2.16</v>
      </c>
      <c r="F1239" s="1">
        <f ca="1">IFERROR(__xludf.DUMMYFUNCTION("""COMPUTED_VALUE"""),429300)</f>
        <v>429300</v>
      </c>
      <c r="I1239" s="1"/>
    </row>
    <row r="1240" spans="1:9">
      <c r="A1240" s="3">
        <f ca="1">IFERROR(__xludf.DUMMYFUNCTION("""COMPUTED_VALUE"""),31007.6666666666)</f>
        <v>31007.666666666599</v>
      </c>
      <c r="B1240" s="1">
        <f ca="1">IFERROR(__xludf.DUMMYFUNCTION("""COMPUTED_VALUE"""),2.21)</f>
        <v>2.21</v>
      </c>
      <c r="C1240" s="1">
        <f ca="1">IFERROR(__xludf.DUMMYFUNCTION("""COMPUTED_VALUE"""),2.24)</f>
        <v>2.2400000000000002</v>
      </c>
      <c r="D1240" s="1">
        <f ca="1">IFERROR(__xludf.DUMMYFUNCTION("""COMPUTED_VALUE"""),2.17)</f>
        <v>2.17</v>
      </c>
      <c r="E1240" s="1">
        <f ca="1">IFERROR(__xludf.DUMMYFUNCTION("""COMPUTED_VALUE"""),2.21)</f>
        <v>2.21</v>
      </c>
      <c r="F1240" s="1">
        <f ca="1">IFERROR(__xludf.DUMMYFUNCTION("""COMPUTED_VALUE"""),791800)</f>
        <v>791800</v>
      </c>
      <c r="I1240" s="1"/>
    </row>
    <row r="1241" spans="1:9">
      <c r="A1241" s="3">
        <f ca="1">IFERROR(__xludf.DUMMYFUNCTION("""COMPUTED_VALUE"""),31009.6666666666)</f>
        <v>31009.666666666599</v>
      </c>
      <c r="B1241" s="1">
        <f ca="1">IFERROR(__xludf.DUMMYFUNCTION("""COMPUTED_VALUE"""),2.26)</f>
        <v>2.2599999999999998</v>
      </c>
      <c r="C1241" s="1">
        <f ca="1">IFERROR(__xludf.DUMMYFUNCTION("""COMPUTED_VALUE"""),2.26)</f>
        <v>2.2599999999999998</v>
      </c>
      <c r="D1241" s="1">
        <f ca="1">IFERROR(__xludf.DUMMYFUNCTION("""COMPUTED_VALUE"""),2.22)</f>
        <v>2.2200000000000002</v>
      </c>
      <c r="E1241" s="1">
        <f ca="1">IFERROR(__xludf.DUMMYFUNCTION("""COMPUTED_VALUE"""),2.26)</f>
        <v>2.2599999999999998</v>
      </c>
      <c r="F1241" s="1">
        <f ca="1">IFERROR(__xludf.DUMMYFUNCTION("""COMPUTED_VALUE"""),668300)</f>
        <v>668300</v>
      </c>
      <c r="I1241" s="1"/>
    </row>
    <row r="1242" spans="1:9">
      <c r="A1242" s="3">
        <f ca="1">IFERROR(__xludf.DUMMYFUNCTION("""COMPUTED_VALUE"""),31012.6666666666)</f>
        <v>31012.666666666599</v>
      </c>
      <c r="B1242" s="1">
        <f ca="1">IFERROR(__xludf.DUMMYFUNCTION("""COMPUTED_VALUE"""),2.23)</f>
        <v>2.23</v>
      </c>
      <c r="C1242" s="1">
        <f ca="1">IFERROR(__xludf.DUMMYFUNCTION("""COMPUTED_VALUE"""),2.26)</f>
        <v>2.2599999999999998</v>
      </c>
      <c r="D1242" s="1">
        <f ca="1">IFERROR(__xludf.DUMMYFUNCTION("""COMPUTED_VALUE"""),2.22)</f>
        <v>2.2200000000000002</v>
      </c>
      <c r="E1242" s="1">
        <f ca="1">IFERROR(__xludf.DUMMYFUNCTION("""COMPUTED_VALUE"""),2.23)</f>
        <v>2.23</v>
      </c>
      <c r="F1242" s="1">
        <f ca="1">IFERROR(__xludf.DUMMYFUNCTION("""COMPUTED_VALUE"""),292400)</f>
        <v>292400</v>
      </c>
      <c r="I1242" s="1"/>
    </row>
    <row r="1243" spans="1:9">
      <c r="A1243" s="3">
        <f ca="1">IFERROR(__xludf.DUMMYFUNCTION("""COMPUTED_VALUE"""),31013.6666666666)</f>
        <v>31013.666666666599</v>
      </c>
      <c r="B1243" s="1">
        <f ca="1">IFERROR(__xludf.DUMMYFUNCTION("""COMPUTED_VALUE"""),2.27)</f>
        <v>2.27</v>
      </c>
      <c r="C1243" s="1">
        <f ca="1">IFERROR(__xludf.DUMMYFUNCTION("""COMPUTED_VALUE"""),2.27)</f>
        <v>2.27</v>
      </c>
      <c r="D1243" s="1">
        <f ca="1">IFERROR(__xludf.DUMMYFUNCTION("""COMPUTED_VALUE"""),2.22)</f>
        <v>2.2200000000000002</v>
      </c>
      <c r="E1243" s="1">
        <f ca="1">IFERROR(__xludf.DUMMYFUNCTION("""COMPUTED_VALUE"""),2.27)</f>
        <v>2.27</v>
      </c>
      <c r="F1243" s="1">
        <f ca="1">IFERROR(__xludf.DUMMYFUNCTION("""COMPUTED_VALUE"""),694700)</f>
        <v>694700</v>
      </c>
      <c r="I1243" s="1"/>
    </row>
    <row r="1244" spans="1:9">
      <c r="A1244" s="3">
        <f ca="1">IFERROR(__xludf.DUMMYFUNCTION("""COMPUTED_VALUE"""),31014.6666666666)</f>
        <v>31014.666666666599</v>
      </c>
      <c r="B1244" s="1">
        <f ca="1">IFERROR(__xludf.DUMMYFUNCTION("""COMPUTED_VALUE"""),2.23)</f>
        <v>2.23</v>
      </c>
      <c r="C1244" s="1">
        <f ca="1">IFERROR(__xludf.DUMMYFUNCTION("""COMPUTED_VALUE"""),2.29)</f>
        <v>2.29</v>
      </c>
      <c r="D1244" s="1">
        <f ca="1">IFERROR(__xludf.DUMMYFUNCTION("""COMPUTED_VALUE"""),2.21)</f>
        <v>2.21</v>
      </c>
      <c r="E1244" s="1">
        <f ca="1">IFERROR(__xludf.DUMMYFUNCTION("""COMPUTED_VALUE"""),2.23)</f>
        <v>2.23</v>
      </c>
      <c r="F1244" s="1">
        <f ca="1">IFERROR(__xludf.DUMMYFUNCTION("""COMPUTED_VALUE"""),457100)</f>
        <v>457100</v>
      </c>
      <c r="I1244" s="1"/>
    </row>
    <row r="1245" spans="1:9">
      <c r="A1245" s="3">
        <f ca="1">IFERROR(__xludf.DUMMYFUNCTION("""COMPUTED_VALUE"""),31015.6666666666)</f>
        <v>31015.666666666599</v>
      </c>
      <c r="B1245" s="1">
        <f ca="1">IFERROR(__xludf.DUMMYFUNCTION("""COMPUTED_VALUE"""),2.2)</f>
        <v>2.2000000000000002</v>
      </c>
      <c r="C1245" s="1">
        <f ca="1">IFERROR(__xludf.DUMMYFUNCTION("""COMPUTED_VALUE"""),2.23)</f>
        <v>2.23</v>
      </c>
      <c r="D1245" s="1">
        <f ca="1">IFERROR(__xludf.DUMMYFUNCTION("""COMPUTED_VALUE"""),2.2)</f>
        <v>2.2000000000000002</v>
      </c>
      <c r="E1245" s="1">
        <f ca="1">IFERROR(__xludf.DUMMYFUNCTION("""COMPUTED_VALUE"""),2.2)</f>
        <v>2.2000000000000002</v>
      </c>
      <c r="F1245" s="1">
        <f ca="1">IFERROR(__xludf.DUMMYFUNCTION("""COMPUTED_VALUE"""),227200)</f>
        <v>227200</v>
      </c>
      <c r="I1245" s="1"/>
    </row>
    <row r="1246" spans="1:9">
      <c r="A1246" s="3">
        <f ca="1">IFERROR(__xludf.DUMMYFUNCTION("""COMPUTED_VALUE"""),31016.6666666666)</f>
        <v>31016.666666666599</v>
      </c>
      <c r="B1246" s="1">
        <f ca="1">IFERROR(__xludf.DUMMYFUNCTION("""COMPUTED_VALUE"""),2.22)</f>
        <v>2.2200000000000002</v>
      </c>
      <c r="C1246" s="1">
        <f ca="1">IFERROR(__xludf.DUMMYFUNCTION("""COMPUTED_VALUE"""),2.22)</f>
        <v>2.2200000000000002</v>
      </c>
      <c r="D1246" s="1">
        <f ca="1">IFERROR(__xludf.DUMMYFUNCTION("""COMPUTED_VALUE"""),2.18)</f>
        <v>2.1800000000000002</v>
      </c>
      <c r="E1246" s="1">
        <f ca="1">IFERROR(__xludf.DUMMYFUNCTION("""COMPUTED_VALUE"""),2.22)</f>
        <v>2.2200000000000002</v>
      </c>
      <c r="F1246" s="1">
        <f ca="1">IFERROR(__xludf.DUMMYFUNCTION("""COMPUTED_VALUE"""),186900)</f>
        <v>186900</v>
      </c>
      <c r="I1246" s="1"/>
    </row>
    <row r="1247" spans="1:9">
      <c r="A1247" s="3">
        <f ca="1">IFERROR(__xludf.DUMMYFUNCTION("""COMPUTED_VALUE"""),31019.6666666666)</f>
        <v>31019.666666666599</v>
      </c>
      <c r="B1247" s="1">
        <f ca="1">IFERROR(__xludf.DUMMYFUNCTION("""COMPUTED_VALUE"""),2.22)</f>
        <v>2.2200000000000002</v>
      </c>
      <c r="C1247" s="1">
        <f ca="1">IFERROR(__xludf.DUMMYFUNCTION("""COMPUTED_VALUE"""),2.23)</f>
        <v>2.23</v>
      </c>
      <c r="D1247" s="1">
        <f ca="1">IFERROR(__xludf.DUMMYFUNCTION("""COMPUTED_VALUE"""),2.2)</f>
        <v>2.2000000000000002</v>
      </c>
      <c r="E1247" s="1">
        <f ca="1">IFERROR(__xludf.DUMMYFUNCTION("""COMPUTED_VALUE"""),2.22)</f>
        <v>2.2200000000000002</v>
      </c>
      <c r="F1247" s="1">
        <f ca="1">IFERROR(__xludf.DUMMYFUNCTION("""COMPUTED_VALUE"""),290400)</f>
        <v>290400</v>
      </c>
      <c r="I1247" s="1"/>
    </row>
    <row r="1248" spans="1:9">
      <c r="A1248" s="3">
        <f ca="1">IFERROR(__xludf.DUMMYFUNCTION("""COMPUTED_VALUE"""),31020.6666666666)</f>
        <v>31020.666666666599</v>
      </c>
      <c r="B1248" s="1">
        <f ca="1">IFERROR(__xludf.DUMMYFUNCTION("""COMPUTED_VALUE"""),2.23)</f>
        <v>2.23</v>
      </c>
      <c r="C1248" s="1">
        <f ca="1">IFERROR(__xludf.DUMMYFUNCTION("""COMPUTED_VALUE"""),2.26)</f>
        <v>2.2599999999999998</v>
      </c>
      <c r="D1248" s="1">
        <f ca="1">IFERROR(__xludf.DUMMYFUNCTION("""COMPUTED_VALUE"""),2.22)</f>
        <v>2.2200000000000002</v>
      </c>
      <c r="E1248" s="1">
        <f ca="1">IFERROR(__xludf.DUMMYFUNCTION("""COMPUTED_VALUE"""),2.23)</f>
        <v>2.23</v>
      </c>
      <c r="F1248" s="1">
        <f ca="1">IFERROR(__xludf.DUMMYFUNCTION("""COMPUTED_VALUE"""),375100)</f>
        <v>375100</v>
      </c>
      <c r="I1248" s="1"/>
    </row>
    <row r="1249" spans="1:9">
      <c r="A1249" s="3">
        <f ca="1">IFERROR(__xludf.DUMMYFUNCTION("""COMPUTED_VALUE"""),31021.6666666666)</f>
        <v>31021.666666666599</v>
      </c>
      <c r="B1249" s="1">
        <f ca="1">IFERROR(__xludf.DUMMYFUNCTION("""COMPUTED_VALUE"""),2.2)</f>
        <v>2.2000000000000002</v>
      </c>
      <c r="C1249" s="1">
        <f ca="1">IFERROR(__xludf.DUMMYFUNCTION("""COMPUTED_VALUE"""),2.23)</f>
        <v>2.23</v>
      </c>
      <c r="D1249" s="1">
        <f ca="1">IFERROR(__xludf.DUMMYFUNCTION("""COMPUTED_VALUE"""),2.2)</f>
        <v>2.2000000000000002</v>
      </c>
      <c r="E1249" s="1">
        <f ca="1">IFERROR(__xludf.DUMMYFUNCTION("""COMPUTED_VALUE"""),2.2)</f>
        <v>2.2000000000000002</v>
      </c>
      <c r="F1249" s="1">
        <f ca="1">IFERROR(__xludf.DUMMYFUNCTION("""COMPUTED_VALUE"""),137900)</f>
        <v>137900</v>
      </c>
      <c r="I1249" s="1"/>
    </row>
    <row r="1250" spans="1:9">
      <c r="A1250" s="3">
        <f ca="1">IFERROR(__xludf.DUMMYFUNCTION("""COMPUTED_VALUE"""),31022.6666666666)</f>
        <v>31022.666666666599</v>
      </c>
      <c r="B1250" s="1">
        <f ca="1">IFERROR(__xludf.DUMMYFUNCTION("""COMPUTED_VALUE"""),2.2)</f>
        <v>2.2000000000000002</v>
      </c>
      <c r="C1250" s="1">
        <f ca="1">IFERROR(__xludf.DUMMYFUNCTION("""COMPUTED_VALUE"""),2.22)</f>
        <v>2.2200000000000002</v>
      </c>
      <c r="D1250" s="1">
        <f ca="1">IFERROR(__xludf.DUMMYFUNCTION("""COMPUTED_VALUE"""),2.18)</f>
        <v>2.1800000000000002</v>
      </c>
      <c r="E1250" s="1">
        <f ca="1">IFERROR(__xludf.DUMMYFUNCTION("""COMPUTED_VALUE"""),2.2)</f>
        <v>2.2000000000000002</v>
      </c>
      <c r="F1250" s="1">
        <f ca="1">IFERROR(__xludf.DUMMYFUNCTION("""COMPUTED_VALUE"""),257900)</f>
        <v>257900</v>
      </c>
      <c r="I1250" s="1"/>
    </row>
    <row r="1251" spans="1:9">
      <c r="A1251" s="3">
        <f ca="1">IFERROR(__xludf.DUMMYFUNCTION("""COMPUTED_VALUE"""),31023.6666666666)</f>
        <v>31023.666666666599</v>
      </c>
      <c r="B1251" s="1">
        <f ca="1">IFERROR(__xludf.DUMMYFUNCTION("""COMPUTED_VALUE"""),2.14)</f>
        <v>2.14</v>
      </c>
      <c r="C1251" s="1">
        <f ca="1">IFERROR(__xludf.DUMMYFUNCTION("""COMPUTED_VALUE"""),2.21)</f>
        <v>2.21</v>
      </c>
      <c r="D1251" s="1">
        <f ca="1">IFERROR(__xludf.DUMMYFUNCTION("""COMPUTED_VALUE"""),2.14)</f>
        <v>2.14</v>
      </c>
      <c r="E1251" s="1">
        <f ca="1">IFERROR(__xludf.DUMMYFUNCTION("""COMPUTED_VALUE"""),2.14)</f>
        <v>2.14</v>
      </c>
      <c r="F1251" s="1">
        <f ca="1">IFERROR(__xludf.DUMMYFUNCTION("""COMPUTED_VALUE"""),312600)</f>
        <v>312600</v>
      </c>
      <c r="I1251" s="1"/>
    </row>
    <row r="1252" spans="1:9">
      <c r="A1252" s="3">
        <f ca="1">IFERROR(__xludf.DUMMYFUNCTION("""COMPUTED_VALUE"""),31026.6666666666)</f>
        <v>31026.666666666599</v>
      </c>
      <c r="B1252" s="1">
        <f ca="1">IFERROR(__xludf.DUMMYFUNCTION("""COMPUTED_VALUE"""),2.16)</f>
        <v>2.16</v>
      </c>
      <c r="C1252" s="1">
        <f ca="1">IFERROR(__xludf.DUMMYFUNCTION("""COMPUTED_VALUE"""),2.2)</f>
        <v>2.2000000000000002</v>
      </c>
      <c r="D1252" s="1">
        <f ca="1">IFERROR(__xludf.DUMMYFUNCTION("""COMPUTED_VALUE"""),2.11)</f>
        <v>2.11</v>
      </c>
      <c r="E1252" s="1">
        <f ca="1">IFERROR(__xludf.DUMMYFUNCTION("""COMPUTED_VALUE"""),2.16)</f>
        <v>2.16</v>
      </c>
      <c r="F1252" s="1">
        <f ca="1">IFERROR(__xludf.DUMMYFUNCTION("""COMPUTED_VALUE"""),379600)</f>
        <v>379600</v>
      </c>
      <c r="I1252" s="1"/>
    </row>
    <row r="1253" spans="1:9">
      <c r="A1253" s="3">
        <f ca="1">IFERROR(__xludf.DUMMYFUNCTION("""COMPUTED_VALUE"""),31027.6666666666)</f>
        <v>31027.666666666599</v>
      </c>
      <c r="B1253" s="1">
        <f ca="1">IFERROR(__xludf.DUMMYFUNCTION("""COMPUTED_VALUE"""),2.23)</f>
        <v>2.23</v>
      </c>
      <c r="C1253" s="1">
        <f ca="1">IFERROR(__xludf.DUMMYFUNCTION("""COMPUTED_VALUE"""),2.23)</f>
        <v>2.23</v>
      </c>
      <c r="D1253" s="1">
        <f ca="1">IFERROR(__xludf.DUMMYFUNCTION("""COMPUTED_VALUE"""),2.16)</f>
        <v>2.16</v>
      </c>
      <c r="E1253" s="1">
        <f ca="1">IFERROR(__xludf.DUMMYFUNCTION("""COMPUTED_VALUE"""),2.23)</f>
        <v>2.23</v>
      </c>
      <c r="F1253" s="1">
        <f ca="1">IFERROR(__xludf.DUMMYFUNCTION("""COMPUTED_VALUE"""),877900)</f>
        <v>877900</v>
      </c>
      <c r="I1253" s="1"/>
    </row>
    <row r="1254" spans="1:9">
      <c r="A1254" s="3">
        <f ca="1">IFERROR(__xludf.DUMMYFUNCTION("""COMPUTED_VALUE"""),31028.6666666666)</f>
        <v>31028.666666666599</v>
      </c>
      <c r="B1254" s="1">
        <f ca="1">IFERROR(__xludf.DUMMYFUNCTION("""COMPUTED_VALUE"""),2.21)</f>
        <v>2.21</v>
      </c>
      <c r="C1254" s="1">
        <f ca="1">IFERROR(__xludf.DUMMYFUNCTION("""COMPUTED_VALUE"""),2.26)</f>
        <v>2.2599999999999998</v>
      </c>
      <c r="D1254" s="1">
        <f ca="1">IFERROR(__xludf.DUMMYFUNCTION("""COMPUTED_VALUE"""),2.21)</f>
        <v>2.21</v>
      </c>
      <c r="E1254" s="1">
        <f ca="1">IFERROR(__xludf.DUMMYFUNCTION("""COMPUTED_VALUE"""),2.21)</f>
        <v>2.21</v>
      </c>
      <c r="F1254" s="1">
        <f ca="1">IFERROR(__xludf.DUMMYFUNCTION("""COMPUTED_VALUE"""),616700)</f>
        <v>616700</v>
      </c>
      <c r="I1254" s="1"/>
    </row>
    <row r="1255" spans="1:9">
      <c r="A1255" s="3">
        <f ca="1">IFERROR(__xludf.DUMMYFUNCTION("""COMPUTED_VALUE"""),31029.6666666666)</f>
        <v>31029.666666666599</v>
      </c>
      <c r="B1255" s="1">
        <f ca="1">IFERROR(__xludf.DUMMYFUNCTION("""COMPUTED_VALUE"""),2.21)</f>
        <v>2.21</v>
      </c>
      <c r="C1255" s="1">
        <f ca="1">IFERROR(__xludf.DUMMYFUNCTION("""COMPUTED_VALUE"""),2.23)</f>
        <v>2.23</v>
      </c>
      <c r="D1255" s="1">
        <f ca="1">IFERROR(__xludf.DUMMYFUNCTION("""COMPUTED_VALUE"""),2.19)</f>
        <v>2.19</v>
      </c>
      <c r="E1255" s="1">
        <f ca="1">IFERROR(__xludf.DUMMYFUNCTION("""COMPUTED_VALUE"""),2.21)</f>
        <v>2.21</v>
      </c>
      <c r="F1255" s="1">
        <f ca="1">IFERROR(__xludf.DUMMYFUNCTION("""COMPUTED_VALUE"""),406800)</f>
        <v>406800</v>
      </c>
      <c r="I1255" s="1"/>
    </row>
    <row r="1256" spans="1:9">
      <c r="A1256" s="3">
        <f ca="1">IFERROR(__xludf.DUMMYFUNCTION("""COMPUTED_VALUE"""),31030.6666666666)</f>
        <v>31030.666666666599</v>
      </c>
      <c r="B1256" s="1">
        <f ca="1">IFERROR(__xludf.DUMMYFUNCTION("""COMPUTED_VALUE"""),2.23)</f>
        <v>2.23</v>
      </c>
      <c r="C1256" s="1">
        <f ca="1">IFERROR(__xludf.DUMMYFUNCTION("""COMPUTED_VALUE"""),2.26)</f>
        <v>2.2599999999999998</v>
      </c>
      <c r="D1256" s="1">
        <f ca="1">IFERROR(__xludf.DUMMYFUNCTION("""COMPUTED_VALUE"""),2.21)</f>
        <v>2.21</v>
      </c>
      <c r="E1256" s="1">
        <f ca="1">IFERROR(__xludf.DUMMYFUNCTION("""COMPUTED_VALUE"""),2.23)</f>
        <v>2.23</v>
      </c>
      <c r="F1256" s="1">
        <f ca="1">IFERROR(__xludf.DUMMYFUNCTION("""COMPUTED_VALUE"""),268500)</f>
        <v>268500</v>
      </c>
      <c r="I1256" s="1"/>
    </row>
    <row r="1257" spans="1:9">
      <c r="A1257" s="3">
        <f ca="1">IFERROR(__xludf.DUMMYFUNCTION("""COMPUTED_VALUE"""),31033.6666666666)</f>
        <v>31033.666666666599</v>
      </c>
      <c r="B1257" s="1">
        <f ca="1">IFERROR(__xludf.DUMMYFUNCTION("""COMPUTED_VALUE"""),2.26)</f>
        <v>2.2599999999999998</v>
      </c>
      <c r="C1257" s="1">
        <f ca="1">IFERROR(__xludf.DUMMYFUNCTION("""COMPUTED_VALUE"""),2.26)</f>
        <v>2.2599999999999998</v>
      </c>
      <c r="D1257" s="1">
        <f ca="1">IFERROR(__xludf.DUMMYFUNCTION("""COMPUTED_VALUE"""),2.23)</f>
        <v>2.23</v>
      </c>
      <c r="E1257" s="1">
        <f ca="1">IFERROR(__xludf.DUMMYFUNCTION("""COMPUTED_VALUE"""),2.26)</f>
        <v>2.2599999999999998</v>
      </c>
      <c r="F1257" s="1">
        <f ca="1">IFERROR(__xludf.DUMMYFUNCTION("""COMPUTED_VALUE"""),246700)</f>
        <v>246700</v>
      </c>
      <c r="I1257" s="1"/>
    </row>
    <row r="1258" spans="1:9">
      <c r="A1258" s="3">
        <f ca="1">IFERROR(__xludf.DUMMYFUNCTION("""COMPUTED_VALUE"""),31034.6666666666)</f>
        <v>31034.666666666599</v>
      </c>
      <c r="B1258" s="1">
        <f ca="1">IFERROR(__xludf.DUMMYFUNCTION("""COMPUTED_VALUE"""),2.3)</f>
        <v>2.2999999999999998</v>
      </c>
      <c r="C1258" s="1">
        <f ca="1">IFERROR(__xludf.DUMMYFUNCTION("""COMPUTED_VALUE"""),2.31)</f>
        <v>2.31</v>
      </c>
      <c r="D1258" s="1">
        <f ca="1">IFERROR(__xludf.DUMMYFUNCTION("""COMPUTED_VALUE"""),2.27)</f>
        <v>2.27</v>
      </c>
      <c r="E1258" s="1">
        <f ca="1">IFERROR(__xludf.DUMMYFUNCTION("""COMPUTED_VALUE"""),2.3)</f>
        <v>2.2999999999999998</v>
      </c>
      <c r="F1258" s="1">
        <f ca="1">IFERROR(__xludf.DUMMYFUNCTION("""COMPUTED_VALUE"""),963600)</f>
        <v>963600</v>
      </c>
      <c r="I1258" s="1"/>
    </row>
    <row r="1259" spans="1:9">
      <c r="A1259" s="3">
        <f ca="1">IFERROR(__xludf.DUMMYFUNCTION("""COMPUTED_VALUE"""),31035.6666666666)</f>
        <v>31035.666666666599</v>
      </c>
      <c r="B1259" s="1">
        <f ca="1">IFERROR(__xludf.DUMMYFUNCTION("""COMPUTED_VALUE"""),2.3)</f>
        <v>2.2999999999999998</v>
      </c>
      <c r="C1259" s="1">
        <f ca="1">IFERROR(__xludf.DUMMYFUNCTION("""COMPUTED_VALUE"""),2.33)</f>
        <v>2.33</v>
      </c>
      <c r="D1259" s="1">
        <f ca="1">IFERROR(__xludf.DUMMYFUNCTION("""COMPUTED_VALUE"""),2.28)</f>
        <v>2.2799999999999998</v>
      </c>
      <c r="E1259" s="1">
        <f ca="1">IFERROR(__xludf.DUMMYFUNCTION("""COMPUTED_VALUE"""),2.3)</f>
        <v>2.2999999999999998</v>
      </c>
      <c r="F1259" s="1">
        <f ca="1">IFERROR(__xludf.DUMMYFUNCTION("""COMPUTED_VALUE"""),744200)</f>
        <v>744200</v>
      </c>
      <c r="I1259" s="1"/>
    </row>
    <row r="1260" spans="1:9">
      <c r="A1260" s="3">
        <f ca="1">IFERROR(__xludf.DUMMYFUNCTION("""COMPUTED_VALUE"""),31036.6666666666)</f>
        <v>31036.666666666599</v>
      </c>
      <c r="B1260" s="1">
        <f ca="1">IFERROR(__xludf.DUMMYFUNCTION("""COMPUTED_VALUE"""),2.27)</f>
        <v>2.27</v>
      </c>
      <c r="C1260" s="1">
        <f ca="1">IFERROR(__xludf.DUMMYFUNCTION("""COMPUTED_VALUE"""),2.31)</f>
        <v>2.31</v>
      </c>
      <c r="D1260" s="1">
        <f ca="1">IFERROR(__xludf.DUMMYFUNCTION("""COMPUTED_VALUE"""),2.27)</f>
        <v>2.27</v>
      </c>
      <c r="E1260" s="1">
        <f ca="1">IFERROR(__xludf.DUMMYFUNCTION("""COMPUTED_VALUE"""),2.27)</f>
        <v>2.27</v>
      </c>
      <c r="F1260" s="1">
        <f ca="1">IFERROR(__xludf.DUMMYFUNCTION("""COMPUTED_VALUE"""),265600)</f>
        <v>265600</v>
      </c>
      <c r="I1260" s="1"/>
    </row>
    <row r="1261" spans="1:9">
      <c r="A1261" s="3">
        <f ca="1">IFERROR(__xludf.DUMMYFUNCTION("""COMPUTED_VALUE"""),31037.6666666666)</f>
        <v>31037.666666666599</v>
      </c>
      <c r="B1261" s="1">
        <f ca="1">IFERROR(__xludf.DUMMYFUNCTION("""COMPUTED_VALUE"""),2.27)</f>
        <v>2.27</v>
      </c>
      <c r="C1261" s="1">
        <f ca="1">IFERROR(__xludf.DUMMYFUNCTION("""COMPUTED_VALUE"""),2.27)</f>
        <v>2.27</v>
      </c>
      <c r="D1261" s="1">
        <f ca="1">IFERROR(__xludf.DUMMYFUNCTION("""COMPUTED_VALUE"""),2.22)</f>
        <v>2.2200000000000002</v>
      </c>
      <c r="E1261" s="1">
        <f ca="1">IFERROR(__xludf.DUMMYFUNCTION("""COMPUTED_VALUE"""),2.27)</f>
        <v>2.27</v>
      </c>
      <c r="F1261" s="1">
        <f ca="1">IFERROR(__xludf.DUMMYFUNCTION("""COMPUTED_VALUE"""),371200)</f>
        <v>371200</v>
      </c>
      <c r="I1261" s="1"/>
    </row>
    <row r="1262" spans="1:9">
      <c r="A1262" s="3">
        <f ca="1">IFERROR(__xludf.DUMMYFUNCTION("""COMPUTED_VALUE"""),31040.6666666666)</f>
        <v>31040.666666666599</v>
      </c>
      <c r="B1262" s="1">
        <f ca="1">IFERROR(__xludf.DUMMYFUNCTION("""COMPUTED_VALUE"""),2.27)</f>
        <v>2.27</v>
      </c>
      <c r="C1262" s="1">
        <f ca="1">IFERROR(__xludf.DUMMYFUNCTION("""COMPUTED_VALUE"""),2.28)</f>
        <v>2.2799999999999998</v>
      </c>
      <c r="D1262" s="1">
        <f ca="1">IFERROR(__xludf.DUMMYFUNCTION("""COMPUTED_VALUE"""),2.25)</f>
        <v>2.25</v>
      </c>
      <c r="E1262" s="1">
        <f ca="1">IFERROR(__xludf.DUMMYFUNCTION("""COMPUTED_VALUE"""),2.27)</f>
        <v>2.27</v>
      </c>
      <c r="F1262" s="1">
        <f ca="1">IFERROR(__xludf.DUMMYFUNCTION("""COMPUTED_VALUE"""),104600)</f>
        <v>104600</v>
      </c>
      <c r="I1262" s="1"/>
    </row>
    <row r="1263" spans="1:9">
      <c r="A1263" s="3">
        <f ca="1">IFERROR(__xludf.DUMMYFUNCTION("""COMPUTED_VALUE"""),31042.6666666666)</f>
        <v>31042.666666666599</v>
      </c>
      <c r="B1263" s="1">
        <f ca="1">IFERROR(__xludf.DUMMYFUNCTION("""COMPUTED_VALUE"""),2.25)</f>
        <v>2.25</v>
      </c>
      <c r="C1263" s="1">
        <f ca="1">IFERROR(__xludf.DUMMYFUNCTION("""COMPUTED_VALUE"""),2.26)</f>
        <v>2.2599999999999998</v>
      </c>
      <c r="D1263" s="1">
        <f ca="1">IFERROR(__xludf.DUMMYFUNCTION("""COMPUTED_VALUE"""),2.23)</f>
        <v>2.23</v>
      </c>
      <c r="E1263" s="1">
        <f ca="1">IFERROR(__xludf.DUMMYFUNCTION("""COMPUTED_VALUE"""),2.25)</f>
        <v>2.25</v>
      </c>
      <c r="F1263" s="1">
        <f ca="1">IFERROR(__xludf.DUMMYFUNCTION("""COMPUTED_VALUE"""),182800)</f>
        <v>182800</v>
      </c>
      <c r="I1263" s="1"/>
    </row>
    <row r="1264" spans="1:9">
      <c r="A1264" s="3">
        <f ca="1">IFERROR(__xludf.DUMMYFUNCTION("""COMPUTED_VALUE"""),31043.6666666666)</f>
        <v>31043.666666666599</v>
      </c>
      <c r="B1264" s="1">
        <f ca="1">IFERROR(__xludf.DUMMYFUNCTION("""COMPUTED_VALUE"""),2.23)</f>
        <v>2.23</v>
      </c>
      <c r="C1264" s="1">
        <f ca="1">IFERROR(__xludf.DUMMYFUNCTION("""COMPUTED_VALUE"""),2.27)</f>
        <v>2.27</v>
      </c>
      <c r="D1264" s="1">
        <f ca="1">IFERROR(__xludf.DUMMYFUNCTION("""COMPUTED_VALUE"""),2.23)</f>
        <v>2.23</v>
      </c>
      <c r="E1264" s="1">
        <f ca="1">IFERROR(__xludf.DUMMYFUNCTION("""COMPUTED_VALUE"""),2.23)</f>
        <v>2.23</v>
      </c>
      <c r="F1264" s="1">
        <f ca="1">IFERROR(__xludf.DUMMYFUNCTION("""COMPUTED_VALUE"""),284200)</f>
        <v>284200</v>
      </c>
      <c r="I1264" s="1"/>
    </row>
    <row r="1265" spans="1:9">
      <c r="A1265" s="3">
        <f ca="1">IFERROR(__xludf.DUMMYFUNCTION("""COMPUTED_VALUE"""),31044.6666666666)</f>
        <v>31044.666666666599</v>
      </c>
      <c r="B1265" s="1">
        <f ca="1">IFERROR(__xludf.DUMMYFUNCTION("""COMPUTED_VALUE"""),2.24)</f>
        <v>2.2400000000000002</v>
      </c>
      <c r="C1265" s="1">
        <f ca="1">IFERROR(__xludf.DUMMYFUNCTION("""COMPUTED_VALUE"""),2.25)</f>
        <v>2.25</v>
      </c>
      <c r="D1265" s="1">
        <f ca="1">IFERROR(__xludf.DUMMYFUNCTION("""COMPUTED_VALUE"""),2.23)</f>
        <v>2.23</v>
      </c>
      <c r="E1265" s="1">
        <f ca="1">IFERROR(__xludf.DUMMYFUNCTION("""COMPUTED_VALUE"""),2.24)</f>
        <v>2.2400000000000002</v>
      </c>
      <c r="F1265" s="1">
        <f ca="1">IFERROR(__xludf.DUMMYFUNCTION("""COMPUTED_VALUE"""),197100)</f>
        <v>197100</v>
      </c>
      <c r="I1265" s="1"/>
    </row>
    <row r="1266" spans="1:9">
      <c r="A1266" s="3">
        <f ca="1">IFERROR(__xludf.DUMMYFUNCTION("""COMPUTED_VALUE"""),31047.6666666666)</f>
        <v>31047.666666666599</v>
      </c>
      <c r="B1266" s="1">
        <f ca="1">IFERROR(__xludf.DUMMYFUNCTION("""COMPUTED_VALUE"""),2.26)</f>
        <v>2.2599999999999998</v>
      </c>
      <c r="C1266" s="1">
        <f ca="1">IFERROR(__xludf.DUMMYFUNCTION("""COMPUTED_VALUE"""),2.28)</f>
        <v>2.2799999999999998</v>
      </c>
      <c r="D1266" s="1">
        <f ca="1">IFERROR(__xludf.DUMMYFUNCTION("""COMPUTED_VALUE"""),2.23)</f>
        <v>2.23</v>
      </c>
      <c r="E1266" s="1">
        <f ca="1">IFERROR(__xludf.DUMMYFUNCTION("""COMPUTED_VALUE"""),2.26)</f>
        <v>2.2599999999999998</v>
      </c>
      <c r="F1266" s="1">
        <f ca="1">IFERROR(__xludf.DUMMYFUNCTION("""COMPUTED_VALUE"""),264600)</f>
        <v>264600</v>
      </c>
      <c r="I1266" s="1"/>
    </row>
    <row r="1267" spans="1:9">
      <c r="A1267" s="3">
        <f ca="1">IFERROR(__xludf.DUMMYFUNCTION("""COMPUTED_VALUE"""),31049.6666666666)</f>
        <v>31049.666666666599</v>
      </c>
      <c r="B1267" s="1">
        <f ca="1">IFERROR(__xludf.DUMMYFUNCTION("""COMPUTED_VALUE"""),2.23)</f>
        <v>2.23</v>
      </c>
      <c r="C1267" s="1">
        <f ca="1">IFERROR(__xludf.DUMMYFUNCTION("""COMPUTED_VALUE"""),2.25)</f>
        <v>2.25</v>
      </c>
      <c r="D1267" s="1">
        <f ca="1">IFERROR(__xludf.DUMMYFUNCTION("""COMPUTED_VALUE"""),2.22)</f>
        <v>2.2200000000000002</v>
      </c>
      <c r="E1267" s="1">
        <f ca="1">IFERROR(__xludf.DUMMYFUNCTION("""COMPUTED_VALUE"""),2.23)</f>
        <v>2.23</v>
      </c>
      <c r="F1267" s="1">
        <f ca="1">IFERROR(__xludf.DUMMYFUNCTION("""COMPUTED_VALUE"""),210100)</f>
        <v>210100</v>
      </c>
      <c r="I1267" s="1"/>
    </row>
    <row r="1268" spans="1:9">
      <c r="A1268" s="3">
        <f ca="1">IFERROR(__xludf.DUMMYFUNCTION("""COMPUTED_VALUE"""),31050.6666666666)</f>
        <v>31050.666666666599</v>
      </c>
      <c r="B1268" s="1">
        <f ca="1">IFERROR(__xludf.DUMMYFUNCTION("""COMPUTED_VALUE"""),2.2)</f>
        <v>2.2000000000000002</v>
      </c>
      <c r="C1268" s="1">
        <f ca="1">IFERROR(__xludf.DUMMYFUNCTION("""COMPUTED_VALUE"""),2.26)</f>
        <v>2.2599999999999998</v>
      </c>
      <c r="D1268" s="1">
        <f ca="1">IFERROR(__xludf.DUMMYFUNCTION("""COMPUTED_VALUE"""),2.2)</f>
        <v>2.2000000000000002</v>
      </c>
      <c r="E1268" s="1">
        <f ca="1">IFERROR(__xludf.DUMMYFUNCTION("""COMPUTED_VALUE"""),2.2)</f>
        <v>2.2000000000000002</v>
      </c>
      <c r="F1268" s="1">
        <f ca="1">IFERROR(__xludf.DUMMYFUNCTION("""COMPUTED_VALUE"""),363700)</f>
        <v>363700</v>
      </c>
      <c r="I1268" s="1"/>
    </row>
    <row r="1269" spans="1:9">
      <c r="A1269" s="3">
        <f ca="1">IFERROR(__xludf.DUMMYFUNCTION("""COMPUTED_VALUE"""),31051.6666666666)</f>
        <v>31051.666666666599</v>
      </c>
      <c r="B1269" s="1">
        <f ca="1">IFERROR(__xludf.DUMMYFUNCTION("""COMPUTED_VALUE"""),2.23)</f>
        <v>2.23</v>
      </c>
      <c r="C1269" s="1">
        <f ca="1">IFERROR(__xludf.DUMMYFUNCTION("""COMPUTED_VALUE"""),2.23)</f>
        <v>2.23</v>
      </c>
      <c r="D1269" s="1">
        <f ca="1">IFERROR(__xludf.DUMMYFUNCTION("""COMPUTED_VALUE"""),2.2)</f>
        <v>2.2000000000000002</v>
      </c>
      <c r="E1269" s="1">
        <f ca="1">IFERROR(__xludf.DUMMYFUNCTION("""COMPUTED_VALUE"""),2.23)</f>
        <v>2.23</v>
      </c>
      <c r="F1269" s="1">
        <f ca="1">IFERROR(__xludf.DUMMYFUNCTION("""COMPUTED_VALUE"""),236700)</f>
        <v>236700</v>
      </c>
      <c r="I1269" s="1"/>
    </row>
    <row r="1270" spans="1:9">
      <c r="A1270" s="3">
        <f ca="1">IFERROR(__xludf.DUMMYFUNCTION("""COMPUTED_VALUE"""),31054.6666666666)</f>
        <v>31054.666666666599</v>
      </c>
      <c r="B1270" s="1">
        <f ca="1">IFERROR(__xludf.DUMMYFUNCTION("""COMPUTED_VALUE"""),2.23)</f>
        <v>2.23</v>
      </c>
      <c r="C1270" s="1">
        <f ca="1">IFERROR(__xludf.DUMMYFUNCTION("""COMPUTED_VALUE"""),2.25)</f>
        <v>2.25</v>
      </c>
      <c r="D1270" s="1">
        <f ca="1">IFERROR(__xludf.DUMMYFUNCTION("""COMPUTED_VALUE"""),2.23)</f>
        <v>2.23</v>
      </c>
      <c r="E1270" s="1">
        <f ca="1">IFERROR(__xludf.DUMMYFUNCTION("""COMPUTED_VALUE"""),2.23)</f>
        <v>2.23</v>
      </c>
      <c r="F1270" s="1">
        <f ca="1">IFERROR(__xludf.DUMMYFUNCTION("""COMPUTED_VALUE"""),156800)</f>
        <v>156800</v>
      </c>
      <c r="I1270" s="1"/>
    </row>
    <row r="1271" spans="1:9">
      <c r="A1271" s="3">
        <f ca="1">IFERROR(__xludf.DUMMYFUNCTION("""COMPUTED_VALUE"""),31055.6666666666)</f>
        <v>31055.666666666599</v>
      </c>
      <c r="B1271" s="1">
        <f ca="1">IFERROR(__xludf.DUMMYFUNCTION("""COMPUTED_VALUE"""),2.26)</f>
        <v>2.2599999999999998</v>
      </c>
      <c r="C1271" s="1">
        <f ca="1">IFERROR(__xludf.DUMMYFUNCTION("""COMPUTED_VALUE"""),2.3)</f>
        <v>2.2999999999999998</v>
      </c>
      <c r="D1271" s="1">
        <f ca="1">IFERROR(__xludf.DUMMYFUNCTION("""COMPUTED_VALUE"""),2.24)</f>
        <v>2.2400000000000002</v>
      </c>
      <c r="E1271" s="1">
        <f ca="1">IFERROR(__xludf.DUMMYFUNCTION("""COMPUTED_VALUE"""),2.26)</f>
        <v>2.2599999999999998</v>
      </c>
      <c r="F1271" s="1">
        <f ca="1">IFERROR(__xludf.DUMMYFUNCTION("""COMPUTED_VALUE"""),362500)</f>
        <v>362500</v>
      </c>
      <c r="I1271" s="1"/>
    </row>
    <row r="1272" spans="1:9">
      <c r="A1272" s="3">
        <f ca="1">IFERROR(__xludf.DUMMYFUNCTION("""COMPUTED_VALUE"""),31056.6666666666)</f>
        <v>31056.666666666599</v>
      </c>
      <c r="B1272" s="1">
        <f ca="1">IFERROR(__xludf.DUMMYFUNCTION("""COMPUTED_VALUE"""),2.28)</f>
        <v>2.2799999999999998</v>
      </c>
      <c r="C1272" s="1">
        <f ca="1">IFERROR(__xludf.DUMMYFUNCTION("""COMPUTED_VALUE"""),2.3)</f>
        <v>2.2999999999999998</v>
      </c>
      <c r="D1272" s="1">
        <f ca="1">IFERROR(__xludf.DUMMYFUNCTION("""COMPUTED_VALUE"""),2.26)</f>
        <v>2.2599999999999998</v>
      </c>
      <c r="E1272" s="1">
        <f ca="1">IFERROR(__xludf.DUMMYFUNCTION("""COMPUTED_VALUE"""),2.28)</f>
        <v>2.2799999999999998</v>
      </c>
      <c r="F1272" s="1">
        <f ca="1">IFERROR(__xludf.DUMMYFUNCTION("""COMPUTED_VALUE"""),259100)</f>
        <v>259100</v>
      </c>
      <c r="I1272" s="1"/>
    </row>
    <row r="1273" spans="1:9">
      <c r="A1273" s="3">
        <f ca="1">IFERROR(__xludf.DUMMYFUNCTION("""COMPUTED_VALUE"""),31057.6666666666)</f>
        <v>31057.666666666599</v>
      </c>
      <c r="B1273" s="1">
        <f ca="1">IFERROR(__xludf.DUMMYFUNCTION("""COMPUTED_VALUE"""),2.35)</f>
        <v>2.35</v>
      </c>
      <c r="C1273" s="1">
        <f ca="1">IFERROR(__xludf.DUMMYFUNCTION("""COMPUTED_VALUE"""),2.35)</f>
        <v>2.35</v>
      </c>
      <c r="D1273" s="1">
        <f ca="1">IFERROR(__xludf.DUMMYFUNCTION("""COMPUTED_VALUE"""),2.28)</f>
        <v>2.2799999999999998</v>
      </c>
      <c r="E1273" s="1">
        <f ca="1">IFERROR(__xludf.DUMMYFUNCTION("""COMPUTED_VALUE"""),2.35)</f>
        <v>2.35</v>
      </c>
      <c r="F1273" s="1">
        <f ca="1">IFERROR(__xludf.DUMMYFUNCTION("""COMPUTED_VALUE"""),634500)</f>
        <v>634500</v>
      </c>
      <c r="I1273" s="1"/>
    </row>
    <row r="1274" spans="1:9">
      <c r="A1274" s="3">
        <f ca="1">IFERROR(__xludf.DUMMYFUNCTION("""COMPUTED_VALUE"""),31058.6666666666)</f>
        <v>31058.666666666599</v>
      </c>
      <c r="B1274" s="1">
        <f ca="1">IFERROR(__xludf.DUMMYFUNCTION("""COMPUTED_VALUE"""),2.32)</f>
        <v>2.3199999999999998</v>
      </c>
      <c r="C1274" s="1">
        <f ca="1">IFERROR(__xludf.DUMMYFUNCTION("""COMPUTED_VALUE"""),2.37)</f>
        <v>2.37</v>
      </c>
      <c r="D1274" s="1">
        <f ca="1">IFERROR(__xludf.DUMMYFUNCTION("""COMPUTED_VALUE"""),2.32)</f>
        <v>2.3199999999999998</v>
      </c>
      <c r="E1274" s="1">
        <f ca="1">IFERROR(__xludf.DUMMYFUNCTION("""COMPUTED_VALUE"""),2.32)</f>
        <v>2.3199999999999998</v>
      </c>
      <c r="F1274" s="1">
        <f ca="1">IFERROR(__xludf.DUMMYFUNCTION("""COMPUTED_VALUE"""),315000)</f>
        <v>315000</v>
      </c>
      <c r="I1274" s="1"/>
    </row>
    <row r="1275" spans="1:9">
      <c r="A1275" s="3">
        <f ca="1">IFERROR(__xludf.DUMMYFUNCTION("""COMPUTED_VALUE"""),31061.6666666666)</f>
        <v>31061.666666666599</v>
      </c>
      <c r="B1275" s="1">
        <f ca="1">IFERROR(__xludf.DUMMYFUNCTION("""COMPUTED_VALUE"""),2.36)</f>
        <v>2.36</v>
      </c>
      <c r="C1275" s="1">
        <f ca="1">IFERROR(__xludf.DUMMYFUNCTION("""COMPUTED_VALUE"""),2.37)</f>
        <v>2.37</v>
      </c>
      <c r="D1275" s="1">
        <f ca="1">IFERROR(__xludf.DUMMYFUNCTION("""COMPUTED_VALUE"""),2.3)</f>
        <v>2.2999999999999998</v>
      </c>
      <c r="E1275" s="1">
        <f ca="1">IFERROR(__xludf.DUMMYFUNCTION("""COMPUTED_VALUE"""),2.36)</f>
        <v>2.36</v>
      </c>
      <c r="F1275" s="1">
        <f ca="1">IFERROR(__xludf.DUMMYFUNCTION("""COMPUTED_VALUE"""),571700)</f>
        <v>571700</v>
      </c>
      <c r="I1275" s="1"/>
    </row>
    <row r="1276" spans="1:9">
      <c r="A1276" s="3">
        <f ca="1">IFERROR(__xludf.DUMMYFUNCTION("""COMPUTED_VALUE"""),31062.6666666666)</f>
        <v>31062.666666666599</v>
      </c>
      <c r="B1276" s="1">
        <f ca="1">IFERROR(__xludf.DUMMYFUNCTION("""COMPUTED_VALUE"""),2.34)</f>
        <v>2.34</v>
      </c>
      <c r="C1276" s="1">
        <f ca="1">IFERROR(__xludf.DUMMYFUNCTION("""COMPUTED_VALUE"""),2.36)</f>
        <v>2.36</v>
      </c>
      <c r="D1276" s="1">
        <f ca="1">IFERROR(__xludf.DUMMYFUNCTION("""COMPUTED_VALUE"""),2.31)</f>
        <v>2.31</v>
      </c>
      <c r="E1276" s="1">
        <f ca="1">IFERROR(__xludf.DUMMYFUNCTION("""COMPUTED_VALUE"""),2.34)</f>
        <v>2.34</v>
      </c>
      <c r="F1276" s="1">
        <f ca="1">IFERROR(__xludf.DUMMYFUNCTION("""COMPUTED_VALUE"""),375500)</f>
        <v>375500</v>
      </c>
      <c r="I1276" s="1"/>
    </row>
    <row r="1277" spans="1:9">
      <c r="A1277" s="3">
        <f ca="1">IFERROR(__xludf.DUMMYFUNCTION("""COMPUTED_VALUE"""),31063.6666666666)</f>
        <v>31063.666666666599</v>
      </c>
      <c r="B1277" s="1">
        <f ca="1">IFERROR(__xludf.DUMMYFUNCTION("""COMPUTED_VALUE"""),2.34)</f>
        <v>2.34</v>
      </c>
      <c r="C1277" s="1">
        <f ca="1">IFERROR(__xludf.DUMMYFUNCTION("""COMPUTED_VALUE"""),2.35)</f>
        <v>2.35</v>
      </c>
      <c r="D1277" s="1">
        <f ca="1">IFERROR(__xludf.DUMMYFUNCTION("""COMPUTED_VALUE"""),2.3)</f>
        <v>2.2999999999999998</v>
      </c>
      <c r="E1277" s="1">
        <f ca="1">IFERROR(__xludf.DUMMYFUNCTION("""COMPUTED_VALUE"""),2.34)</f>
        <v>2.34</v>
      </c>
      <c r="F1277" s="1">
        <f ca="1">IFERROR(__xludf.DUMMYFUNCTION("""COMPUTED_VALUE"""),364200)</f>
        <v>364200</v>
      </c>
      <c r="I1277" s="1"/>
    </row>
    <row r="1278" spans="1:9">
      <c r="A1278" s="3">
        <f ca="1">IFERROR(__xludf.DUMMYFUNCTION("""COMPUTED_VALUE"""),31064.6666666666)</f>
        <v>31064.666666666599</v>
      </c>
      <c r="B1278" s="1">
        <f ca="1">IFERROR(__xludf.DUMMYFUNCTION("""COMPUTED_VALUE"""),2.33)</f>
        <v>2.33</v>
      </c>
      <c r="C1278" s="1">
        <f ca="1">IFERROR(__xludf.DUMMYFUNCTION("""COMPUTED_VALUE"""),2.34)</f>
        <v>2.34</v>
      </c>
      <c r="D1278" s="1">
        <f ca="1">IFERROR(__xludf.DUMMYFUNCTION("""COMPUTED_VALUE"""),2.3)</f>
        <v>2.2999999999999998</v>
      </c>
      <c r="E1278" s="1">
        <f ca="1">IFERROR(__xludf.DUMMYFUNCTION("""COMPUTED_VALUE"""),2.33)</f>
        <v>2.33</v>
      </c>
      <c r="F1278" s="1">
        <f ca="1">IFERROR(__xludf.DUMMYFUNCTION("""COMPUTED_VALUE"""),189400)</f>
        <v>189400</v>
      </c>
      <c r="I1278" s="1"/>
    </row>
    <row r="1279" spans="1:9">
      <c r="A1279" s="3">
        <f ca="1">IFERROR(__xludf.DUMMYFUNCTION("""COMPUTED_VALUE"""),31065.6666666666)</f>
        <v>31065.666666666599</v>
      </c>
      <c r="B1279" s="1">
        <f ca="1">IFERROR(__xludf.DUMMYFUNCTION("""COMPUTED_VALUE"""),2.33)</f>
        <v>2.33</v>
      </c>
      <c r="C1279" s="1">
        <f ca="1">IFERROR(__xludf.DUMMYFUNCTION("""COMPUTED_VALUE"""),2.34)</f>
        <v>2.34</v>
      </c>
      <c r="D1279" s="1">
        <f ca="1">IFERROR(__xludf.DUMMYFUNCTION("""COMPUTED_VALUE"""),2.31)</f>
        <v>2.31</v>
      </c>
      <c r="E1279" s="1">
        <f ca="1">IFERROR(__xludf.DUMMYFUNCTION("""COMPUTED_VALUE"""),2.33)</f>
        <v>2.33</v>
      </c>
      <c r="F1279" s="1">
        <f ca="1">IFERROR(__xludf.DUMMYFUNCTION("""COMPUTED_VALUE"""),268600)</f>
        <v>268600</v>
      </c>
      <c r="I1279" s="1"/>
    </row>
    <row r="1280" spans="1:9">
      <c r="A1280" s="3">
        <f ca="1">IFERROR(__xludf.DUMMYFUNCTION("""COMPUTED_VALUE"""),31068.6666666666)</f>
        <v>31068.666666666599</v>
      </c>
      <c r="B1280" s="1">
        <f ca="1">IFERROR(__xludf.DUMMYFUNCTION("""COMPUTED_VALUE"""),2.37)</f>
        <v>2.37</v>
      </c>
      <c r="C1280" s="1">
        <f ca="1">IFERROR(__xludf.DUMMYFUNCTION("""COMPUTED_VALUE"""),2.37)</f>
        <v>2.37</v>
      </c>
      <c r="D1280" s="1">
        <f ca="1">IFERROR(__xludf.DUMMYFUNCTION("""COMPUTED_VALUE"""),2.31)</f>
        <v>2.31</v>
      </c>
      <c r="E1280" s="1">
        <f ca="1">IFERROR(__xludf.DUMMYFUNCTION("""COMPUTED_VALUE"""),2.37)</f>
        <v>2.37</v>
      </c>
      <c r="F1280" s="1">
        <f ca="1">IFERROR(__xludf.DUMMYFUNCTION("""COMPUTED_VALUE"""),664800)</f>
        <v>664800</v>
      </c>
      <c r="I1280" s="1"/>
    </row>
    <row r="1281" spans="1:9">
      <c r="A1281" s="3">
        <f ca="1">IFERROR(__xludf.DUMMYFUNCTION("""COMPUTED_VALUE"""),31069.6666666666)</f>
        <v>31069.666666666599</v>
      </c>
      <c r="B1281" s="1">
        <f ca="1">IFERROR(__xludf.DUMMYFUNCTION("""COMPUTED_VALUE"""),2.34)</f>
        <v>2.34</v>
      </c>
      <c r="C1281" s="1">
        <f ca="1">IFERROR(__xludf.DUMMYFUNCTION("""COMPUTED_VALUE"""),2.38)</f>
        <v>2.38</v>
      </c>
      <c r="D1281" s="1">
        <f ca="1">IFERROR(__xludf.DUMMYFUNCTION("""COMPUTED_VALUE"""),2.34)</f>
        <v>2.34</v>
      </c>
      <c r="E1281" s="1">
        <f ca="1">IFERROR(__xludf.DUMMYFUNCTION("""COMPUTED_VALUE"""),2.34)</f>
        <v>2.34</v>
      </c>
      <c r="F1281" s="1">
        <f ca="1">IFERROR(__xludf.DUMMYFUNCTION("""COMPUTED_VALUE"""),601100)</f>
        <v>601100</v>
      </c>
      <c r="I1281" s="1"/>
    </row>
    <row r="1282" spans="1:9">
      <c r="A1282" s="3">
        <f ca="1">IFERROR(__xludf.DUMMYFUNCTION("""COMPUTED_VALUE"""),31070.6666666666)</f>
        <v>31070.666666666599</v>
      </c>
      <c r="B1282" s="1">
        <f ca="1">IFERROR(__xludf.DUMMYFUNCTION("""COMPUTED_VALUE"""),2.38)</f>
        <v>2.38</v>
      </c>
      <c r="C1282" s="1">
        <f ca="1">IFERROR(__xludf.DUMMYFUNCTION("""COMPUTED_VALUE"""),2.38)</f>
        <v>2.38</v>
      </c>
      <c r="D1282" s="1">
        <f ca="1">IFERROR(__xludf.DUMMYFUNCTION("""COMPUTED_VALUE"""),2.32)</f>
        <v>2.3199999999999998</v>
      </c>
      <c r="E1282" s="1">
        <f ca="1">IFERROR(__xludf.DUMMYFUNCTION("""COMPUTED_VALUE"""),2.38)</f>
        <v>2.38</v>
      </c>
      <c r="F1282" s="1">
        <f ca="1">IFERROR(__xludf.DUMMYFUNCTION("""COMPUTED_VALUE"""),401400)</f>
        <v>401400</v>
      </c>
      <c r="I1282" s="1"/>
    </row>
    <row r="1283" spans="1:9">
      <c r="A1283" s="3">
        <f ca="1">IFERROR(__xludf.DUMMYFUNCTION("""COMPUTED_VALUE"""),31071.6666666666)</f>
        <v>31071.666666666599</v>
      </c>
      <c r="B1283" s="1">
        <f ca="1">IFERROR(__xludf.DUMMYFUNCTION("""COMPUTED_VALUE"""),2.34)</f>
        <v>2.34</v>
      </c>
      <c r="C1283" s="1">
        <f ca="1">IFERROR(__xludf.DUMMYFUNCTION("""COMPUTED_VALUE"""),2.39)</f>
        <v>2.39</v>
      </c>
      <c r="D1283" s="1">
        <f ca="1">IFERROR(__xludf.DUMMYFUNCTION("""COMPUTED_VALUE"""),2.32)</f>
        <v>2.3199999999999998</v>
      </c>
      <c r="E1283" s="1">
        <f ca="1">IFERROR(__xludf.DUMMYFUNCTION("""COMPUTED_VALUE"""),2.34)</f>
        <v>2.34</v>
      </c>
      <c r="F1283" s="1">
        <f ca="1">IFERROR(__xludf.DUMMYFUNCTION("""COMPUTED_VALUE"""),448700)</f>
        <v>448700</v>
      </c>
      <c r="I1283" s="1"/>
    </row>
    <row r="1284" spans="1:9">
      <c r="A1284" s="3">
        <f ca="1">IFERROR(__xludf.DUMMYFUNCTION("""COMPUTED_VALUE"""),31072.6666666666)</f>
        <v>31072.666666666599</v>
      </c>
      <c r="B1284" s="1">
        <f ca="1">IFERROR(__xludf.DUMMYFUNCTION("""COMPUTED_VALUE"""),2.3)</f>
        <v>2.2999999999999998</v>
      </c>
      <c r="C1284" s="1">
        <f ca="1">IFERROR(__xludf.DUMMYFUNCTION("""COMPUTED_VALUE"""),2.35)</f>
        <v>2.35</v>
      </c>
      <c r="D1284" s="1">
        <f ca="1">IFERROR(__xludf.DUMMYFUNCTION("""COMPUTED_VALUE"""),2.3)</f>
        <v>2.2999999999999998</v>
      </c>
      <c r="E1284" s="1">
        <f ca="1">IFERROR(__xludf.DUMMYFUNCTION("""COMPUTED_VALUE"""),2.3)</f>
        <v>2.2999999999999998</v>
      </c>
      <c r="F1284" s="1">
        <f ca="1">IFERROR(__xludf.DUMMYFUNCTION("""COMPUTED_VALUE"""),439600)</f>
        <v>439600</v>
      </c>
      <c r="I1284" s="1"/>
    </row>
    <row r="1285" spans="1:9">
      <c r="A1285" s="3">
        <f ca="1">IFERROR(__xludf.DUMMYFUNCTION("""COMPUTED_VALUE"""),31075.6666666666)</f>
        <v>31075.666666666599</v>
      </c>
      <c r="B1285" s="1">
        <f ca="1">IFERROR(__xludf.DUMMYFUNCTION("""COMPUTED_VALUE"""),2.34)</f>
        <v>2.34</v>
      </c>
      <c r="C1285" s="1">
        <f ca="1">IFERROR(__xludf.DUMMYFUNCTION("""COMPUTED_VALUE"""),2.36)</f>
        <v>2.36</v>
      </c>
      <c r="D1285" s="1">
        <f ca="1">IFERROR(__xludf.DUMMYFUNCTION("""COMPUTED_VALUE"""),2.3)</f>
        <v>2.2999999999999998</v>
      </c>
      <c r="E1285" s="1">
        <f ca="1">IFERROR(__xludf.DUMMYFUNCTION("""COMPUTED_VALUE"""),2.34)</f>
        <v>2.34</v>
      </c>
      <c r="F1285" s="1">
        <f ca="1">IFERROR(__xludf.DUMMYFUNCTION("""COMPUTED_VALUE"""),457200)</f>
        <v>457200</v>
      </c>
      <c r="I1285" s="1"/>
    </row>
    <row r="1286" spans="1:9">
      <c r="A1286" s="3">
        <f ca="1">IFERROR(__xludf.DUMMYFUNCTION("""COMPUTED_VALUE"""),31076.6666666666)</f>
        <v>31076.666666666599</v>
      </c>
      <c r="B1286" s="1">
        <f ca="1">IFERROR(__xludf.DUMMYFUNCTION("""COMPUTED_VALUE"""),2.38)</f>
        <v>2.38</v>
      </c>
      <c r="C1286" s="1">
        <f ca="1">IFERROR(__xludf.DUMMYFUNCTION("""COMPUTED_VALUE"""),2.38)</f>
        <v>2.38</v>
      </c>
      <c r="D1286" s="1">
        <f ca="1">IFERROR(__xludf.DUMMYFUNCTION("""COMPUTED_VALUE"""),2.34)</f>
        <v>2.34</v>
      </c>
      <c r="E1286" s="1">
        <f ca="1">IFERROR(__xludf.DUMMYFUNCTION("""COMPUTED_VALUE"""),2.38)</f>
        <v>2.38</v>
      </c>
      <c r="F1286" s="1">
        <f ca="1">IFERROR(__xludf.DUMMYFUNCTION("""COMPUTED_VALUE"""),353100)</f>
        <v>353100</v>
      </c>
      <c r="I1286" s="1"/>
    </row>
    <row r="1287" spans="1:9">
      <c r="A1287" s="3">
        <f ca="1">IFERROR(__xludf.DUMMYFUNCTION("""COMPUTED_VALUE"""),31077.6666666666)</f>
        <v>31077.666666666599</v>
      </c>
      <c r="B1287" s="1">
        <f ca="1">IFERROR(__xludf.DUMMYFUNCTION("""COMPUTED_VALUE"""),2.42)</f>
        <v>2.42</v>
      </c>
      <c r="C1287" s="1">
        <f ca="1">IFERROR(__xludf.DUMMYFUNCTION("""COMPUTED_VALUE"""),2.42)</f>
        <v>2.42</v>
      </c>
      <c r="D1287" s="1">
        <f ca="1">IFERROR(__xludf.DUMMYFUNCTION("""COMPUTED_VALUE"""),2.38)</f>
        <v>2.38</v>
      </c>
      <c r="E1287" s="1">
        <f ca="1">IFERROR(__xludf.DUMMYFUNCTION("""COMPUTED_VALUE"""),2.42)</f>
        <v>2.42</v>
      </c>
      <c r="F1287" s="1">
        <f ca="1">IFERROR(__xludf.DUMMYFUNCTION("""COMPUTED_VALUE"""),652200)</f>
        <v>652200</v>
      </c>
      <c r="I1287" s="1"/>
    </row>
    <row r="1288" spans="1:9">
      <c r="A1288" s="3">
        <f ca="1">IFERROR(__xludf.DUMMYFUNCTION("""COMPUTED_VALUE"""),31078.6666666666)</f>
        <v>31078.666666666599</v>
      </c>
      <c r="B1288" s="1">
        <f ca="1">IFERROR(__xludf.DUMMYFUNCTION("""COMPUTED_VALUE"""),2.44)</f>
        <v>2.44</v>
      </c>
      <c r="C1288" s="1">
        <f ca="1">IFERROR(__xludf.DUMMYFUNCTION("""COMPUTED_VALUE"""),2.45)</f>
        <v>2.4500000000000002</v>
      </c>
      <c r="D1288" s="1">
        <f ca="1">IFERROR(__xludf.DUMMYFUNCTION("""COMPUTED_VALUE"""),2.38)</f>
        <v>2.38</v>
      </c>
      <c r="E1288" s="1">
        <f ca="1">IFERROR(__xludf.DUMMYFUNCTION("""COMPUTED_VALUE"""),2.44)</f>
        <v>2.44</v>
      </c>
      <c r="F1288" s="1">
        <f ca="1">IFERROR(__xludf.DUMMYFUNCTION("""COMPUTED_VALUE"""),494600)</f>
        <v>494600</v>
      </c>
      <c r="I1288" s="1"/>
    </row>
    <row r="1289" spans="1:9">
      <c r="A1289" s="3">
        <f ca="1">IFERROR(__xludf.DUMMYFUNCTION("""COMPUTED_VALUE"""),31079.6666666666)</f>
        <v>31079.666666666599</v>
      </c>
      <c r="B1289" s="1">
        <f ca="1">IFERROR(__xludf.DUMMYFUNCTION("""COMPUTED_VALUE"""),2.39)</f>
        <v>2.39</v>
      </c>
      <c r="C1289" s="1">
        <f ca="1">IFERROR(__xludf.DUMMYFUNCTION("""COMPUTED_VALUE"""),2.41)</f>
        <v>2.41</v>
      </c>
      <c r="D1289" s="1">
        <f ca="1">IFERROR(__xludf.DUMMYFUNCTION("""COMPUTED_VALUE"""),2.38)</f>
        <v>2.38</v>
      </c>
      <c r="E1289" s="1">
        <f ca="1">IFERROR(__xludf.DUMMYFUNCTION("""COMPUTED_VALUE"""),2.39)</f>
        <v>2.39</v>
      </c>
      <c r="F1289" s="1">
        <f ca="1">IFERROR(__xludf.DUMMYFUNCTION("""COMPUTED_VALUE"""),398000)</f>
        <v>398000</v>
      </c>
      <c r="I1289" s="1"/>
    </row>
    <row r="1290" spans="1:9">
      <c r="A1290" s="3">
        <f ca="1">IFERROR(__xludf.DUMMYFUNCTION("""COMPUTED_VALUE"""),31082.6666666666)</f>
        <v>31082.666666666599</v>
      </c>
      <c r="B1290" s="1">
        <f ca="1">IFERROR(__xludf.DUMMYFUNCTION("""COMPUTED_VALUE"""),2.38)</f>
        <v>2.38</v>
      </c>
      <c r="C1290" s="1">
        <f ca="1">IFERROR(__xludf.DUMMYFUNCTION("""COMPUTED_VALUE"""),2.39)</f>
        <v>2.39</v>
      </c>
      <c r="D1290" s="1">
        <f ca="1">IFERROR(__xludf.DUMMYFUNCTION("""COMPUTED_VALUE"""),2.36)</f>
        <v>2.36</v>
      </c>
      <c r="E1290" s="1">
        <f ca="1">IFERROR(__xludf.DUMMYFUNCTION("""COMPUTED_VALUE"""),2.38)</f>
        <v>2.38</v>
      </c>
      <c r="F1290" s="1">
        <f ca="1">IFERROR(__xludf.DUMMYFUNCTION("""COMPUTED_VALUE"""),347500)</f>
        <v>347500</v>
      </c>
      <c r="I1290" s="1"/>
    </row>
    <row r="1291" spans="1:9">
      <c r="A1291" s="3">
        <f ca="1">IFERROR(__xludf.DUMMYFUNCTION("""COMPUTED_VALUE"""),31083.6666666666)</f>
        <v>31083.666666666599</v>
      </c>
      <c r="B1291" s="1">
        <f ca="1">IFERROR(__xludf.DUMMYFUNCTION("""COMPUTED_VALUE"""),2.39)</f>
        <v>2.39</v>
      </c>
      <c r="C1291" s="1">
        <f ca="1">IFERROR(__xludf.DUMMYFUNCTION("""COMPUTED_VALUE"""),2.41)</f>
        <v>2.41</v>
      </c>
      <c r="D1291" s="1">
        <f ca="1">IFERROR(__xludf.DUMMYFUNCTION("""COMPUTED_VALUE"""),2.37)</f>
        <v>2.37</v>
      </c>
      <c r="E1291" s="1">
        <f ca="1">IFERROR(__xludf.DUMMYFUNCTION("""COMPUTED_VALUE"""),2.39)</f>
        <v>2.39</v>
      </c>
      <c r="F1291" s="1">
        <f ca="1">IFERROR(__xludf.DUMMYFUNCTION("""COMPUTED_VALUE"""),491000)</f>
        <v>491000</v>
      </c>
      <c r="I1291" s="1"/>
    </row>
    <row r="1292" spans="1:9">
      <c r="A1292" s="3">
        <f ca="1">IFERROR(__xludf.DUMMYFUNCTION("""COMPUTED_VALUE"""),31084.6666666666)</f>
        <v>31084.666666666599</v>
      </c>
      <c r="B1292" s="1">
        <f ca="1">IFERROR(__xludf.DUMMYFUNCTION("""COMPUTED_VALUE"""),2.34)</f>
        <v>2.34</v>
      </c>
      <c r="C1292" s="1">
        <f ca="1">IFERROR(__xludf.DUMMYFUNCTION("""COMPUTED_VALUE"""),2.4)</f>
        <v>2.4</v>
      </c>
      <c r="D1292" s="1">
        <f ca="1">IFERROR(__xludf.DUMMYFUNCTION("""COMPUTED_VALUE"""),2.34)</f>
        <v>2.34</v>
      </c>
      <c r="E1292" s="1">
        <f ca="1">IFERROR(__xludf.DUMMYFUNCTION("""COMPUTED_VALUE"""),2.34)</f>
        <v>2.34</v>
      </c>
      <c r="F1292" s="1">
        <f ca="1">IFERROR(__xludf.DUMMYFUNCTION("""COMPUTED_VALUE"""),257800)</f>
        <v>257800</v>
      </c>
      <c r="I1292" s="1"/>
    </row>
    <row r="1293" spans="1:9">
      <c r="A1293" s="3">
        <f ca="1">IFERROR(__xludf.DUMMYFUNCTION("""COMPUTED_VALUE"""),31085.6666666666)</f>
        <v>31085.666666666599</v>
      </c>
      <c r="B1293" s="1">
        <f ca="1">IFERROR(__xludf.DUMMYFUNCTION("""COMPUTED_VALUE"""),2.39)</f>
        <v>2.39</v>
      </c>
      <c r="C1293" s="1">
        <f ca="1">IFERROR(__xludf.DUMMYFUNCTION("""COMPUTED_VALUE"""),2.39)</f>
        <v>2.39</v>
      </c>
      <c r="D1293" s="1">
        <f ca="1">IFERROR(__xludf.DUMMYFUNCTION("""COMPUTED_VALUE"""),2.34)</f>
        <v>2.34</v>
      </c>
      <c r="E1293" s="1">
        <f ca="1">IFERROR(__xludf.DUMMYFUNCTION("""COMPUTED_VALUE"""),2.39)</f>
        <v>2.39</v>
      </c>
      <c r="F1293" s="1">
        <f ca="1">IFERROR(__xludf.DUMMYFUNCTION("""COMPUTED_VALUE"""),371600)</f>
        <v>371600</v>
      </c>
      <c r="I1293" s="1"/>
    </row>
    <row r="1294" spans="1:9">
      <c r="A1294" s="3">
        <f ca="1">IFERROR(__xludf.DUMMYFUNCTION("""COMPUTED_VALUE"""),31086.6666666666)</f>
        <v>31086.666666666599</v>
      </c>
      <c r="B1294" s="1">
        <f ca="1">IFERROR(__xludf.DUMMYFUNCTION("""COMPUTED_VALUE"""),2.4)</f>
        <v>2.4</v>
      </c>
      <c r="C1294" s="1">
        <f ca="1">IFERROR(__xludf.DUMMYFUNCTION("""COMPUTED_VALUE"""),2.4)</f>
        <v>2.4</v>
      </c>
      <c r="D1294" s="1">
        <f ca="1">IFERROR(__xludf.DUMMYFUNCTION("""COMPUTED_VALUE"""),2.37)</f>
        <v>2.37</v>
      </c>
      <c r="E1294" s="1">
        <f ca="1">IFERROR(__xludf.DUMMYFUNCTION("""COMPUTED_VALUE"""),2.4)</f>
        <v>2.4</v>
      </c>
      <c r="F1294" s="1">
        <f ca="1">IFERROR(__xludf.DUMMYFUNCTION("""COMPUTED_VALUE"""),263900)</f>
        <v>263900</v>
      </c>
      <c r="I1294" s="1"/>
    </row>
    <row r="1295" spans="1:9">
      <c r="A1295" s="3">
        <f ca="1">IFERROR(__xludf.DUMMYFUNCTION("""COMPUTED_VALUE"""),31089.6666666666)</f>
        <v>31089.666666666599</v>
      </c>
      <c r="B1295" s="1">
        <f ca="1">IFERROR(__xludf.DUMMYFUNCTION("""COMPUTED_VALUE"""),2.39)</f>
        <v>2.39</v>
      </c>
      <c r="C1295" s="1">
        <f ca="1">IFERROR(__xludf.DUMMYFUNCTION("""COMPUTED_VALUE"""),2.4)</f>
        <v>2.4</v>
      </c>
      <c r="D1295" s="1">
        <f ca="1">IFERROR(__xludf.DUMMYFUNCTION("""COMPUTED_VALUE"""),2.38)</f>
        <v>2.38</v>
      </c>
      <c r="E1295" s="1">
        <f ca="1">IFERROR(__xludf.DUMMYFUNCTION("""COMPUTED_VALUE"""),2.39)</f>
        <v>2.39</v>
      </c>
      <c r="F1295" s="1">
        <f ca="1">IFERROR(__xludf.DUMMYFUNCTION("""COMPUTED_VALUE"""),221200)</f>
        <v>221200</v>
      </c>
      <c r="I1295" s="1"/>
    </row>
    <row r="1296" spans="1:9">
      <c r="A1296" s="3">
        <f ca="1">IFERROR(__xludf.DUMMYFUNCTION("""COMPUTED_VALUE"""),31090.6666666666)</f>
        <v>31090.666666666599</v>
      </c>
      <c r="B1296" s="1">
        <f ca="1">IFERROR(__xludf.DUMMYFUNCTION("""COMPUTED_VALUE"""),2.42)</f>
        <v>2.42</v>
      </c>
      <c r="C1296" s="1">
        <f ca="1">IFERROR(__xludf.DUMMYFUNCTION("""COMPUTED_VALUE"""),2.43)</f>
        <v>2.4300000000000002</v>
      </c>
      <c r="D1296" s="1">
        <f ca="1">IFERROR(__xludf.DUMMYFUNCTION("""COMPUTED_VALUE"""),2.38)</f>
        <v>2.38</v>
      </c>
      <c r="E1296" s="1">
        <f ca="1">IFERROR(__xludf.DUMMYFUNCTION("""COMPUTED_VALUE"""),2.42)</f>
        <v>2.42</v>
      </c>
      <c r="F1296" s="1">
        <f ca="1">IFERROR(__xludf.DUMMYFUNCTION("""COMPUTED_VALUE"""),365500)</f>
        <v>365500</v>
      </c>
      <c r="I1296" s="1"/>
    </row>
    <row r="1297" spans="1:9">
      <c r="A1297" s="3">
        <f ca="1">IFERROR(__xludf.DUMMYFUNCTION("""COMPUTED_VALUE"""),31091.6666666666)</f>
        <v>31091.666666666599</v>
      </c>
      <c r="B1297" s="1">
        <f ca="1">IFERROR(__xludf.DUMMYFUNCTION("""COMPUTED_VALUE"""),2.45)</f>
        <v>2.4500000000000002</v>
      </c>
      <c r="C1297" s="1">
        <f ca="1">IFERROR(__xludf.DUMMYFUNCTION("""COMPUTED_VALUE"""),2.47)</f>
        <v>2.4700000000000002</v>
      </c>
      <c r="D1297" s="1">
        <f ca="1">IFERROR(__xludf.DUMMYFUNCTION("""COMPUTED_VALUE"""),2.39)</f>
        <v>2.39</v>
      </c>
      <c r="E1297" s="1">
        <f ca="1">IFERROR(__xludf.DUMMYFUNCTION("""COMPUTED_VALUE"""),2.45)</f>
        <v>2.4500000000000002</v>
      </c>
      <c r="F1297" s="1">
        <f ca="1">IFERROR(__xludf.DUMMYFUNCTION("""COMPUTED_VALUE"""),468300)</f>
        <v>468300</v>
      </c>
      <c r="I1297" s="1"/>
    </row>
    <row r="1298" spans="1:9">
      <c r="A1298" s="3">
        <f ca="1">IFERROR(__xludf.DUMMYFUNCTION("""COMPUTED_VALUE"""),31092.6666666666)</f>
        <v>31092.666666666599</v>
      </c>
      <c r="B1298" s="1">
        <f ca="1">IFERROR(__xludf.DUMMYFUNCTION("""COMPUTED_VALUE"""),2.48)</f>
        <v>2.48</v>
      </c>
      <c r="C1298" s="1">
        <f ca="1">IFERROR(__xludf.DUMMYFUNCTION("""COMPUTED_VALUE"""),2.51)</f>
        <v>2.5099999999999998</v>
      </c>
      <c r="D1298" s="1">
        <f ca="1">IFERROR(__xludf.DUMMYFUNCTION("""COMPUTED_VALUE"""),2.45)</f>
        <v>2.4500000000000002</v>
      </c>
      <c r="E1298" s="1">
        <f ca="1">IFERROR(__xludf.DUMMYFUNCTION("""COMPUTED_VALUE"""),2.48)</f>
        <v>2.48</v>
      </c>
      <c r="F1298" s="1">
        <f ca="1">IFERROR(__xludf.DUMMYFUNCTION("""COMPUTED_VALUE"""),840300)</f>
        <v>840300</v>
      </c>
      <c r="I1298" s="1"/>
    </row>
    <row r="1299" spans="1:9">
      <c r="A1299" s="3">
        <f ca="1">IFERROR(__xludf.DUMMYFUNCTION("""COMPUTED_VALUE"""),31093.6666666666)</f>
        <v>31093.666666666599</v>
      </c>
      <c r="B1299" s="1">
        <f ca="1">IFERROR(__xludf.DUMMYFUNCTION("""COMPUTED_VALUE"""),2.41)</f>
        <v>2.41</v>
      </c>
      <c r="C1299" s="1">
        <f ca="1">IFERROR(__xludf.DUMMYFUNCTION("""COMPUTED_VALUE"""),2.44)</f>
        <v>2.44</v>
      </c>
      <c r="D1299" s="1">
        <f ca="1">IFERROR(__xludf.DUMMYFUNCTION("""COMPUTED_VALUE"""),2.4)</f>
        <v>2.4</v>
      </c>
      <c r="E1299" s="1">
        <f ca="1">IFERROR(__xludf.DUMMYFUNCTION("""COMPUTED_VALUE"""),2.41)</f>
        <v>2.41</v>
      </c>
      <c r="F1299" s="1">
        <f ca="1">IFERROR(__xludf.DUMMYFUNCTION("""COMPUTED_VALUE"""),598600)</f>
        <v>598600</v>
      </c>
      <c r="I1299" s="1"/>
    </row>
    <row r="1300" spans="1:9">
      <c r="A1300" s="3">
        <f ca="1">IFERROR(__xludf.DUMMYFUNCTION("""COMPUTED_VALUE"""),31097.6666666666)</f>
        <v>31097.666666666599</v>
      </c>
      <c r="B1300" s="1">
        <f ca="1">IFERROR(__xludf.DUMMYFUNCTION("""COMPUTED_VALUE"""),2.41)</f>
        <v>2.41</v>
      </c>
      <c r="C1300" s="1">
        <f ca="1">IFERROR(__xludf.DUMMYFUNCTION("""COMPUTED_VALUE"""),2.44)</f>
        <v>2.44</v>
      </c>
      <c r="D1300" s="1">
        <f ca="1">IFERROR(__xludf.DUMMYFUNCTION("""COMPUTED_VALUE"""),2.39)</f>
        <v>2.39</v>
      </c>
      <c r="E1300" s="1">
        <f ca="1">IFERROR(__xludf.DUMMYFUNCTION("""COMPUTED_VALUE"""),2.41)</f>
        <v>2.41</v>
      </c>
      <c r="F1300" s="1">
        <f ca="1">IFERROR(__xludf.DUMMYFUNCTION("""COMPUTED_VALUE"""),204900)</f>
        <v>204900</v>
      </c>
      <c r="I1300" s="1"/>
    </row>
    <row r="1301" spans="1:9">
      <c r="A1301" s="3">
        <f ca="1">IFERROR(__xludf.DUMMYFUNCTION("""COMPUTED_VALUE"""),31098.6666666666)</f>
        <v>31098.666666666599</v>
      </c>
      <c r="B1301" s="1">
        <f ca="1">IFERROR(__xludf.DUMMYFUNCTION("""COMPUTED_VALUE"""),2.41)</f>
        <v>2.41</v>
      </c>
      <c r="C1301" s="1">
        <f ca="1">IFERROR(__xludf.DUMMYFUNCTION("""COMPUTED_VALUE"""),2.43)</f>
        <v>2.4300000000000002</v>
      </c>
      <c r="D1301" s="1">
        <f ca="1">IFERROR(__xludf.DUMMYFUNCTION("""COMPUTED_VALUE"""),2.39)</f>
        <v>2.39</v>
      </c>
      <c r="E1301" s="1">
        <f ca="1">IFERROR(__xludf.DUMMYFUNCTION("""COMPUTED_VALUE"""),2.41)</f>
        <v>2.41</v>
      </c>
      <c r="F1301" s="1">
        <f ca="1">IFERROR(__xludf.DUMMYFUNCTION("""COMPUTED_VALUE"""),574900)</f>
        <v>574900</v>
      </c>
      <c r="I1301" s="1"/>
    </row>
    <row r="1302" spans="1:9">
      <c r="A1302" s="3">
        <f ca="1">IFERROR(__xludf.DUMMYFUNCTION("""COMPUTED_VALUE"""),31099.6666666666)</f>
        <v>31099.666666666599</v>
      </c>
      <c r="B1302" s="1">
        <f ca="1">IFERROR(__xludf.DUMMYFUNCTION("""COMPUTED_VALUE"""),2.34)</f>
        <v>2.34</v>
      </c>
      <c r="C1302" s="1">
        <f ca="1">IFERROR(__xludf.DUMMYFUNCTION("""COMPUTED_VALUE"""),2.41)</f>
        <v>2.41</v>
      </c>
      <c r="D1302" s="1">
        <f ca="1">IFERROR(__xludf.DUMMYFUNCTION("""COMPUTED_VALUE"""),2.34)</f>
        <v>2.34</v>
      </c>
      <c r="E1302" s="1">
        <f ca="1">IFERROR(__xludf.DUMMYFUNCTION("""COMPUTED_VALUE"""),2.34)</f>
        <v>2.34</v>
      </c>
      <c r="F1302" s="1">
        <f ca="1">IFERROR(__xludf.DUMMYFUNCTION("""COMPUTED_VALUE"""),334700)</f>
        <v>334700</v>
      </c>
      <c r="I1302" s="1"/>
    </row>
    <row r="1303" spans="1:9">
      <c r="A1303" s="3">
        <f ca="1">IFERROR(__xludf.DUMMYFUNCTION("""COMPUTED_VALUE"""),31100.6666666666)</f>
        <v>31100.666666666599</v>
      </c>
      <c r="B1303" s="1">
        <f ca="1">IFERROR(__xludf.DUMMYFUNCTION("""COMPUTED_VALUE"""),2.34)</f>
        <v>2.34</v>
      </c>
      <c r="C1303" s="1">
        <f ca="1">IFERROR(__xludf.DUMMYFUNCTION("""COMPUTED_VALUE"""),2.35)</f>
        <v>2.35</v>
      </c>
      <c r="D1303" s="1">
        <f ca="1">IFERROR(__xludf.DUMMYFUNCTION("""COMPUTED_VALUE"""),2.31)</f>
        <v>2.31</v>
      </c>
      <c r="E1303" s="1">
        <f ca="1">IFERROR(__xludf.DUMMYFUNCTION("""COMPUTED_VALUE"""),2.34)</f>
        <v>2.34</v>
      </c>
      <c r="F1303" s="1">
        <f ca="1">IFERROR(__xludf.DUMMYFUNCTION("""COMPUTED_VALUE"""),522300)</f>
        <v>522300</v>
      </c>
      <c r="I1303" s="1"/>
    </row>
    <row r="1304" spans="1:9">
      <c r="A1304" s="3">
        <f ca="1">IFERROR(__xludf.DUMMYFUNCTION("""COMPUTED_VALUE"""),31103.6666666666)</f>
        <v>31103.666666666599</v>
      </c>
      <c r="B1304" s="1">
        <f ca="1">IFERROR(__xludf.DUMMYFUNCTION("""COMPUTED_VALUE"""),2.38)</f>
        <v>2.38</v>
      </c>
      <c r="C1304" s="1">
        <f ca="1">IFERROR(__xludf.DUMMYFUNCTION("""COMPUTED_VALUE"""),2.38)</f>
        <v>2.38</v>
      </c>
      <c r="D1304" s="1">
        <f ca="1">IFERROR(__xludf.DUMMYFUNCTION("""COMPUTED_VALUE"""),2.31)</f>
        <v>2.31</v>
      </c>
      <c r="E1304" s="1">
        <f ca="1">IFERROR(__xludf.DUMMYFUNCTION("""COMPUTED_VALUE"""),2.38)</f>
        <v>2.38</v>
      </c>
      <c r="F1304" s="1">
        <f ca="1">IFERROR(__xludf.DUMMYFUNCTION("""COMPUTED_VALUE"""),244900)</f>
        <v>244900</v>
      </c>
      <c r="I1304" s="1"/>
    </row>
    <row r="1305" spans="1:9">
      <c r="A1305" s="3">
        <f ca="1">IFERROR(__xludf.DUMMYFUNCTION("""COMPUTED_VALUE"""),31104.6666666666)</f>
        <v>31104.666666666599</v>
      </c>
      <c r="B1305" s="1">
        <f ca="1">IFERROR(__xludf.DUMMYFUNCTION("""COMPUTED_VALUE"""),2.42)</f>
        <v>2.42</v>
      </c>
      <c r="C1305" s="1">
        <f ca="1">IFERROR(__xludf.DUMMYFUNCTION("""COMPUTED_VALUE"""),2.42)</f>
        <v>2.42</v>
      </c>
      <c r="D1305" s="1">
        <f ca="1">IFERROR(__xludf.DUMMYFUNCTION("""COMPUTED_VALUE"""),2.38)</f>
        <v>2.38</v>
      </c>
      <c r="E1305" s="1">
        <f ca="1">IFERROR(__xludf.DUMMYFUNCTION("""COMPUTED_VALUE"""),2.42)</f>
        <v>2.42</v>
      </c>
      <c r="F1305" s="1">
        <f ca="1">IFERROR(__xludf.DUMMYFUNCTION("""COMPUTED_VALUE"""),646400)</f>
        <v>646400</v>
      </c>
      <c r="I1305" s="1"/>
    </row>
    <row r="1306" spans="1:9">
      <c r="A1306" s="3">
        <f ca="1">IFERROR(__xludf.DUMMYFUNCTION("""COMPUTED_VALUE"""),31105.6666666666)</f>
        <v>31105.666666666599</v>
      </c>
      <c r="B1306" s="1">
        <f ca="1">IFERROR(__xludf.DUMMYFUNCTION("""COMPUTED_VALUE"""),2.46)</f>
        <v>2.46</v>
      </c>
      <c r="C1306" s="1">
        <f ca="1">IFERROR(__xludf.DUMMYFUNCTION("""COMPUTED_VALUE"""),2.48)</f>
        <v>2.48</v>
      </c>
      <c r="D1306" s="1">
        <f ca="1">IFERROR(__xludf.DUMMYFUNCTION("""COMPUTED_VALUE"""),2.44)</f>
        <v>2.44</v>
      </c>
      <c r="E1306" s="1">
        <f ca="1">IFERROR(__xludf.DUMMYFUNCTION("""COMPUTED_VALUE"""),2.46)</f>
        <v>2.46</v>
      </c>
      <c r="F1306" s="1">
        <f ca="1">IFERROR(__xludf.DUMMYFUNCTION("""COMPUTED_VALUE"""),704100)</f>
        <v>704100</v>
      </c>
      <c r="I1306" s="1"/>
    </row>
    <row r="1307" spans="1:9">
      <c r="A1307" s="3">
        <f ca="1">IFERROR(__xludf.DUMMYFUNCTION("""COMPUTED_VALUE"""),31106.6666666666)</f>
        <v>31106.666666666599</v>
      </c>
      <c r="B1307" s="1">
        <f ca="1">IFERROR(__xludf.DUMMYFUNCTION("""COMPUTED_VALUE"""),2.46)</f>
        <v>2.46</v>
      </c>
      <c r="C1307" s="1">
        <f ca="1">IFERROR(__xludf.DUMMYFUNCTION("""COMPUTED_VALUE"""),2.48)</f>
        <v>2.48</v>
      </c>
      <c r="D1307" s="1">
        <f ca="1">IFERROR(__xludf.DUMMYFUNCTION("""COMPUTED_VALUE"""),2.45)</f>
        <v>2.4500000000000002</v>
      </c>
      <c r="E1307" s="1">
        <f ca="1">IFERROR(__xludf.DUMMYFUNCTION("""COMPUTED_VALUE"""),2.46)</f>
        <v>2.46</v>
      </c>
      <c r="F1307" s="1">
        <f ca="1">IFERROR(__xludf.DUMMYFUNCTION("""COMPUTED_VALUE"""),332800)</f>
        <v>332800</v>
      </c>
      <c r="I1307" s="1"/>
    </row>
    <row r="1308" spans="1:9">
      <c r="A1308" s="3">
        <f ca="1">IFERROR(__xludf.DUMMYFUNCTION("""COMPUTED_VALUE"""),31107.6666666666)</f>
        <v>31107.666666666599</v>
      </c>
      <c r="B1308" s="1">
        <f ca="1">IFERROR(__xludf.DUMMYFUNCTION("""COMPUTED_VALUE"""),2.5)</f>
        <v>2.5</v>
      </c>
      <c r="C1308" s="1">
        <f ca="1">IFERROR(__xludf.DUMMYFUNCTION("""COMPUTED_VALUE"""),2.52)</f>
        <v>2.52</v>
      </c>
      <c r="D1308" s="1">
        <f ca="1">IFERROR(__xludf.DUMMYFUNCTION("""COMPUTED_VALUE"""),2.44)</f>
        <v>2.44</v>
      </c>
      <c r="E1308" s="1">
        <f ca="1">IFERROR(__xludf.DUMMYFUNCTION("""COMPUTED_VALUE"""),2.5)</f>
        <v>2.5</v>
      </c>
      <c r="F1308" s="1">
        <f ca="1">IFERROR(__xludf.DUMMYFUNCTION("""COMPUTED_VALUE"""),596400)</f>
        <v>596400</v>
      </c>
      <c r="I1308" s="1"/>
    </row>
    <row r="1309" spans="1:9">
      <c r="A1309" s="3">
        <f ca="1">IFERROR(__xludf.DUMMYFUNCTION("""COMPUTED_VALUE"""),31110.6666666666)</f>
        <v>31110.666666666599</v>
      </c>
      <c r="B1309" s="1">
        <f ca="1">IFERROR(__xludf.DUMMYFUNCTION("""COMPUTED_VALUE"""),2.48)</f>
        <v>2.48</v>
      </c>
      <c r="C1309" s="1">
        <f ca="1">IFERROR(__xludf.DUMMYFUNCTION("""COMPUTED_VALUE"""),2.5)</f>
        <v>2.5</v>
      </c>
      <c r="D1309" s="1">
        <f ca="1">IFERROR(__xludf.DUMMYFUNCTION("""COMPUTED_VALUE"""),2.45)</f>
        <v>2.4500000000000002</v>
      </c>
      <c r="E1309" s="1">
        <f ca="1">IFERROR(__xludf.DUMMYFUNCTION("""COMPUTED_VALUE"""),2.48)</f>
        <v>2.48</v>
      </c>
      <c r="F1309" s="1">
        <f ca="1">IFERROR(__xludf.DUMMYFUNCTION("""COMPUTED_VALUE"""),196600)</f>
        <v>196600</v>
      </c>
      <c r="I1309" s="1"/>
    </row>
    <row r="1310" spans="1:9">
      <c r="A1310" s="3">
        <f ca="1">IFERROR(__xludf.DUMMYFUNCTION("""COMPUTED_VALUE"""),31111.6666666666)</f>
        <v>31111.666666666599</v>
      </c>
      <c r="B1310" s="1">
        <f ca="1">IFERROR(__xludf.DUMMYFUNCTION("""COMPUTED_VALUE"""),2.45)</f>
        <v>2.4500000000000002</v>
      </c>
      <c r="C1310" s="1">
        <f ca="1">IFERROR(__xludf.DUMMYFUNCTION("""COMPUTED_VALUE"""),2.48)</f>
        <v>2.48</v>
      </c>
      <c r="D1310" s="1">
        <f ca="1">IFERROR(__xludf.DUMMYFUNCTION("""COMPUTED_VALUE"""),2.43)</f>
        <v>2.4300000000000002</v>
      </c>
      <c r="E1310" s="1">
        <f ca="1">IFERROR(__xludf.DUMMYFUNCTION("""COMPUTED_VALUE"""),2.45)</f>
        <v>2.4500000000000002</v>
      </c>
      <c r="F1310" s="1">
        <f ca="1">IFERROR(__xludf.DUMMYFUNCTION("""COMPUTED_VALUE"""),455600)</f>
        <v>455600</v>
      </c>
      <c r="I1310" s="1"/>
    </row>
    <row r="1311" spans="1:9">
      <c r="A1311" s="3">
        <f ca="1">IFERROR(__xludf.DUMMYFUNCTION("""COMPUTED_VALUE"""),31112.6666666666)</f>
        <v>31112.666666666599</v>
      </c>
      <c r="B1311" s="1">
        <f ca="1">IFERROR(__xludf.DUMMYFUNCTION("""COMPUTED_VALUE"""),2.44)</f>
        <v>2.44</v>
      </c>
      <c r="C1311" s="1">
        <f ca="1">IFERROR(__xludf.DUMMYFUNCTION("""COMPUTED_VALUE"""),2.48)</f>
        <v>2.48</v>
      </c>
      <c r="D1311" s="1">
        <f ca="1">IFERROR(__xludf.DUMMYFUNCTION("""COMPUTED_VALUE"""),2.43)</f>
        <v>2.4300000000000002</v>
      </c>
      <c r="E1311" s="1">
        <f ca="1">IFERROR(__xludf.DUMMYFUNCTION("""COMPUTED_VALUE"""),2.44)</f>
        <v>2.44</v>
      </c>
      <c r="F1311" s="1">
        <f ca="1">IFERROR(__xludf.DUMMYFUNCTION("""COMPUTED_VALUE"""),350000)</f>
        <v>350000</v>
      </c>
      <c r="I1311" s="1"/>
    </row>
    <row r="1312" spans="1:9">
      <c r="A1312" s="3">
        <f ca="1">IFERROR(__xludf.DUMMYFUNCTION("""COMPUTED_VALUE"""),31113.6666666666)</f>
        <v>31113.666666666599</v>
      </c>
      <c r="B1312" s="1">
        <f ca="1">IFERROR(__xludf.DUMMYFUNCTION("""COMPUTED_VALUE"""),2.45)</f>
        <v>2.4500000000000002</v>
      </c>
      <c r="C1312" s="1">
        <f ca="1">IFERROR(__xludf.DUMMYFUNCTION("""COMPUTED_VALUE"""),2.46)</f>
        <v>2.46</v>
      </c>
      <c r="D1312" s="1">
        <f ca="1">IFERROR(__xludf.DUMMYFUNCTION("""COMPUTED_VALUE"""),2.44)</f>
        <v>2.44</v>
      </c>
      <c r="E1312" s="1">
        <f ca="1">IFERROR(__xludf.DUMMYFUNCTION("""COMPUTED_VALUE"""),2.45)</f>
        <v>2.4500000000000002</v>
      </c>
      <c r="F1312" s="1">
        <f ca="1">IFERROR(__xludf.DUMMYFUNCTION("""COMPUTED_VALUE"""),291900)</f>
        <v>291900</v>
      </c>
      <c r="I1312" s="1"/>
    </row>
    <row r="1313" spans="1:9">
      <c r="A1313" s="3">
        <f ca="1">IFERROR(__xludf.DUMMYFUNCTION("""COMPUTED_VALUE"""),31114.6666666666)</f>
        <v>31114.666666666599</v>
      </c>
      <c r="B1313" s="1">
        <f ca="1">IFERROR(__xludf.DUMMYFUNCTION("""COMPUTED_VALUE"""),2.43)</f>
        <v>2.4300000000000002</v>
      </c>
      <c r="C1313" s="1">
        <f ca="1">IFERROR(__xludf.DUMMYFUNCTION("""COMPUTED_VALUE"""),2.46)</f>
        <v>2.46</v>
      </c>
      <c r="D1313" s="1">
        <f ca="1">IFERROR(__xludf.DUMMYFUNCTION("""COMPUTED_VALUE"""),2.42)</f>
        <v>2.42</v>
      </c>
      <c r="E1313" s="1">
        <f ca="1">IFERROR(__xludf.DUMMYFUNCTION("""COMPUTED_VALUE"""),2.43)</f>
        <v>2.4300000000000002</v>
      </c>
      <c r="F1313" s="1">
        <f ca="1">IFERROR(__xludf.DUMMYFUNCTION("""COMPUTED_VALUE"""),345900)</f>
        <v>345900</v>
      </c>
      <c r="I1313" s="1"/>
    </row>
    <row r="1314" spans="1:9">
      <c r="A1314" s="3">
        <f ca="1">IFERROR(__xludf.DUMMYFUNCTION("""COMPUTED_VALUE"""),31117.6666666666)</f>
        <v>31117.666666666599</v>
      </c>
      <c r="B1314" s="1">
        <f ca="1">IFERROR(__xludf.DUMMYFUNCTION("""COMPUTED_VALUE"""),2.44)</f>
        <v>2.44</v>
      </c>
      <c r="C1314" s="1">
        <f ca="1">IFERROR(__xludf.DUMMYFUNCTION("""COMPUTED_VALUE"""),2.46)</f>
        <v>2.46</v>
      </c>
      <c r="D1314" s="1">
        <f ca="1">IFERROR(__xludf.DUMMYFUNCTION("""COMPUTED_VALUE"""),2.42)</f>
        <v>2.42</v>
      </c>
      <c r="E1314" s="1">
        <f ca="1">IFERROR(__xludf.DUMMYFUNCTION("""COMPUTED_VALUE"""),2.44)</f>
        <v>2.44</v>
      </c>
      <c r="F1314" s="1">
        <f ca="1">IFERROR(__xludf.DUMMYFUNCTION("""COMPUTED_VALUE"""),288000)</f>
        <v>288000</v>
      </c>
      <c r="I1314" s="1"/>
    </row>
    <row r="1315" spans="1:9">
      <c r="A1315" s="3">
        <f ca="1">IFERROR(__xludf.DUMMYFUNCTION("""COMPUTED_VALUE"""),31118.6666666666)</f>
        <v>31118.666666666599</v>
      </c>
      <c r="B1315" s="1">
        <f ca="1">IFERROR(__xludf.DUMMYFUNCTION("""COMPUTED_VALUE"""),2.46)</f>
        <v>2.46</v>
      </c>
      <c r="C1315" s="1">
        <f ca="1">IFERROR(__xludf.DUMMYFUNCTION("""COMPUTED_VALUE"""),2.46)</f>
        <v>2.46</v>
      </c>
      <c r="D1315" s="1">
        <f ca="1">IFERROR(__xludf.DUMMYFUNCTION("""COMPUTED_VALUE"""),2.42)</f>
        <v>2.42</v>
      </c>
      <c r="E1315" s="1">
        <f ca="1">IFERROR(__xludf.DUMMYFUNCTION("""COMPUTED_VALUE"""),2.46)</f>
        <v>2.46</v>
      </c>
      <c r="F1315" s="1">
        <f ca="1">IFERROR(__xludf.DUMMYFUNCTION("""COMPUTED_VALUE"""),265900)</f>
        <v>265900</v>
      </c>
      <c r="I1315" s="1"/>
    </row>
    <row r="1316" spans="1:9">
      <c r="A1316" s="3">
        <f ca="1">IFERROR(__xludf.DUMMYFUNCTION("""COMPUTED_VALUE"""),31119.6666666666)</f>
        <v>31119.666666666599</v>
      </c>
      <c r="B1316" s="1">
        <f ca="1">IFERROR(__xludf.DUMMYFUNCTION("""COMPUTED_VALUE"""),2.46)</f>
        <v>2.46</v>
      </c>
      <c r="C1316" s="1">
        <f ca="1">IFERROR(__xludf.DUMMYFUNCTION("""COMPUTED_VALUE"""),2.48)</f>
        <v>2.48</v>
      </c>
      <c r="D1316" s="1">
        <f ca="1">IFERROR(__xludf.DUMMYFUNCTION("""COMPUTED_VALUE"""),2.44)</f>
        <v>2.44</v>
      </c>
      <c r="E1316" s="1">
        <f ca="1">IFERROR(__xludf.DUMMYFUNCTION("""COMPUTED_VALUE"""),2.46)</f>
        <v>2.46</v>
      </c>
      <c r="F1316" s="1">
        <f ca="1">IFERROR(__xludf.DUMMYFUNCTION("""COMPUTED_VALUE"""),753100)</f>
        <v>753100</v>
      </c>
      <c r="I1316" s="1"/>
    </row>
    <row r="1317" spans="1:9">
      <c r="A1317" s="3">
        <f ca="1">IFERROR(__xludf.DUMMYFUNCTION("""COMPUTED_VALUE"""),31120.6666666666)</f>
        <v>31120.666666666599</v>
      </c>
      <c r="B1317" s="1">
        <f ca="1">IFERROR(__xludf.DUMMYFUNCTION("""COMPUTED_VALUE"""),2.45)</f>
        <v>2.4500000000000002</v>
      </c>
      <c r="C1317" s="1">
        <f ca="1">IFERROR(__xludf.DUMMYFUNCTION("""COMPUTED_VALUE"""),2.47)</f>
        <v>2.4700000000000002</v>
      </c>
      <c r="D1317" s="1">
        <f ca="1">IFERROR(__xludf.DUMMYFUNCTION("""COMPUTED_VALUE"""),2.44)</f>
        <v>2.44</v>
      </c>
      <c r="E1317" s="1">
        <f ca="1">IFERROR(__xludf.DUMMYFUNCTION("""COMPUTED_VALUE"""),2.45)</f>
        <v>2.4500000000000002</v>
      </c>
      <c r="F1317" s="1">
        <f ca="1">IFERROR(__xludf.DUMMYFUNCTION("""COMPUTED_VALUE"""),376500)</f>
        <v>376500</v>
      </c>
      <c r="I1317" s="1"/>
    </row>
    <row r="1318" spans="1:9">
      <c r="A1318" s="3">
        <f ca="1">IFERROR(__xludf.DUMMYFUNCTION("""COMPUTED_VALUE"""),31121.6666666666)</f>
        <v>31121.666666666599</v>
      </c>
      <c r="B1318" s="1">
        <f ca="1">IFERROR(__xludf.DUMMYFUNCTION("""COMPUTED_VALUE"""),2.45)</f>
        <v>2.4500000000000002</v>
      </c>
      <c r="C1318" s="1">
        <f ca="1">IFERROR(__xludf.DUMMYFUNCTION("""COMPUTED_VALUE"""),2.48)</f>
        <v>2.48</v>
      </c>
      <c r="D1318" s="1">
        <f ca="1">IFERROR(__xludf.DUMMYFUNCTION("""COMPUTED_VALUE"""),2.44)</f>
        <v>2.44</v>
      </c>
      <c r="E1318" s="1">
        <f ca="1">IFERROR(__xludf.DUMMYFUNCTION("""COMPUTED_VALUE"""),2.45)</f>
        <v>2.4500000000000002</v>
      </c>
      <c r="F1318" s="1">
        <f ca="1">IFERROR(__xludf.DUMMYFUNCTION("""COMPUTED_VALUE"""),402800)</f>
        <v>402800</v>
      </c>
      <c r="I1318" s="1"/>
    </row>
    <row r="1319" spans="1:9">
      <c r="A1319" s="3">
        <f ca="1">IFERROR(__xludf.DUMMYFUNCTION("""COMPUTED_VALUE"""),31124.6666666666)</f>
        <v>31124.666666666599</v>
      </c>
      <c r="B1319" s="1">
        <f ca="1">IFERROR(__xludf.DUMMYFUNCTION("""COMPUTED_VALUE"""),2.45)</f>
        <v>2.4500000000000002</v>
      </c>
      <c r="C1319" s="1">
        <f ca="1">IFERROR(__xludf.DUMMYFUNCTION("""COMPUTED_VALUE"""),2.47)</f>
        <v>2.4700000000000002</v>
      </c>
      <c r="D1319" s="1">
        <f ca="1">IFERROR(__xludf.DUMMYFUNCTION("""COMPUTED_VALUE"""),2.43)</f>
        <v>2.4300000000000002</v>
      </c>
      <c r="E1319" s="1">
        <f ca="1">IFERROR(__xludf.DUMMYFUNCTION("""COMPUTED_VALUE"""),2.45)</f>
        <v>2.4500000000000002</v>
      </c>
      <c r="F1319" s="1">
        <f ca="1">IFERROR(__xludf.DUMMYFUNCTION("""COMPUTED_VALUE"""),402400)</f>
        <v>402400</v>
      </c>
      <c r="I1319" s="1"/>
    </row>
    <row r="1320" spans="1:9">
      <c r="A1320" s="3">
        <f ca="1">IFERROR(__xludf.DUMMYFUNCTION("""COMPUTED_VALUE"""),31125.6666666666)</f>
        <v>31125.666666666599</v>
      </c>
      <c r="B1320" s="1">
        <f ca="1">IFERROR(__xludf.DUMMYFUNCTION("""COMPUTED_VALUE"""),2.5)</f>
        <v>2.5</v>
      </c>
      <c r="C1320" s="1">
        <f ca="1">IFERROR(__xludf.DUMMYFUNCTION("""COMPUTED_VALUE"""),2.51)</f>
        <v>2.5099999999999998</v>
      </c>
      <c r="D1320" s="1">
        <f ca="1">IFERROR(__xludf.DUMMYFUNCTION("""COMPUTED_VALUE"""),2.46)</f>
        <v>2.46</v>
      </c>
      <c r="E1320" s="1">
        <f ca="1">IFERROR(__xludf.DUMMYFUNCTION("""COMPUTED_VALUE"""),2.5)</f>
        <v>2.5</v>
      </c>
      <c r="F1320" s="1">
        <f ca="1">IFERROR(__xludf.DUMMYFUNCTION("""COMPUTED_VALUE"""),451100)</f>
        <v>451100</v>
      </c>
      <c r="I1320" s="1"/>
    </row>
    <row r="1321" spans="1:9">
      <c r="A1321" s="3">
        <f ca="1">IFERROR(__xludf.DUMMYFUNCTION("""COMPUTED_VALUE"""),31126.6666666666)</f>
        <v>31126.666666666599</v>
      </c>
      <c r="B1321" s="1">
        <f ca="1">IFERROR(__xludf.DUMMYFUNCTION("""COMPUTED_VALUE"""),2.51)</f>
        <v>2.5099999999999998</v>
      </c>
      <c r="C1321" s="1">
        <f ca="1">IFERROR(__xludf.DUMMYFUNCTION("""COMPUTED_VALUE"""),2.53)</f>
        <v>2.5299999999999998</v>
      </c>
      <c r="D1321" s="1">
        <f ca="1">IFERROR(__xludf.DUMMYFUNCTION("""COMPUTED_VALUE"""),2.48)</f>
        <v>2.48</v>
      </c>
      <c r="E1321" s="1">
        <f ca="1">IFERROR(__xludf.DUMMYFUNCTION("""COMPUTED_VALUE"""),2.51)</f>
        <v>2.5099999999999998</v>
      </c>
      <c r="F1321" s="1">
        <f ca="1">IFERROR(__xludf.DUMMYFUNCTION("""COMPUTED_VALUE"""),897000)</f>
        <v>897000</v>
      </c>
      <c r="I1321" s="1"/>
    </row>
    <row r="1322" spans="1:9">
      <c r="A1322" s="3">
        <f ca="1">IFERROR(__xludf.DUMMYFUNCTION("""COMPUTED_VALUE"""),31127.6666666666)</f>
        <v>31127.666666666599</v>
      </c>
      <c r="B1322" s="1">
        <f ca="1">IFERROR(__xludf.DUMMYFUNCTION("""COMPUTED_VALUE"""),2.52)</f>
        <v>2.52</v>
      </c>
      <c r="C1322" s="1">
        <f ca="1">IFERROR(__xludf.DUMMYFUNCTION("""COMPUTED_VALUE"""),2.53)</f>
        <v>2.5299999999999998</v>
      </c>
      <c r="D1322" s="1">
        <f ca="1">IFERROR(__xludf.DUMMYFUNCTION("""COMPUTED_VALUE"""),2.51)</f>
        <v>2.5099999999999998</v>
      </c>
      <c r="E1322" s="1">
        <f ca="1">IFERROR(__xludf.DUMMYFUNCTION("""COMPUTED_VALUE"""),2.52)</f>
        <v>2.52</v>
      </c>
      <c r="F1322" s="1">
        <f ca="1">IFERROR(__xludf.DUMMYFUNCTION("""COMPUTED_VALUE"""),400900)</f>
        <v>400900</v>
      </c>
      <c r="I1322" s="1"/>
    </row>
    <row r="1323" spans="1:9">
      <c r="A1323" s="3">
        <f ca="1">IFERROR(__xludf.DUMMYFUNCTION("""COMPUTED_VALUE"""),31128.6666666666)</f>
        <v>31128.666666666599</v>
      </c>
      <c r="B1323" s="1">
        <f ca="1">IFERROR(__xludf.DUMMYFUNCTION("""COMPUTED_VALUE"""),2.48)</f>
        <v>2.48</v>
      </c>
      <c r="C1323" s="1">
        <f ca="1">IFERROR(__xludf.DUMMYFUNCTION("""COMPUTED_VALUE"""),2.52)</f>
        <v>2.52</v>
      </c>
      <c r="D1323" s="1">
        <f ca="1">IFERROR(__xludf.DUMMYFUNCTION("""COMPUTED_VALUE"""),2.48)</f>
        <v>2.48</v>
      </c>
      <c r="E1323" s="1">
        <f ca="1">IFERROR(__xludf.DUMMYFUNCTION("""COMPUTED_VALUE"""),2.48)</f>
        <v>2.48</v>
      </c>
      <c r="F1323" s="1">
        <f ca="1">IFERROR(__xludf.DUMMYFUNCTION("""COMPUTED_VALUE"""),412800)</f>
        <v>412800</v>
      </c>
      <c r="I1323" s="1"/>
    </row>
    <row r="1324" spans="1:9">
      <c r="A1324" s="3">
        <f ca="1">IFERROR(__xludf.DUMMYFUNCTION("""COMPUTED_VALUE"""),31131.6666666666)</f>
        <v>31131.666666666599</v>
      </c>
      <c r="B1324" s="1">
        <f ca="1">IFERROR(__xludf.DUMMYFUNCTION("""COMPUTED_VALUE"""),2.48)</f>
        <v>2.48</v>
      </c>
      <c r="C1324" s="1">
        <f ca="1">IFERROR(__xludf.DUMMYFUNCTION("""COMPUTED_VALUE"""),2.49)</f>
        <v>2.4900000000000002</v>
      </c>
      <c r="D1324" s="1">
        <f ca="1">IFERROR(__xludf.DUMMYFUNCTION("""COMPUTED_VALUE"""),2.46)</f>
        <v>2.46</v>
      </c>
      <c r="E1324" s="1">
        <f ca="1">IFERROR(__xludf.DUMMYFUNCTION("""COMPUTED_VALUE"""),2.48)</f>
        <v>2.48</v>
      </c>
      <c r="F1324" s="1">
        <f ca="1">IFERROR(__xludf.DUMMYFUNCTION("""COMPUTED_VALUE"""),302800)</f>
        <v>302800</v>
      </c>
      <c r="I1324" s="1"/>
    </row>
    <row r="1325" spans="1:9">
      <c r="A1325" s="3">
        <f ca="1">IFERROR(__xludf.DUMMYFUNCTION("""COMPUTED_VALUE"""),31132.6666666666)</f>
        <v>31132.666666666599</v>
      </c>
      <c r="B1325" s="1">
        <f ca="1">IFERROR(__xludf.DUMMYFUNCTION("""COMPUTED_VALUE"""),2.52)</f>
        <v>2.52</v>
      </c>
      <c r="C1325" s="1">
        <f ca="1">IFERROR(__xludf.DUMMYFUNCTION("""COMPUTED_VALUE"""),2.53)</f>
        <v>2.5299999999999998</v>
      </c>
      <c r="D1325" s="1">
        <f ca="1">IFERROR(__xludf.DUMMYFUNCTION("""COMPUTED_VALUE"""),2.48)</f>
        <v>2.48</v>
      </c>
      <c r="E1325" s="1">
        <f ca="1">IFERROR(__xludf.DUMMYFUNCTION("""COMPUTED_VALUE"""),2.52)</f>
        <v>2.52</v>
      </c>
      <c r="F1325" s="1">
        <f ca="1">IFERROR(__xludf.DUMMYFUNCTION("""COMPUTED_VALUE"""),283300)</f>
        <v>283300</v>
      </c>
      <c r="I1325" s="1"/>
    </row>
    <row r="1326" spans="1:9">
      <c r="A1326" s="3">
        <f ca="1">IFERROR(__xludf.DUMMYFUNCTION("""COMPUTED_VALUE"""),31133.6666666666)</f>
        <v>31133.666666666599</v>
      </c>
      <c r="B1326" s="1">
        <f ca="1">IFERROR(__xludf.DUMMYFUNCTION("""COMPUTED_VALUE"""),2.55)</f>
        <v>2.5499999999999998</v>
      </c>
      <c r="C1326" s="1">
        <f ca="1">IFERROR(__xludf.DUMMYFUNCTION("""COMPUTED_VALUE"""),2.57)</f>
        <v>2.57</v>
      </c>
      <c r="D1326" s="1">
        <f ca="1">IFERROR(__xludf.DUMMYFUNCTION("""COMPUTED_VALUE"""),2.52)</f>
        <v>2.52</v>
      </c>
      <c r="E1326" s="1">
        <f ca="1">IFERROR(__xludf.DUMMYFUNCTION("""COMPUTED_VALUE"""),2.55)</f>
        <v>2.5499999999999998</v>
      </c>
      <c r="F1326" s="1">
        <f ca="1">IFERROR(__xludf.DUMMYFUNCTION("""COMPUTED_VALUE"""),487600)</f>
        <v>487600</v>
      </c>
      <c r="I1326" s="1"/>
    </row>
    <row r="1327" spans="1:9">
      <c r="A1327" s="3">
        <f ca="1">IFERROR(__xludf.DUMMYFUNCTION("""COMPUTED_VALUE"""),31134.6666666666)</f>
        <v>31134.666666666599</v>
      </c>
      <c r="B1327" s="1">
        <f ca="1">IFERROR(__xludf.DUMMYFUNCTION("""COMPUTED_VALUE"""),2.55)</f>
        <v>2.5499999999999998</v>
      </c>
      <c r="C1327" s="1">
        <f ca="1">IFERROR(__xludf.DUMMYFUNCTION("""COMPUTED_VALUE"""),2.56)</f>
        <v>2.56</v>
      </c>
      <c r="D1327" s="1">
        <f ca="1">IFERROR(__xludf.DUMMYFUNCTION("""COMPUTED_VALUE"""),2.53)</f>
        <v>2.5299999999999998</v>
      </c>
      <c r="E1327" s="1">
        <f ca="1">IFERROR(__xludf.DUMMYFUNCTION("""COMPUTED_VALUE"""),2.55)</f>
        <v>2.5499999999999998</v>
      </c>
      <c r="F1327" s="1">
        <f ca="1">IFERROR(__xludf.DUMMYFUNCTION("""COMPUTED_VALUE"""),665100)</f>
        <v>665100</v>
      </c>
      <c r="I1327" s="1"/>
    </row>
    <row r="1328" spans="1:9">
      <c r="A1328" s="3">
        <f ca="1">IFERROR(__xludf.DUMMYFUNCTION("""COMPUTED_VALUE"""),31135.6666666666)</f>
        <v>31135.666666666599</v>
      </c>
      <c r="B1328" s="1">
        <f ca="1">IFERROR(__xludf.DUMMYFUNCTION("""COMPUTED_VALUE"""),2.63)</f>
        <v>2.63</v>
      </c>
      <c r="C1328" s="1">
        <f ca="1">IFERROR(__xludf.DUMMYFUNCTION("""COMPUTED_VALUE"""),2.63)</f>
        <v>2.63</v>
      </c>
      <c r="D1328" s="1">
        <f ca="1">IFERROR(__xludf.DUMMYFUNCTION("""COMPUTED_VALUE"""),2.56)</f>
        <v>2.56</v>
      </c>
      <c r="E1328" s="1">
        <f ca="1">IFERROR(__xludf.DUMMYFUNCTION("""COMPUTED_VALUE"""),2.63)</f>
        <v>2.63</v>
      </c>
      <c r="F1328" s="1">
        <f ca="1">IFERROR(__xludf.DUMMYFUNCTION("""COMPUTED_VALUE"""),748400)</f>
        <v>748400</v>
      </c>
      <c r="I1328" s="1"/>
    </row>
    <row r="1329" spans="1:9">
      <c r="A1329" s="3">
        <f ca="1">IFERROR(__xludf.DUMMYFUNCTION("""COMPUTED_VALUE"""),31138.6666666666)</f>
        <v>31138.666666666599</v>
      </c>
      <c r="B1329" s="1">
        <f ca="1">IFERROR(__xludf.DUMMYFUNCTION("""COMPUTED_VALUE"""),2.59)</f>
        <v>2.59</v>
      </c>
      <c r="C1329" s="1">
        <f ca="1">IFERROR(__xludf.DUMMYFUNCTION("""COMPUTED_VALUE"""),2.63)</f>
        <v>2.63</v>
      </c>
      <c r="D1329" s="1">
        <f ca="1">IFERROR(__xludf.DUMMYFUNCTION("""COMPUTED_VALUE"""),2.58)</f>
        <v>2.58</v>
      </c>
      <c r="E1329" s="1">
        <f ca="1">IFERROR(__xludf.DUMMYFUNCTION("""COMPUTED_VALUE"""),2.59)</f>
        <v>2.59</v>
      </c>
      <c r="F1329" s="1">
        <f ca="1">IFERROR(__xludf.DUMMYFUNCTION("""COMPUTED_VALUE"""),463200)</f>
        <v>463200</v>
      </c>
      <c r="I1329" s="1"/>
    </row>
    <row r="1330" spans="1:9">
      <c r="A1330" s="3">
        <f ca="1">IFERROR(__xludf.DUMMYFUNCTION("""COMPUTED_VALUE"""),31139.6666666666)</f>
        <v>31139.666666666599</v>
      </c>
      <c r="B1330" s="1">
        <f ca="1">IFERROR(__xludf.DUMMYFUNCTION("""COMPUTED_VALUE"""),2.54)</f>
        <v>2.54</v>
      </c>
      <c r="C1330" s="1">
        <f ca="1">IFERROR(__xludf.DUMMYFUNCTION("""COMPUTED_VALUE"""),2.61)</f>
        <v>2.61</v>
      </c>
      <c r="D1330" s="1">
        <f ca="1">IFERROR(__xludf.DUMMYFUNCTION("""COMPUTED_VALUE"""),2.52)</f>
        <v>2.52</v>
      </c>
      <c r="E1330" s="1">
        <f ca="1">IFERROR(__xludf.DUMMYFUNCTION("""COMPUTED_VALUE"""),2.54)</f>
        <v>2.54</v>
      </c>
      <c r="F1330" s="1">
        <f ca="1">IFERROR(__xludf.DUMMYFUNCTION("""COMPUTED_VALUE"""),474600)</f>
        <v>474600</v>
      </c>
      <c r="I1330" s="1"/>
    </row>
    <row r="1331" spans="1:9">
      <c r="A1331" s="3">
        <f ca="1">IFERROR(__xludf.DUMMYFUNCTION("""COMPUTED_VALUE"""),31140.6666666666)</f>
        <v>31140.666666666599</v>
      </c>
      <c r="B1331" s="1">
        <f ca="1">IFERROR(__xludf.DUMMYFUNCTION("""COMPUTED_VALUE"""),2.55)</f>
        <v>2.5499999999999998</v>
      </c>
      <c r="C1331" s="1">
        <f ca="1">IFERROR(__xludf.DUMMYFUNCTION("""COMPUTED_VALUE"""),2.56)</f>
        <v>2.56</v>
      </c>
      <c r="D1331" s="1">
        <f ca="1">IFERROR(__xludf.DUMMYFUNCTION("""COMPUTED_VALUE"""),2.52)</f>
        <v>2.52</v>
      </c>
      <c r="E1331" s="1">
        <f ca="1">IFERROR(__xludf.DUMMYFUNCTION("""COMPUTED_VALUE"""),2.55)</f>
        <v>2.5499999999999998</v>
      </c>
      <c r="F1331" s="1">
        <f ca="1">IFERROR(__xludf.DUMMYFUNCTION("""COMPUTED_VALUE"""),416400)</f>
        <v>416400</v>
      </c>
      <c r="I1331" s="1"/>
    </row>
    <row r="1332" spans="1:9">
      <c r="A1332" s="3">
        <f ca="1">IFERROR(__xludf.DUMMYFUNCTION("""COMPUTED_VALUE"""),31141.6666666666)</f>
        <v>31141.666666666599</v>
      </c>
      <c r="B1332" s="1">
        <f ca="1">IFERROR(__xludf.DUMMYFUNCTION("""COMPUTED_VALUE"""),2.59)</f>
        <v>2.59</v>
      </c>
      <c r="C1332" s="1">
        <f ca="1">IFERROR(__xludf.DUMMYFUNCTION("""COMPUTED_VALUE"""),2.59)</f>
        <v>2.59</v>
      </c>
      <c r="D1332" s="1">
        <f ca="1">IFERROR(__xludf.DUMMYFUNCTION("""COMPUTED_VALUE"""),2.54)</f>
        <v>2.54</v>
      </c>
      <c r="E1332" s="1">
        <f ca="1">IFERROR(__xludf.DUMMYFUNCTION("""COMPUTED_VALUE"""),2.59)</f>
        <v>2.59</v>
      </c>
      <c r="F1332" s="1">
        <f ca="1">IFERROR(__xludf.DUMMYFUNCTION("""COMPUTED_VALUE"""),405700)</f>
        <v>405700</v>
      </c>
      <c r="I1332" s="1"/>
    </row>
    <row r="1333" spans="1:9">
      <c r="A1333" s="3">
        <f ca="1">IFERROR(__xludf.DUMMYFUNCTION("""COMPUTED_VALUE"""),31145.6666666666)</f>
        <v>31145.666666666599</v>
      </c>
      <c r="B1333" s="1">
        <f ca="1">IFERROR(__xludf.DUMMYFUNCTION("""COMPUTED_VALUE"""),2.54)</f>
        <v>2.54</v>
      </c>
      <c r="C1333" s="1">
        <f ca="1">IFERROR(__xludf.DUMMYFUNCTION("""COMPUTED_VALUE"""),2.59)</f>
        <v>2.59</v>
      </c>
      <c r="D1333" s="1">
        <f ca="1">IFERROR(__xludf.DUMMYFUNCTION("""COMPUTED_VALUE"""),2.53)</f>
        <v>2.5299999999999998</v>
      </c>
      <c r="E1333" s="1">
        <f ca="1">IFERROR(__xludf.DUMMYFUNCTION("""COMPUTED_VALUE"""),2.54)</f>
        <v>2.54</v>
      </c>
      <c r="F1333" s="1">
        <f ca="1">IFERROR(__xludf.DUMMYFUNCTION("""COMPUTED_VALUE"""),273300)</f>
        <v>273300</v>
      </c>
      <c r="I1333" s="1"/>
    </row>
    <row r="1334" spans="1:9">
      <c r="A1334" s="3">
        <f ca="1">IFERROR(__xludf.DUMMYFUNCTION("""COMPUTED_VALUE"""),31146.6666666666)</f>
        <v>31146.666666666599</v>
      </c>
      <c r="B1334" s="1">
        <f ca="1">IFERROR(__xludf.DUMMYFUNCTION("""COMPUTED_VALUE"""),2.55)</f>
        <v>2.5499999999999998</v>
      </c>
      <c r="C1334" s="1">
        <f ca="1">IFERROR(__xludf.DUMMYFUNCTION("""COMPUTED_VALUE"""),2.56)</f>
        <v>2.56</v>
      </c>
      <c r="D1334" s="1">
        <f ca="1">IFERROR(__xludf.DUMMYFUNCTION("""COMPUTED_VALUE"""),2.53)</f>
        <v>2.5299999999999998</v>
      </c>
      <c r="E1334" s="1">
        <f ca="1">IFERROR(__xludf.DUMMYFUNCTION("""COMPUTED_VALUE"""),2.55)</f>
        <v>2.5499999999999998</v>
      </c>
      <c r="F1334" s="1">
        <f ca="1">IFERROR(__xludf.DUMMYFUNCTION("""COMPUTED_VALUE"""),258200)</f>
        <v>258200</v>
      </c>
      <c r="I1334" s="1"/>
    </row>
    <row r="1335" spans="1:9">
      <c r="A1335" s="3">
        <f ca="1">IFERROR(__xludf.DUMMYFUNCTION("""COMPUTED_VALUE"""),31147.6666666666)</f>
        <v>31147.666666666599</v>
      </c>
      <c r="B1335" s="1">
        <f ca="1">IFERROR(__xludf.DUMMYFUNCTION("""COMPUTED_VALUE"""),2.57)</f>
        <v>2.57</v>
      </c>
      <c r="C1335" s="1">
        <f ca="1">IFERROR(__xludf.DUMMYFUNCTION("""COMPUTED_VALUE"""),2.58)</f>
        <v>2.58</v>
      </c>
      <c r="D1335" s="1">
        <f ca="1">IFERROR(__xludf.DUMMYFUNCTION("""COMPUTED_VALUE"""),2.55)</f>
        <v>2.5499999999999998</v>
      </c>
      <c r="E1335" s="1">
        <f ca="1">IFERROR(__xludf.DUMMYFUNCTION("""COMPUTED_VALUE"""),2.57)</f>
        <v>2.57</v>
      </c>
      <c r="F1335" s="1">
        <f ca="1">IFERROR(__xludf.DUMMYFUNCTION("""COMPUTED_VALUE"""),630600)</f>
        <v>630600</v>
      </c>
      <c r="I1335" s="1"/>
    </row>
    <row r="1336" spans="1:9">
      <c r="A1336" s="3">
        <f ca="1">IFERROR(__xludf.DUMMYFUNCTION("""COMPUTED_VALUE"""),31148.6666666666)</f>
        <v>31148.666666666599</v>
      </c>
      <c r="B1336" s="1">
        <f ca="1">IFERROR(__xludf.DUMMYFUNCTION("""COMPUTED_VALUE"""),2.56)</f>
        <v>2.56</v>
      </c>
      <c r="C1336" s="1">
        <f ca="1">IFERROR(__xludf.DUMMYFUNCTION("""COMPUTED_VALUE"""),2.59)</f>
        <v>2.59</v>
      </c>
      <c r="D1336" s="1">
        <f ca="1">IFERROR(__xludf.DUMMYFUNCTION("""COMPUTED_VALUE"""),2.55)</f>
        <v>2.5499999999999998</v>
      </c>
      <c r="E1336" s="1">
        <f ca="1">IFERROR(__xludf.DUMMYFUNCTION("""COMPUTED_VALUE"""),2.56)</f>
        <v>2.56</v>
      </c>
      <c r="F1336" s="1">
        <f ca="1">IFERROR(__xludf.DUMMYFUNCTION("""COMPUTED_VALUE"""),310700)</f>
        <v>310700</v>
      </c>
      <c r="I1336" s="1"/>
    </row>
    <row r="1337" spans="1:9">
      <c r="A1337" s="3">
        <f ca="1">IFERROR(__xludf.DUMMYFUNCTION("""COMPUTED_VALUE"""),31149.6666666666)</f>
        <v>31149.666666666599</v>
      </c>
      <c r="B1337" s="1">
        <f ca="1">IFERROR(__xludf.DUMMYFUNCTION("""COMPUTED_VALUE"""),2.56)</f>
        <v>2.56</v>
      </c>
      <c r="C1337" s="1">
        <f ca="1">IFERROR(__xludf.DUMMYFUNCTION("""COMPUTED_VALUE"""),2.57)</f>
        <v>2.57</v>
      </c>
      <c r="D1337" s="1">
        <f ca="1">IFERROR(__xludf.DUMMYFUNCTION("""COMPUTED_VALUE"""),2.54)</f>
        <v>2.54</v>
      </c>
      <c r="E1337" s="1">
        <f ca="1">IFERROR(__xludf.DUMMYFUNCTION("""COMPUTED_VALUE"""),2.56)</f>
        <v>2.56</v>
      </c>
      <c r="F1337" s="1">
        <f ca="1">IFERROR(__xludf.DUMMYFUNCTION("""COMPUTED_VALUE"""),331000)</f>
        <v>331000</v>
      </c>
      <c r="I1337" s="1"/>
    </row>
    <row r="1338" spans="1:9">
      <c r="A1338" s="3">
        <f ca="1">IFERROR(__xludf.DUMMYFUNCTION("""COMPUTED_VALUE"""),31152.6666666666)</f>
        <v>31152.666666666599</v>
      </c>
      <c r="B1338" s="1">
        <f ca="1">IFERROR(__xludf.DUMMYFUNCTION("""COMPUTED_VALUE"""),2.57)</f>
        <v>2.57</v>
      </c>
      <c r="C1338" s="1">
        <f ca="1">IFERROR(__xludf.DUMMYFUNCTION("""COMPUTED_VALUE"""),2.59)</f>
        <v>2.59</v>
      </c>
      <c r="D1338" s="1">
        <f ca="1">IFERROR(__xludf.DUMMYFUNCTION("""COMPUTED_VALUE"""),2.56)</f>
        <v>2.56</v>
      </c>
      <c r="E1338" s="1">
        <f ca="1">IFERROR(__xludf.DUMMYFUNCTION("""COMPUTED_VALUE"""),2.57)</f>
        <v>2.57</v>
      </c>
      <c r="F1338" s="1">
        <f ca="1">IFERROR(__xludf.DUMMYFUNCTION("""COMPUTED_VALUE"""),329200)</f>
        <v>329200</v>
      </c>
      <c r="I1338" s="1"/>
    </row>
    <row r="1339" spans="1:9">
      <c r="A1339" s="3">
        <f ca="1">IFERROR(__xludf.DUMMYFUNCTION("""COMPUTED_VALUE"""),31153.6666666666)</f>
        <v>31153.666666666599</v>
      </c>
      <c r="B1339" s="1">
        <f ca="1">IFERROR(__xludf.DUMMYFUNCTION("""COMPUTED_VALUE"""),2.59)</f>
        <v>2.59</v>
      </c>
      <c r="C1339" s="1">
        <f ca="1">IFERROR(__xludf.DUMMYFUNCTION("""COMPUTED_VALUE"""),2.6)</f>
        <v>2.6</v>
      </c>
      <c r="D1339" s="1">
        <f ca="1">IFERROR(__xludf.DUMMYFUNCTION("""COMPUTED_VALUE"""),2.57)</f>
        <v>2.57</v>
      </c>
      <c r="E1339" s="1">
        <f ca="1">IFERROR(__xludf.DUMMYFUNCTION("""COMPUTED_VALUE"""),2.59)</f>
        <v>2.59</v>
      </c>
      <c r="F1339" s="1">
        <f ca="1">IFERROR(__xludf.DUMMYFUNCTION("""COMPUTED_VALUE"""),477600)</f>
        <v>477600</v>
      </c>
      <c r="I1339" s="1"/>
    </row>
    <row r="1340" spans="1:9">
      <c r="A1340" s="3">
        <f ca="1">IFERROR(__xludf.DUMMYFUNCTION("""COMPUTED_VALUE"""),31154.6666666666)</f>
        <v>31154.666666666599</v>
      </c>
      <c r="B1340" s="1">
        <f ca="1">IFERROR(__xludf.DUMMYFUNCTION("""COMPUTED_VALUE"""),2.61)</f>
        <v>2.61</v>
      </c>
      <c r="C1340" s="1">
        <f ca="1">IFERROR(__xludf.DUMMYFUNCTION("""COMPUTED_VALUE"""),2.62)</f>
        <v>2.62</v>
      </c>
      <c r="D1340" s="1">
        <f ca="1">IFERROR(__xludf.DUMMYFUNCTION("""COMPUTED_VALUE"""),2.59)</f>
        <v>2.59</v>
      </c>
      <c r="E1340" s="1">
        <f ca="1">IFERROR(__xludf.DUMMYFUNCTION("""COMPUTED_VALUE"""),2.61)</f>
        <v>2.61</v>
      </c>
      <c r="F1340" s="1">
        <f ca="1">IFERROR(__xludf.DUMMYFUNCTION("""COMPUTED_VALUE"""),434800)</f>
        <v>434800</v>
      </c>
      <c r="I1340" s="1"/>
    </row>
    <row r="1341" spans="1:9">
      <c r="A1341" s="3">
        <f ca="1">IFERROR(__xludf.DUMMYFUNCTION("""COMPUTED_VALUE"""),31155.6666666666)</f>
        <v>31155.666666666599</v>
      </c>
      <c r="B1341" s="1">
        <f ca="1">IFERROR(__xludf.DUMMYFUNCTION("""COMPUTED_VALUE"""),2.6)</f>
        <v>2.6</v>
      </c>
      <c r="C1341" s="1">
        <f ca="1">IFERROR(__xludf.DUMMYFUNCTION("""COMPUTED_VALUE"""),2.62)</f>
        <v>2.62</v>
      </c>
      <c r="D1341" s="1">
        <f ca="1">IFERROR(__xludf.DUMMYFUNCTION("""COMPUTED_VALUE"""),2.59)</f>
        <v>2.59</v>
      </c>
      <c r="E1341" s="1">
        <f ca="1">IFERROR(__xludf.DUMMYFUNCTION("""COMPUTED_VALUE"""),2.6)</f>
        <v>2.6</v>
      </c>
      <c r="F1341" s="1">
        <f ca="1">IFERROR(__xludf.DUMMYFUNCTION("""COMPUTED_VALUE"""),423500)</f>
        <v>423500</v>
      </c>
      <c r="I1341" s="1"/>
    </row>
    <row r="1342" spans="1:9">
      <c r="A1342" s="3">
        <f ca="1">IFERROR(__xludf.DUMMYFUNCTION("""COMPUTED_VALUE"""),31156.6666666666)</f>
        <v>31156.666666666599</v>
      </c>
      <c r="B1342" s="1">
        <f ca="1">IFERROR(__xludf.DUMMYFUNCTION("""COMPUTED_VALUE"""),2.58)</f>
        <v>2.58</v>
      </c>
      <c r="C1342" s="1">
        <f ca="1">IFERROR(__xludf.DUMMYFUNCTION("""COMPUTED_VALUE"""),2.6)</f>
        <v>2.6</v>
      </c>
      <c r="D1342" s="1">
        <f ca="1">IFERROR(__xludf.DUMMYFUNCTION("""COMPUTED_VALUE"""),2.58)</f>
        <v>2.58</v>
      </c>
      <c r="E1342" s="1">
        <f ca="1">IFERROR(__xludf.DUMMYFUNCTION("""COMPUTED_VALUE"""),2.58)</f>
        <v>2.58</v>
      </c>
      <c r="F1342" s="1">
        <f ca="1">IFERROR(__xludf.DUMMYFUNCTION("""COMPUTED_VALUE"""),503300)</f>
        <v>503300</v>
      </c>
      <c r="I1342" s="1"/>
    </row>
    <row r="1343" spans="1:9">
      <c r="A1343" s="3">
        <f ca="1">IFERROR(__xludf.DUMMYFUNCTION("""COMPUTED_VALUE"""),31159.6666666666)</f>
        <v>31159.666666666599</v>
      </c>
      <c r="B1343" s="1">
        <f ca="1">IFERROR(__xludf.DUMMYFUNCTION("""COMPUTED_VALUE"""),2.59)</f>
        <v>2.59</v>
      </c>
      <c r="C1343" s="1">
        <f ca="1">IFERROR(__xludf.DUMMYFUNCTION("""COMPUTED_VALUE"""),2.59)</f>
        <v>2.59</v>
      </c>
      <c r="D1343" s="1">
        <f ca="1">IFERROR(__xludf.DUMMYFUNCTION("""COMPUTED_VALUE"""),2.57)</f>
        <v>2.57</v>
      </c>
      <c r="E1343" s="1">
        <f ca="1">IFERROR(__xludf.DUMMYFUNCTION("""COMPUTED_VALUE"""),2.59)</f>
        <v>2.59</v>
      </c>
      <c r="F1343" s="1">
        <f ca="1">IFERROR(__xludf.DUMMYFUNCTION("""COMPUTED_VALUE"""),638300)</f>
        <v>638300</v>
      </c>
      <c r="I1343" s="1"/>
    </row>
    <row r="1344" spans="1:9">
      <c r="A1344" s="3">
        <f ca="1">IFERROR(__xludf.DUMMYFUNCTION("""COMPUTED_VALUE"""),31160.6666666666)</f>
        <v>31160.666666666599</v>
      </c>
      <c r="B1344" s="1">
        <f ca="1">IFERROR(__xludf.DUMMYFUNCTION("""COMPUTED_VALUE"""),2.72)</f>
        <v>2.72</v>
      </c>
      <c r="C1344" s="1">
        <f ca="1">IFERROR(__xludf.DUMMYFUNCTION("""COMPUTED_VALUE"""),2.72)</f>
        <v>2.72</v>
      </c>
      <c r="D1344" s="1">
        <f ca="1">IFERROR(__xludf.DUMMYFUNCTION("""COMPUTED_VALUE"""),2.58)</f>
        <v>2.58</v>
      </c>
      <c r="E1344" s="1">
        <f ca="1">IFERROR(__xludf.DUMMYFUNCTION("""COMPUTED_VALUE"""),2.72)</f>
        <v>2.72</v>
      </c>
      <c r="F1344" s="1">
        <f ca="1">IFERROR(__xludf.DUMMYFUNCTION("""COMPUTED_VALUE"""),1643000)</f>
        <v>1643000</v>
      </c>
      <c r="I1344" s="1"/>
    </row>
    <row r="1345" spans="1:9">
      <c r="A1345" s="3">
        <f ca="1">IFERROR(__xludf.DUMMYFUNCTION("""COMPUTED_VALUE"""),31161.6666666666)</f>
        <v>31161.666666666599</v>
      </c>
      <c r="B1345" s="1">
        <f ca="1">IFERROR(__xludf.DUMMYFUNCTION("""COMPUTED_VALUE"""),2.79)</f>
        <v>2.79</v>
      </c>
      <c r="C1345" s="1">
        <f ca="1">IFERROR(__xludf.DUMMYFUNCTION("""COMPUTED_VALUE"""),2.79)</f>
        <v>2.79</v>
      </c>
      <c r="D1345" s="1">
        <f ca="1">IFERROR(__xludf.DUMMYFUNCTION("""COMPUTED_VALUE"""),2.74)</f>
        <v>2.74</v>
      </c>
      <c r="E1345" s="1">
        <f ca="1">IFERROR(__xludf.DUMMYFUNCTION("""COMPUTED_VALUE"""),2.79)</f>
        <v>2.79</v>
      </c>
      <c r="F1345" s="1">
        <f ca="1">IFERROR(__xludf.DUMMYFUNCTION("""COMPUTED_VALUE"""),1713400)</f>
        <v>1713400</v>
      </c>
      <c r="I1345" s="1"/>
    </row>
    <row r="1346" spans="1:9">
      <c r="A1346" s="3">
        <f ca="1">IFERROR(__xludf.DUMMYFUNCTION("""COMPUTED_VALUE"""),31162.6666666666)</f>
        <v>31162.666666666599</v>
      </c>
      <c r="B1346" s="1">
        <f ca="1">IFERROR(__xludf.DUMMYFUNCTION("""COMPUTED_VALUE"""),2.75)</f>
        <v>2.75</v>
      </c>
      <c r="C1346" s="1">
        <f ca="1">IFERROR(__xludf.DUMMYFUNCTION("""COMPUTED_VALUE"""),2.8)</f>
        <v>2.8</v>
      </c>
      <c r="D1346" s="1">
        <f ca="1">IFERROR(__xludf.DUMMYFUNCTION("""COMPUTED_VALUE"""),2.73)</f>
        <v>2.73</v>
      </c>
      <c r="E1346" s="1">
        <f ca="1">IFERROR(__xludf.DUMMYFUNCTION("""COMPUTED_VALUE"""),2.75)</f>
        <v>2.75</v>
      </c>
      <c r="F1346" s="1">
        <f ca="1">IFERROR(__xludf.DUMMYFUNCTION("""COMPUTED_VALUE"""),649400)</f>
        <v>649400</v>
      </c>
      <c r="I1346" s="1"/>
    </row>
    <row r="1347" spans="1:9">
      <c r="A1347" s="3">
        <f ca="1">IFERROR(__xludf.DUMMYFUNCTION("""COMPUTED_VALUE"""),31163.6666666666)</f>
        <v>31163.666666666599</v>
      </c>
      <c r="B1347" s="1">
        <f ca="1">IFERROR(__xludf.DUMMYFUNCTION("""COMPUTED_VALUE"""),2.73)</f>
        <v>2.73</v>
      </c>
      <c r="C1347" s="1">
        <f ca="1">IFERROR(__xludf.DUMMYFUNCTION("""COMPUTED_VALUE"""),2.77)</f>
        <v>2.77</v>
      </c>
      <c r="D1347" s="1">
        <f ca="1">IFERROR(__xludf.DUMMYFUNCTION("""COMPUTED_VALUE"""),2.72)</f>
        <v>2.72</v>
      </c>
      <c r="E1347" s="1">
        <f ca="1">IFERROR(__xludf.DUMMYFUNCTION("""COMPUTED_VALUE"""),2.73)</f>
        <v>2.73</v>
      </c>
      <c r="F1347" s="1">
        <f ca="1">IFERROR(__xludf.DUMMYFUNCTION("""COMPUTED_VALUE"""),373600)</f>
        <v>373600</v>
      </c>
      <c r="I1347" s="1"/>
    </row>
    <row r="1348" spans="1:9">
      <c r="A1348" s="3">
        <f ca="1">IFERROR(__xludf.DUMMYFUNCTION("""COMPUTED_VALUE"""),31166.6666666666)</f>
        <v>31166.666666666599</v>
      </c>
      <c r="B1348" s="1">
        <f ca="1">IFERROR(__xludf.DUMMYFUNCTION("""COMPUTED_VALUE"""),2.73)</f>
        <v>2.73</v>
      </c>
      <c r="C1348" s="1">
        <f ca="1">IFERROR(__xludf.DUMMYFUNCTION("""COMPUTED_VALUE"""),2.76)</f>
        <v>2.76</v>
      </c>
      <c r="D1348" s="1">
        <f ca="1">IFERROR(__xludf.DUMMYFUNCTION("""COMPUTED_VALUE"""),2.73)</f>
        <v>2.73</v>
      </c>
      <c r="E1348" s="1">
        <f ca="1">IFERROR(__xludf.DUMMYFUNCTION("""COMPUTED_VALUE"""),2.73)</f>
        <v>2.73</v>
      </c>
      <c r="F1348" s="1">
        <f ca="1">IFERROR(__xludf.DUMMYFUNCTION("""COMPUTED_VALUE"""),347800)</f>
        <v>347800</v>
      </c>
      <c r="I1348" s="1"/>
    </row>
    <row r="1349" spans="1:9">
      <c r="A1349" s="3">
        <f ca="1">IFERROR(__xludf.DUMMYFUNCTION("""COMPUTED_VALUE"""),31167.6666666666)</f>
        <v>31167.666666666599</v>
      </c>
      <c r="B1349" s="1">
        <f ca="1">IFERROR(__xludf.DUMMYFUNCTION("""COMPUTED_VALUE"""),2.74)</f>
        <v>2.74</v>
      </c>
      <c r="C1349" s="1">
        <f ca="1">IFERROR(__xludf.DUMMYFUNCTION("""COMPUTED_VALUE"""),2.77)</f>
        <v>2.77</v>
      </c>
      <c r="D1349" s="1">
        <f ca="1">IFERROR(__xludf.DUMMYFUNCTION("""COMPUTED_VALUE"""),2.7)</f>
        <v>2.7</v>
      </c>
      <c r="E1349" s="1">
        <f ca="1">IFERROR(__xludf.DUMMYFUNCTION("""COMPUTED_VALUE"""),2.74)</f>
        <v>2.74</v>
      </c>
      <c r="F1349" s="1">
        <f ca="1">IFERROR(__xludf.DUMMYFUNCTION("""COMPUTED_VALUE"""),377300)</f>
        <v>377300</v>
      </c>
      <c r="I1349" s="1"/>
    </row>
    <row r="1350" spans="1:9">
      <c r="A1350" s="3">
        <f ca="1">IFERROR(__xludf.DUMMYFUNCTION("""COMPUTED_VALUE"""),31168.6666666666)</f>
        <v>31168.666666666599</v>
      </c>
      <c r="B1350" s="1">
        <f ca="1">IFERROR(__xludf.DUMMYFUNCTION("""COMPUTED_VALUE"""),2.69)</f>
        <v>2.69</v>
      </c>
      <c r="C1350" s="1">
        <f ca="1">IFERROR(__xludf.DUMMYFUNCTION("""COMPUTED_VALUE"""),2.75)</f>
        <v>2.75</v>
      </c>
      <c r="D1350" s="1">
        <f ca="1">IFERROR(__xludf.DUMMYFUNCTION("""COMPUTED_VALUE"""),2.68)</f>
        <v>2.68</v>
      </c>
      <c r="E1350" s="1">
        <f ca="1">IFERROR(__xludf.DUMMYFUNCTION("""COMPUTED_VALUE"""),2.69)</f>
        <v>2.69</v>
      </c>
      <c r="F1350" s="1">
        <f ca="1">IFERROR(__xludf.DUMMYFUNCTION("""COMPUTED_VALUE"""),389600)</f>
        <v>389600</v>
      </c>
      <c r="I1350" s="1"/>
    </row>
    <row r="1351" spans="1:9">
      <c r="A1351" s="3">
        <f ca="1">IFERROR(__xludf.DUMMYFUNCTION("""COMPUTED_VALUE"""),31169.6666666666)</f>
        <v>31169.666666666599</v>
      </c>
      <c r="B1351" s="1">
        <f ca="1">IFERROR(__xludf.DUMMYFUNCTION("""COMPUTED_VALUE"""),2.72)</f>
        <v>2.72</v>
      </c>
      <c r="C1351" s="1">
        <f ca="1">IFERROR(__xludf.DUMMYFUNCTION("""COMPUTED_VALUE"""),2.73)</f>
        <v>2.73</v>
      </c>
      <c r="D1351" s="1">
        <f ca="1">IFERROR(__xludf.DUMMYFUNCTION("""COMPUTED_VALUE"""),2.69)</f>
        <v>2.69</v>
      </c>
      <c r="E1351" s="1">
        <f ca="1">IFERROR(__xludf.DUMMYFUNCTION("""COMPUTED_VALUE"""),2.72)</f>
        <v>2.72</v>
      </c>
      <c r="F1351" s="1">
        <f ca="1">IFERROR(__xludf.DUMMYFUNCTION("""COMPUTED_VALUE"""),372400)</f>
        <v>372400</v>
      </c>
      <c r="I1351" s="1"/>
    </row>
    <row r="1352" spans="1:9">
      <c r="A1352" s="3">
        <f ca="1">IFERROR(__xludf.DUMMYFUNCTION("""COMPUTED_VALUE"""),31170.6666666666)</f>
        <v>31170.666666666599</v>
      </c>
      <c r="B1352" s="1">
        <f ca="1">IFERROR(__xludf.DUMMYFUNCTION("""COMPUTED_VALUE"""),2.78)</f>
        <v>2.78</v>
      </c>
      <c r="C1352" s="1">
        <f ca="1">IFERROR(__xludf.DUMMYFUNCTION("""COMPUTED_VALUE"""),2.78)</f>
        <v>2.78</v>
      </c>
      <c r="D1352" s="1">
        <f ca="1">IFERROR(__xludf.DUMMYFUNCTION("""COMPUTED_VALUE"""),2.73)</f>
        <v>2.73</v>
      </c>
      <c r="E1352" s="1">
        <f ca="1">IFERROR(__xludf.DUMMYFUNCTION("""COMPUTED_VALUE"""),2.78)</f>
        <v>2.78</v>
      </c>
      <c r="F1352" s="1">
        <f ca="1">IFERROR(__xludf.DUMMYFUNCTION("""COMPUTED_VALUE"""),391600)</f>
        <v>391600</v>
      </c>
      <c r="I1352" s="1"/>
    </row>
    <row r="1353" spans="1:9">
      <c r="A1353" s="3">
        <f ca="1">IFERROR(__xludf.DUMMYFUNCTION("""COMPUTED_VALUE"""),31173.6666666666)</f>
        <v>31173.666666666599</v>
      </c>
      <c r="B1353" s="1">
        <f ca="1">IFERROR(__xludf.DUMMYFUNCTION("""COMPUTED_VALUE"""),2.8)</f>
        <v>2.8</v>
      </c>
      <c r="C1353" s="1">
        <f ca="1">IFERROR(__xludf.DUMMYFUNCTION("""COMPUTED_VALUE"""),2.82)</f>
        <v>2.82</v>
      </c>
      <c r="D1353" s="1">
        <f ca="1">IFERROR(__xludf.DUMMYFUNCTION("""COMPUTED_VALUE"""),2.78)</f>
        <v>2.78</v>
      </c>
      <c r="E1353" s="1">
        <f ca="1">IFERROR(__xludf.DUMMYFUNCTION("""COMPUTED_VALUE"""),2.8)</f>
        <v>2.8</v>
      </c>
      <c r="F1353" s="1">
        <f ca="1">IFERROR(__xludf.DUMMYFUNCTION("""COMPUTED_VALUE"""),468000)</f>
        <v>468000</v>
      </c>
      <c r="I1353" s="1"/>
    </row>
    <row r="1354" spans="1:9">
      <c r="A1354" s="3">
        <f ca="1">IFERROR(__xludf.DUMMYFUNCTION("""COMPUTED_VALUE"""),31174.6666666666)</f>
        <v>31174.666666666599</v>
      </c>
      <c r="B1354" s="1">
        <f ca="1">IFERROR(__xludf.DUMMYFUNCTION("""COMPUTED_VALUE"""),2.8)</f>
        <v>2.8</v>
      </c>
      <c r="C1354" s="1">
        <f ca="1">IFERROR(__xludf.DUMMYFUNCTION("""COMPUTED_VALUE"""),2.81)</f>
        <v>2.81</v>
      </c>
      <c r="D1354" s="1">
        <f ca="1">IFERROR(__xludf.DUMMYFUNCTION("""COMPUTED_VALUE"""),2.79)</f>
        <v>2.79</v>
      </c>
      <c r="E1354" s="1">
        <f ca="1">IFERROR(__xludf.DUMMYFUNCTION("""COMPUTED_VALUE"""),2.8)</f>
        <v>2.8</v>
      </c>
      <c r="F1354" s="1">
        <f ca="1">IFERROR(__xludf.DUMMYFUNCTION("""COMPUTED_VALUE"""),283500)</f>
        <v>283500</v>
      </c>
      <c r="I1354" s="1"/>
    </row>
    <row r="1355" spans="1:9">
      <c r="A1355" s="3">
        <f ca="1">IFERROR(__xludf.DUMMYFUNCTION("""COMPUTED_VALUE"""),31175.6666666666)</f>
        <v>31175.666666666599</v>
      </c>
      <c r="B1355" s="1">
        <f ca="1">IFERROR(__xludf.DUMMYFUNCTION("""COMPUTED_VALUE"""),2.81)</f>
        <v>2.81</v>
      </c>
      <c r="C1355" s="1">
        <f ca="1">IFERROR(__xludf.DUMMYFUNCTION("""COMPUTED_VALUE"""),2.82)</f>
        <v>2.82</v>
      </c>
      <c r="D1355" s="1">
        <f ca="1">IFERROR(__xludf.DUMMYFUNCTION("""COMPUTED_VALUE"""),2.79)</f>
        <v>2.79</v>
      </c>
      <c r="E1355" s="1">
        <f ca="1">IFERROR(__xludf.DUMMYFUNCTION("""COMPUTED_VALUE"""),2.81)</f>
        <v>2.81</v>
      </c>
      <c r="F1355" s="1">
        <f ca="1">IFERROR(__xludf.DUMMYFUNCTION("""COMPUTED_VALUE"""),277600)</f>
        <v>277600</v>
      </c>
      <c r="I1355" s="1"/>
    </row>
    <row r="1356" spans="1:9">
      <c r="A1356" s="3">
        <f ca="1">IFERROR(__xludf.DUMMYFUNCTION("""COMPUTED_VALUE"""),31176.6666666666)</f>
        <v>31176.666666666599</v>
      </c>
      <c r="B1356" s="1">
        <f ca="1">IFERROR(__xludf.DUMMYFUNCTION("""COMPUTED_VALUE"""),2.87)</f>
        <v>2.87</v>
      </c>
      <c r="C1356" s="1">
        <f ca="1">IFERROR(__xludf.DUMMYFUNCTION("""COMPUTED_VALUE"""),2.88)</f>
        <v>2.88</v>
      </c>
      <c r="D1356" s="1">
        <f ca="1">IFERROR(__xludf.DUMMYFUNCTION("""COMPUTED_VALUE"""),2.84)</f>
        <v>2.84</v>
      </c>
      <c r="E1356" s="1">
        <f ca="1">IFERROR(__xludf.DUMMYFUNCTION("""COMPUTED_VALUE"""),2.87)</f>
        <v>2.87</v>
      </c>
      <c r="F1356" s="1">
        <f ca="1">IFERROR(__xludf.DUMMYFUNCTION("""COMPUTED_VALUE"""),476900)</f>
        <v>476900</v>
      </c>
      <c r="I1356" s="1"/>
    </row>
    <row r="1357" spans="1:9">
      <c r="A1357" s="3">
        <f ca="1">IFERROR(__xludf.DUMMYFUNCTION("""COMPUTED_VALUE"""),31177.6666666666)</f>
        <v>31177.666666666599</v>
      </c>
      <c r="B1357" s="1">
        <f ca="1">IFERROR(__xludf.DUMMYFUNCTION("""COMPUTED_VALUE"""),2.91)</f>
        <v>2.91</v>
      </c>
      <c r="C1357" s="1">
        <f ca="1">IFERROR(__xludf.DUMMYFUNCTION("""COMPUTED_VALUE"""),2.93)</f>
        <v>2.93</v>
      </c>
      <c r="D1357" s="1">
        <f ca="1">IFERROR(__xludf.DUMMYFUNCTION("""COMPUTED_VALUE"""),2.9)</f>
        <v>2.9</v>
      </c>
      <c r="E1357" s="1">
        <f ca="1">IFERROR(__xludf.DUMMYFUNCTION("""COMPUTED_VALUE"""),2.91)</f>
        <v>2.91</v>
      </c>
      <c r="F1357" s="1">
        <f ca="1">IFERROR(__xludf.DUMMYFUNCTION("""COMPUTED_VALUE"""),625400)</f>
        <v>625400</v>
      </c>
      <c r="I1357" s="1"/>
    </row>
    <row r="1358" spans="1:9">
      <c r="A1358" s="3">
        <f ca="1">IFERROR(__xludf.DUMMYFUNCTION("""COMPUTED_VALUE"""),31180.6666666666)</f>
        <v>31180.666666666599</v>
      </c>
      <c r="B1358" s="1">
        <f ca="1">IFERROR(__xludf.DUMMYFUNCTION("""COMPUTED_VALUE"""),2.91)</f>
        <v>2.91</v>
      </c>
      <c r="C1358" s="1">
        <f ca="1">IFERROR(__xludf.DUMMYFUNCTION("""COMPUTED_VALUE"""),2.92)</f>
        <v>2.92</v>
      </c>
      <c r="D1358" s="1">
        <f ca="1">IFERROR(__xludf.DUMMYFUNCTION("""COMPUTED_VALUE"""),2.89)</f>
        <v>2.89</v>
      </c>
      <c r="E1358" s="1">
        <f ca="1">IFERROR(__xludf.DUMMYFUNCTION("""COMPUTED_VALUE"""),2.91)</f>
        <v>2.91</v>
      </c>
      <c r="F1358" s="1">
        <f ca="1">IFERROR(__xludf.DUMMYFUNCTION("""COMPUTED_VALUE"""),240300)</f>
        <v>240300</v>
      </c>
      <c r="I1358" s="1"/>
    </row>
    <row r="1359" spans="1:9">
      <c r="A1359" s="3">
        <f ca="1">IFERROR(__xludf.DUMMYFUNCTION("""COMPUTED_VALUE"""),31181.6666666666)</f>
        <v>31181.666666666599</v>
      </c>
      <c r="B1359" s="1">
        <f ca="1">IFERROR(__xludf.DUMMYFUNCTION("""COMPUTED_VALUE"""),2.92)</f>
        <v>2.92</v>
      </c>
      <c r="C1359" s="1">
        <f ca="1">IFERROR(__xludf.DUMMYFUNCTION("""COMPUTED_VALUE"""),2.95)</f>
        <v>2.95</v>
      </c>
      <c r="D1359" s="1">
        <f ca="1">IFERROR(__xludf.DUMMYFUNCTION("""COMPUTED_VALUE"""),2.91)</f>
        <v>2.91</v>
      </c>
      <c r="E1359" s="1">
        <f ca="1">IFERROR(__xludf.DUMMYFUNCTION("""COMPUTED_VALUE"""),2.92)</f>
        <v>2.92</v>
      </c>
      <c r="F1359" s="1">
        <f ca="1">IFERROR(__xludf.DUMMYFUNCTION("""COMPUTED_VALUE"""),584100)</f>
        <v>584100</v>
      </c>
      <c r="I1359" s="1"/>
    </row>
    <row r="1360" spans="1:9">
      <c r="A1360" s="3">
        <f ca="1">IFERROR(__xludf.DUMMYFUNCTION("""COMPUTED_VALUE"""),31182.6666666666)</f>
        <v>31182.666666666599</v>
      </c>
      <c r="B1360" s="1">
        <f ca="1">IFERROR(__xludf.DUMMYFUNCTION("""COMPUTED_VALUE"""),2.89)</f>
        <v>2.89</v>
      </c>
      <c r="C1360" s="1">
        <f ca="1">IFERROR(__xludf.DUMMYFUNCTION("""COMPUTED_VALUE"""),2.94)</f>
        <v>2.94</v>
      </c>
      <c r="D1360" s="1">
        <f ca="1">IFERROR(__xludf.DUMMYFUNCTION("""COMPUTED_VALUE"""),2.88)</f>
        <v>2.88</v>
      </c>
      <c r="E1360" s="1">
        <f ca="1">IFERROR(__xludf.DUMMYFUNCTION("""COMPUTED_VALUE"""),2.89)</f>
        <v>2.89</v>
      </c>
      <c r="F1360" s="1">
        <f ca="1">IFERROR(__xludf.DUMMYFUNCTION("""COMPUTED_VALUE"""),435500)</f>
        <v>435500</v>
      </c>
      <c r="I1360" s="1"/>
    </row>
    <row r="1361" spans="1:9">
      <c r="A1361" s="3">
        <f ca="1">IFERROR(__xludf.DUMMYFUNCTION("""COMPUTED_VALUE"""),31183.6666666666)</f>
        <v>31183.666666666599</v>
      </c>
      <c r="B1361" s="1">
        <f ca="1">IFERROR(__xludf.DUMMYFUNCTION("""COMPUTED_VALUE"""),2.89)</f>
        <v>2.89</v>
      </c>
      <c r="C1361" s="1">
        <f ca="1">IFERROR(__xludf.DUMMYFUNCTION("""COMPUTED_VALUE"""),2.91)</f>
        <v>2.91</v>
      </c>
      <c r="D1361" s="1">
        <f ca="1">IFERROR(__xludf.DUMMYFUNCTION("""COMPUTED_VALUE"""),2.84)</f>
        <v>2.84</v>
      </c>
      <c r="E1361" s="1">
        <f ca="1">IFERROR(__xludf.DUMMYFUNCTION("""COMPUTED_VALUE"""),2.89)</f>
        <v>2.89</v>
      </c>
      <c r="F1361" s="1">
        <f ca="1">IFERROR(__xludf.DUMMYFUNCTION("""COMPUTED_VALUE"""),330400)</f>
        <v>330400</v>
      </c>
      <c r="I1361" s="1"/>
    </row>
    <row r="1362" spans="1:9">
      <c r="A1362" s="3">
        <f ca="1">IFERROR(__xludf.DUMMYFUNCTION("""COMPUTED_VALUE"""),31184.6666666666)</f>
        <v>31184.666666666599</v>
      </c>
      <c r="B1362" s="1">
        <f ca="1">IFERROR(__xludf.DUMMYFUNCTION("""COMPUTED_VALUE"""),2.86)</f>
        <v>2.86</v>
      </c>
      <c r="C1362" s="1">
        <f ca="1">IFERROR(__xludf.DUMMYFUNCTION("""COMPUTED_VALUE"""),2.91)</f>
        <v>2.91</v>
      </c>
      <c r="D1362" s="1">
        <f ca="1">IFERROR(__xludf.DUMMYFUNCTION("""COMPUTED_VALUE"""),2.86)</f>
        <v>2.86</v>
      </c>
      <c r="E1362" s="1">
        <f ca="1">IFERROR(__xludf.DUMMYFUNCTION("""COMPUTED_VALUE"""),2.86)</f>
        <v>2.86</v>
      </c>
      <c r="F1362" s="1">
        <f ca="1">IFERROR(__xludf.DUMMYFUNCTION("""COMPUTED_VALUE"""),402800)</f>
        <v>402800</v>
      </c>
      <c r="I1362" s="1"/>
    </row>
    <row r="1363" spans="1:9">
      <c r="A1363" s="3">
        <f ca="1">IFERROR(__xludf.DUMMYFUNCTION("""COMPUTED_VALUE"""),31187.6666666666)</f>
        <v>31187.666666666599</v>
      </c>
      <c r="B1363" s="1">
        <f ca="1">IFERROR(__xludf.DUMMYFUNCTION("""COMPUTED_VALUE"""),2.95)</f>
        <v>2.95</v>
      </c>
      <c r="C1363" s="1">
        <f ca="1">IFERROR(__xludf.DUMMYFUNCTION("""COMPUTED_VALUE"""),2.96)</f>
        <v>2.96</v>
      </c>
      <c r="D1363" s="1">
        <f ca="1">IFERROR(__xludf.DUMMYFUNCTION("""COMPUTED_VALUE"""),2.89)</f>
        <v>2.89</v>
      </c>
      <c r="E1363" s="1">
        <f ca="1">IFERROR(__xludf.DUMMYFUNCTION("""COMPUTED_VALUE"""),2.95)</f>
        <v>2.95</v>
      </c>
      <c r="F1363" s="1">
        <f ca="1">IFERROR(__xludf.DUMMYFUNCTION("""COMPUTED_VALUE"""),763900)</f>
        <v>763900</v>
      </c>
      <c r="I1363" s="1"/>
    </row>
    <row r="1364" spans="1:9">
      <c r="A1364" s="3">
        <f ca="1">IFERROR(__xludf.DUMMYFUNCTION("""COMPUTED_VALUE"""),31188.6666666666)</f>
        <v>31188.666666666599</v>
      </c>
      <c r="B1364" s="1">
        <f ca="1">IFERROR(__xludf.DUMMYFUNCTION("""COMPUTED_VALUE"""),2.94)</f>
        <v>2.94</v>
      </c>
      <c r="C1364" s="1">
        <f ca="1">IFERROR(__xludf.DUMMYFUNCTION("""COMPUTED_VALUE"""),2.96)</f>
        <v>2.96</v>
      </c>
      <c r="D1364" s="1">
        <f ca="1">IFERROR(__xludf.DUMMYFUNCTION("""COMPUTED_VALUE"""),2.92)</f>
        <v>2.92</v>
      </c>
      <c r="E1364" s="1">
        <f ca="1">IFERROR(__xludf.DUMMYFUNCTION("""COMPUTED_VALUE"""),2.94)</f>
        <v>2.94</v>
      </c>
      <c r="F1364" s="1">
        <f ca="1">IFERROR(__xludf.DUMMYFUNCTION("""COMPUTED_VALUE"""),681600)</f>
        <v>681600</v>
      </c>
      <c r="I1364" s="1"/>
    </row>
    <row r="1365" spans="1:9">
      <c r="A1365" s="3">
        <f ca="1">IFERROR(__xludf.DUMMYFUNCTION("""COMPUTED_VALUE"""),31189.6666666666)</f>
        <v>31189.666666666599</v>
      </c>
      <c r="B1365" s="1">
        <f ca="1">IFERROR(__xludf.DUMMYFUNCTION("""COMPUTED_VALUE"""),2.93)</f>
        <v>2.93</v>
      </c>
      <c r="C1365" s="1">
        <f ca="1">IFERROR(__xludf.DUMMYFUNCTION("""COMPUTED_VALUE"""),2.93)</f>
        <v>2.93</v>
      </c>
      <c r="D1365" s="1">
        <f ca="1">IFERROR(__xludf.DUMMYFUNCTION("""COMPUTED_VALUE"""),2.88)</f>
        <v>2.88</v>
      </c>
      <c r="E1365" s="1">
        <f ca="1">IFERROR(__xludf.DUMMYFUNCTION("""COMPUTED_VALUE"""),2.93)</f>
        <v>2.93</v>
      </c>
      <c r="F1365" s="1">
        <f ca="1">IFERROR(__xludf.DUMMYFUNCTION("""COMPUTED_VALUE"""),504100)</f>
        <v>504100</v>
      </c>
      <c r="I1365" s="1"/>
    </row>
    <row r="1366" spans="1:9">
      <c r="A1366" s="3">
        <f ca="1">IFERROR(__xludf.DUMMYFUNCTION("""COMPUTED_VALUE"""),31190.6666666666)</f>
        <v>31190.666666666599</v>
      </c>
      <c r="B1366" s="1">
        <f ca="1">IFERROR(__xludf.DUMMYFUNCTION("""COMPUTED_VALUE"""),2.93)</f>
        <v>2.93</v>
      </c>
      <c r="C1366" s="1">
        <f ca="1">IFERROR(__xludf.DUMMYFUNCTION("""COMPUTED_VALUE"""),2.94)</f>
        <v>2.94</v>
      </c>
      <c r="D1366" s="1">
        <f ca="1">IFERROR(__xludf.DUMMYFUNCTION("""COMPUTED_VALUE"""),2.91)</f>
        <v>2.91</v>
      </c>
      <c r="E1366" s="1">
        <f ca="1">IFERROR(__xludf.DUMMYFUNCTION("""COMPUTED_VALUE"""),2.93)</f>
        <v>2.93</v>
      </c>
      <c r="F1366" s="1">
        <f ca="1">IFERROR(__xludf.DUMMYFUNCTION("""COMPUTED_VALUE"""),157300)</f>
        <v>157300</v>
      </c>
      <c r="I1366" s="1"/>
    </row>
    <row r="1367" spans="1:9">
      <c r="A1367" s="3">
        <f ca="1">IFERROR(__xludf.DUMMYFUNCTION("""COMPUTED_VALUE"""),31191.6666666666)</f>
        <v>31191.666666666599</v>
      </c>
      <c r="B1367" s="1">
        <f ca="1">IFERROR(__xludf.DUMMYFUNCTION("""COMPUTED_VALUE"""),2.93)</f>
        <v>2.93</v>
      </c>
      <c r="C1367" s="1">
        <f ca="1">IFERROR(__xludf.DUMMYFUNCTION("""COMPUTED_VALUE"""),2.93)</f>
        <v>2.93</v>
      </c>
      <c r="D1367" s="1">
        <f ca="1">IFERROR(__xludf.DUMMYFUNCTION("""COMPUTED_VALUE"""),2.89)</f>
        <v>2.89</v>
      </c>
      <c r="E1367" s="1">
        <f ca="1">IFERROR(__xludf.DUMMYFUNCTION("""COMPUTED_VALUE"""),2.93)</f>
        <v>2.93</v>
      </c>
      <c r="F1367" s="1">
        <f ca="1">IFERROR(__xludf.DUMMYFUNCTION("""COMPUTED_VALUE"""),172700)</f>
        <v>172700</v>
      </c>
      <c r="I1367" s="1"/>
    </row>
    <row r="1368" spans="1:9">
      <c r="A1368" s="3">
        <f ca="1">IFERROR(__xludf.DUMMYFUNCTION("""COMPUTED_VALUE"""),31195.6666666666)</f>
        <v>31195.666666666599</v>
      </c>
      <c r="B1368" s="1">
        <f ca="1">IFERROR(__xludf.DUMMYFUNCTION("""COMPUTED_VALUE"""),2.88)</f>
        <v>2.88</v>
      </c>
      <c r="C1368" s="1">
        <f ca="1">IFERROR(__xludf.DUMMYFUNCTION("""COMPUTED_VALUE"""),2.95)</f>
        <v>2.95</v>
      </c>
      <c r="D1368" s="1">
        <f ca="1">IFERROR(__xludf.DUMMYFUNCTION("""COMPUTED_VALUE"""),2.86)</f>
        <v>2.86</v>
      </c>
      <c r="E1368" s="1">
        <f ca="1">IFERROR(__xludf.DUMMYFUNCTION("""COMPUTED_VALUE"""),2.88)</f>
        <v>2.88</v>
      </c>
      <c r="F1368" s="1">
        <f ca="1">IFERROR(__xludf.DUMMYFUNCTION("""COMPUTED_VALUE"""),278800)</f>
        <v>278800</v>
      </c>
      <c r="I1368" s="1"/>
    </row>
    <row r="1369" spans="1:9">
      <c r="A1369" s="3">
        <f ca="1">IFERROR(__xludf.DUMMYFUNCTION("""COMPUTED_VALUE"""),31196.6666666666)</f>
        <v>31196.666666666599</v>
      </c>
      <c r="B1369" s="1">
        <f ca="1">IFERROR(__xludf.DUMMYFUNCTION("""COMPUTED_VALUE"""),2.88)</f>
        <v>2.88</v>
      </c>
      <c r="C1369" s="1">
        <f ca="1">IFERROR(__xludf.DUMMYFUNCTION("""COMPUTED_VALUE"""),2.9)</f>
        <v>2.9</v>
      </c>
      <c r="D1369" s="1">
        <f ca="1">IFERROR(__xludf.DUMMYFUNCTION("""COMPUTED_VALUE"""),2.86)</f>
        <v>2.86</v>
      </c>
      <c r="E1369" s="1">
        <f ca="1">IFERROR(__xludf.DUMMYFUNCTION("""COMPUTED_VALUE"""),2.88)</f>
        <v>2.88</v>
      </c>
      <c r="F1369" s="1">
        <f ca="1">IFERROR(__xludf.DUMMYFUNCTION("""COMPUTED_VALUE"""),154800)</f>
        <v>154800</v>
      </c>
      <c r="I1369" s="1"/>
    </row>
    <row r="1370" spans="1:9">
      <c r="A1370" s="3">
        <f ca="1">IFERROR(__xludf.DUMMYFUNCTION("""COMPUTED_VALUE"""),31197.6666666666)</f>
        <v>31197.666666666599</v>
      </c>
      <c r="B1370" s="1">
        <f ca="1">IFERROR(__xludf.DUMMYFUNCTION("""COMPUTED_VALUE"""),2.92)</f>
        <v>2.92</v>
      </c>
      <c r="C1370" s="1">
        <f ca="1">IFERROR(__xludf.DUMMYFUNCTION("""COMPUTED_VALUE"""),2.92)</f>
        <v>2.92</v>
      </c>
      <c r="D1370" s="1">
        <f ca="1">IFERROR(__xludf.DUMMYFUNCTION("""COMPUTED_VALUE"""),2.88)</f>
        <v>2.88</v>
      </c>
      <c r="E1370" s="1">
        <f ca="1">IFERROR(__xludf.DUMMYFUNCTION("""COMPUTED_VALUE"""),2.92)</f>
        <v>2.92</v>
      </c>
      <c r="F1370" s="1">
        <f ca="1">IFERROR(__xludf.DUMMYFUNCTION("""COMPUTED_VALUE"""),187100)</f>
        <v>187100</v>
      </c>
      <c r="I1370" s="1"/>
    </row>
    <row r="1371" spans="1:9">
      <c r="A1371" s="3">
        <f ca="1">IFERROR(__xludf.DUMMYFUNCTION("""COMPUTED_VALUE"""),31198.6666666666)</f>
        <v>31198.666666666599</v>
      </c>
      <c r="B1371" s="1">
        <f ca="1">IFERROR(__xludf.DUMMYFUNCTION("""COMPUTED_VALUE"""),2.94)</f>
        <v>2.94</v>
      </c>
      <c r="C1371" s="1">
        <f ca="1">IFERROR(__xludf.DUMMYFUNCTION("""COMPUTED_VALUE"""),2.95)</f>
        <v>2.95</v>
      </c>
      <c r="D1371" s="1">
        <f ca="1">IFERROR(__xludf.DUMMYFUNCTION("""COMPUTED_VALUE"""),2.91)</f>
        <v>2.91</v>
      </c>
      <c r="E1371" s="1">
        <f ca="1">IFERROR(__xludf.DUMMYFUNCTION("""COMPUTED_VALUE"""),2.94)</f>
        <v>2.94</v>
      </c>
      <c r="F1371" s="1">
        <f ca="1">IFERROR(__xludf.DUMMYFUNCTION("""COMPUTED_VALUE"""),368300)</f>
        <v>368300</v>
      </c>
      <c r="I1371" s="1"/>
    </row>
    <row r="1372" spans="1:9">
      <c r="A1372" s="3">
        <f ca="1">IFERROR(__xludf.DUMMYFUNCTION("""COMPUTED_VALUE"""),31201.6666666666)</f>
        <v>31201.666666666599</v>
      </c>
      <c r="B1372" s="1">
        <f ca="1">IFERROR(__xludf.DUMMYFUNCTION("""COMPUTED_VALUE"""),2.99)</f>
        <v>2.99</v>
      </c>
      <c r="C1372" s="1">
        <f ca="1">IFERROR(__xludf.DUMMYFUNCTION("""COMPUTED_VALUE"""),2.99)</f>
        <v>2.99</v>
      </c>
      <c r="D1372" s="1">
        <f ca="1">IFERROR(__xludf.DUMMYFUNCTION("""COMPUTED_VALUE"""),2.95)</f>
        <v>2.95</v>
      </c>
      <c r="E1372" s="1">
        <f ca="1">IFERROR(__xludf.DUMMYFUNCTION("""COMPUTED_VALUE"""),2.99)</f>
        <v>2.99</v>
      </c>
      <c r="F1372" s="1">
        <f ca="1">IFERROR(__xludf.DUMMYFUNCTION("""COMPUTED_VALUE"""),532400)</f>
        <v>532400</v>
      </c>
      <c r="I1372" s="1"/>
    </row>
    <row r="1373" spans="1:9">
      <c r="A1373" s="3">
        <f ca="1">IFERROR(__xludf.DUMMYFUNCTION("""COMPUTED_VALUE"""),31202.6666666666)</f>
        <v>31202.666666666599</v>
      </c>
      <c r="B1373" s="1">
        <f ca="1">IFERROR(__xludf.DUMMYFUNCTION("""COMPUTED_VALUE"""),2.97)</f>
        <v>2.97</v>
      </c>
      <c r="C1373" s="1">
        <f ca="1">IFERROR(__xludf.DUMMYFUNCTION("""COMPUTED_VALUE"""),2.99)</f>
        <v>2.99</v>
      </c>
      <c r="D1373" s="1">
        <f ca="1">IFERROR(__xludf.DUMMYFUNCTION("""COMPUTED_VALUE"""),2.95)</f>
        <v>2.95</v>
      </c>
      <c r="E1373" s="1">
        <f ca="1">IFERROR(__xludf.DUMMYFUNCTION("""COMPUTED_VALUE"""),2.97)</f>
        <v>2.97</v>
      </c>
      <c r="F1373" s="1">
        <f ca="1">IFERROR(__xludf.DUMMYFUNCTION("""COMPUTED_VALUE"""),389400)</f>
        <v>389400</v>
      </c>
      <c r="I1373" s="1"/>
    </row>
    <row r="1374" spans="1:9">
      <c r="A1374" s="3">
        <f ca="1">IFERROR(__xludf.DUMMYFUNCTION("""COMPUTED_VALUE"""),31203.6666666666)</f>
        <v>31203.666666666599</v>
      </c>
      <c r="B1374" s="1">
        <f ca="1">IFERROR(__xludf.DUMMYFUNCTION("""COMPUTED_VALUE"""),2.97)</f>
        <v>2.97</v>
      </c>
      <c r="C1374" s="1">
        <f ca="1">IFERROR(__xludf.DUMMYFUNCTION("""COMPUTED_VALUE"""),2.99)</f>
        <v>2.99</v>
      </c>
      <c r="D1374" s="1">
        <f ca="1">IFERROR(__xludf.DUMMYFUNCTION("""COMPUTED_VALUE"""),2.95)</f>
        <v>2.95</v>
      </c>
      <c r="E1374" s="1">
        <f ca="1">IFERROR(__xludf.DUMMYFUNCTION("""COMPUTED_VALUE"""),2.97)</f>
        <v>2.97</v>
      </c>
      <c r="F1374" s="1">
        <f ca="1">IFERROR(__xludf.DUMMYFUNCTION("""COMPUTED_VALUE"""),304700)</f>
        <v>304700</v>
      </c>
      <c r="I1374" s="1"/>
    </row>
    <row r="1375" spans="1:9">
      <c r="A1375" s="3">
        <f ca="1">IFERROR(__xludf.DUMMYFUNCTION("""COMPUTED_VALUE"""),31204.6666666666)</f>
        <v>31204.666666666599</v>
      </c>
      <c r="B1375" s="1">
        <f ca="1">IFERROR(__xludf.DUMMYFUNCTION("""COMPUTED_VALUE"""),2.99)</f>
        <v>2.99</v>
      </c>
      <c r="C1375" s="1">
        <f ca="1">IFERROR(__xludf.DUMMYFUNCTION("""COMPUTED_VALUE"""),2.99)</f>
        <v>2.99</v>
      </c>
      <c r="D1375" s="1">
        <f ca="1">IFERROR(__xludf.DUMMYFUNCTION("""COMPUTED_VALUE"""),2.95)</f>
        <v>2.95</v>
      </c>
      <c r="E1375" s="1">
        <f ca="1">IFERROR(__xludf.DUMMYFUNCTION("""COMPUTED_VALUE"""),2.99)</f>
        <v>2.99</v>
      </c>
      <c r="F1375" s="1">
        <f ca="1">IFERROR(__xludf.DUMMYFUNCTION("""COMPUTED_VALUE"""),297000)</f>
        <v>297000</v>
      </c>
      <c r="I1375" s="1"/>
    </row>
    <row r="1376" spans="1:9">
      <c r="A1376" s="3">
        <f ca="1">IFERROR(__xludf.DUMMYFUNCTION("""COMPUTED_VALUE"""),31205.6666666666)</f>
        <v>31205.666666666599</v>
      </c>
      <c r="B1376" s="1">
        <f ca="1">IFERROR(__xludf.DUMMYFUNCTION("""COMPUTED_VALUE"""),2.94)</f>
        <v>2.94</v>
      </c>
      <c r="C1376" s="1">
        <f ca="1">IFERROR(__xludf.DUMMYFUNCTION("""COMPUTED_VALUE"""),2.99)</f>
        <v>2.99</v>
      </c>
      <c r="D1376" s="1">
        <f ca="1">IFERROR(__xludf.DUMMYFUNCTION("""COMPUTED_VALUE"""),2.94)</f>
        <v>2.94</v>
      </c>
      <c r="E1376" s="1">
        <f ca="1">IFERROR(__xludf.DUMMYFUNCTION("""COMPUTED_VALUE"""),2.94)</f>
        <v>2.94</v>
      </c>
      <c r="F1376" s="1">
        <f ca="1">IFERROR(__xludf.DUMMYFUNCTION("""COMPUTED_VALUE"""),280000)</f>
        <v>280000</v>
      </c>
      <c r="I1376" s="1"/>
    </row>
    <row r="1377" spans="1:9">
      <c r="A1377" s="3">
        <f ca="1">IFERROR(__xludf.DUMMYFUNCTION("""COMPUTED_VALUE"""),31208.6666666666)</f>
        <v>31208.666666666599</v>
      </c>
      <c r="B1377" s="1">
        <f ca="1">IFERROR(__xludf.DUMMYFUNCTION("""COMPUTED_VALUE"""),2.92)</f>
        <v>2.92</v>
      </c>
      <c r="C1377" s="1">
        <f ca="1">IFERROR(__xludf.DUMMYFUNCTION("""COMPUTED_VALUE"""),2.93)</f>
        <v>2.93</v>
      </c>
      <c r="D1377" s="1">
        <f ca="1">IFERROR(__xludf.DUMMYFUNCTION("""COMPUTED_VALUE"""),2.91)</f>
        <v>2.91</v>
      </c>
      <c r="E1377" s="1">
        <f ca="1">IFERROR(__xludf.DUMMYFUNCTION("""COMPUTED_VALUE"""),2.92)</f>
        <v>2.92</v>
      </c>
      <c r="F1377" s="1">
        <f ca="1">IFERROR(__xludf.DUMMYFUNCTION("""COMPUTED_VALUE"""),224800)</f>
        <v>224800</v>
      </c>
      <c r="I1377" s="1"/>
    </row>
    <row r="1378" spans="1:9">
      <c r="A1378" s="3">
        <f ca="1">IFERROR(__xludf.DUMMYFUNCTION("""COMPUTED_VALUE"""),31209.6666666666)</f>
        <v>31209.666666666599</v>
      </c>
      <c r="B1378" s="1">
        <f ca="1">IFERROR(__xludf.DUMMYFUNCTION("""COMPUTED_VALUE"""),2.88)</f>
        <v>2.88</v>
      </c>
      <c r="C1378" s="1">
        <f ca="1">IFERROR(__xludf.DUMMYFUNCTION("""COMPUTED_VALUE"""),2.92)</f>
        <v>2.92</v>
      </c>
      <c r="D1378" s="1">
        <f ca="1">IFERROR(__xludf.DUMMYFUNCTION("""COMPUTED_VALUE"""),2.85)</f>
        <v>2.85</v>
      </c>
      <c r="E1378" s="1">
        <f ca="1">IFERROR(__xludf.DUMMYFUNCTION("""COMPUTED_VALUE"""),2.88)</f>
        <v>2.88</v>
      </c>
      <c r="F1378" s="1">
        <f ca="1">IFERROR(__xludf.DUMMYFUNCTION("""COMPUTED_VALUE"""),323600)</f>
        <v>323600</v>
      </c>
      <c r="I1378" s="1"/>
    </row>
    <row r="1379" spans="1:9">
      <c r="A1379" s="3">
        <f ca="1">IFERROR(__xludf.DUMMYFUNCTION("""COMPUTED_VALUE"""),31210.6666666666)</f>
        <v>31210.666666666599</v>
      </c>
      <c r="B1379" s="1">
        <f ca="1">IFERROR(__xludf.DUMMYFUNCTION("""COMPUTED_VALUE"""),2.84)</f>
        <v>2.84</v>
      </c>
      <c r="C1379" s="1">
        <f ca="1">IFERROR(__xludf.DUMMYFUNCTION("""COMPUTED_VALUE"""),2.86)</f>
        <v>2.86</v>
      </c>
      <c r="D1379" s="1">
        <f ca="1">IFERROR(__xludf.DUMMYFUNCTION("""COMPUTED_VALUE"""),2.8)</f>
        <v>2.8</v>
      </c>
      <c r="E1379" s="1">
        <f ca="1">IFERROR(__xludf.DUMMYFUNCTION("""COMPUTED_VALUE"""),2.84)</f>
        <v>2.84</v>
      </c>
      <c r="F1379" s="1">
        <f ca="1">IFERROR(__xludf.DUMMYFUNCTION("""COMPUTED_VALUE"""),413600)</f>
        <v>413600</v>
      </c>
      <c r="I1379" s="1"/>
    </row>
    <row r="1380" spans="1:9">
      <c r="A1380" s="3">
        <f ca="1">IFERROR(__xludf.DUMMYFUNCTION("""COMPUTED_VALUE"""),31211.6666666666)</f>
        <v>31211.666666666599</v>
      </c>
      <c r="B1380" s="1">
        <f ca="1">IFERROR(__xludf.DUMMYFUNCTION("""COMPUTED_VALUE"""),2.84)</f>
        <v>2.84</v>
      </c>
      <c r="C1380" s="1">
        <f ca="1">IFERROR(__xludf.DUMMYFUNCTION("""COMPUTED_VALUE"""),2.86)</f>
        <v>2.86</v>
      </c>
      <c r="D1380" s="1">
        <f ca="1">IFERROR(__xludf.DUMMYFUNCTION("""COMPUTED_VALUE"""),2.82)</f>
        <v>2.82</v>
      </c>
      <c r="E1380" s="1">
        <f ca="1">IFERROR(__xludf.DUMMYFUNCTION("""COMPUTED_VALUE"""),2.84)</f>
        <v>2.84</v>
      </c>
      <c r="F1380" s="1">
        <f ca="1">IFERROR(__xludf.DUMMYFUNCTION("""COMPUTED_VALUE"""),375300)</f>
        <v>375300</v>
      </c>
      <c r="I1380" s="1"/>
    </row>
    <row r="1381" spans="1:9">
      <c r="A1381" s="3">
        <f ca="1">IFERROR(__xludf.DUMMYFUNCTION("""COMPUTED_VALUE"""),31212.6666666666)</f>
        <v>31212.666666666599</v>
      </c>
      <c r="B1381" s="1">
        <f ca="1">IFERROR(__xludf.DUMMYFUNCTION("""COMPUTED_VALUE"""),2.84)</f>
        <v>2.84</v>
      </c>
      <c r="C1381" s="1">
        <f ca="1">IFERROR(__xludf.DUMMYFUNCTION("""COMPUTED_VALUE"""),2.85)</f>
        <v>2.85</v>
      </c>
      <c r="D1381" s="1">
        <f ca="1">IFERROR(__xludf.DUMMYFUNCTION("""COMPUTED_VALUE"""),2.83)</f>
        <v>2.83</v>
      </c>
      <c r="E1381" s="1">
        <f ca="1">IFERROR(__xludf.DUMMYFUNCTION("""COMPUTED_VALUE"""),2.84)</f>
        <v>2.84</v>
      </c>
      <c r="F1381" s="1">
        <f ca="1">IFERROR(__xludf.DUMMYFUNCTION("""COMPUTED_VALUE"""),209800)</f>
        <v>209800</v>
      </c>
      <c r="I1381" s="1"/>
    </row>
    <row r="1382" spans="1:9">
      <c r="A1382" s="3">
        <f ca="1">IFERROR(__xludf.DUMMYFUNCTION("""COMPUTED_VALUE"""),31215.6666666666)</f>
        <v>31215.666666666599</v>
      </c>
      <c r="B1382" s="1">
        <f ca="1">IFERROR(__xludf.DUMMYFUNCTION("""COMPUTED_VALUE"""),2.9)</f>
        <v>2.9</v>
      </c>
      <c r="C1382" s="1">
        <f ca="1">IFERROR(__xludf.DUMMYFUNCTION("""COMPUTED_VALUE"""),2.91)</f>
        <v>2.91</v>
      </c>
      <c r="D1382" s="1">
        <f ca="1">IFERROR(__xludf.DUMMYFUNCTION("""COMPUTED_VALUE"""),2.84)</f>
        <v>2.84</v>
      </c>
      <c r="E1382" s="1">
        <f ca="1">IFERROR(__xludf.DUMMYFUNCTION("""COMPUTED_VALUE"""),2.9)</f>
        <v>2.9</v>
      </c>
      <c r="F1382" s="1">
        <f ca="1">IFERROR(__xludf.DUMMYFUNCTION("""COMPUTED_VALUE"""),355400)</f>
        <v>355400</v>
      </c>
      <c r="I1382" s="1"/>
    </row>
    <row r="1383" spans="1:9">
      <c r="A1383" s="3">
        <f ca="1">IFERROR(__xludf.DUMMYFUNCTION("""COMPUTED_VALUE"""),31216.6666666666)</f>
        <v>31216.666666666599</v>
      </c>
      <c r="B1383" s="1">
        <f ca="1">IFERROR(__xludf.DUMMYFUNCTION("""COMPUTED_VALUE"""),2.92)</f>
        <v>2.92</v>
      </c>
      <c r="C1383" s="1">
        <f ca="1">IFERROR(__xludf.DUMMYFUNCTION("""COMPUTED_VALUE"""),2.93)</f>
        <v>2.93</v>
      </c>
      <c r="D1383" s="1">
        <f ca="1">IFERROR(__xludf.DUMMYFUNCTION("""COMPUTED_VALUE"""),2.91)</f>
        <v>2.91</v>
      </c>
      <c r="E1383" s="1">
        <f ca="1">IFERROR(__xludf.DUMMYFUNCTION("""COMPUTED_VALUE"""),2.92)</f>
        <v>2.92</v>
      </c>
      <c r="F1383" s="1">
        <f ca="1">IFERROR(__xludf.DUMMYFUNCTION("""COMPUTED_VALUE"""),424200)</f>
        <v>424200</v>
      </c>
      <c r="I1383" s="1"/>
    </row>
    <row r="1384" spans="1:9">
      <c r="A1384" s="3">
        <f ca="1">IFERROR(__xludf.DUMMYFUNCTION("""COMPUTED_VALUE"""),31217.6666666666)</f>
        <v>31217.666666666599</v>
      </c>
      <c r="B1384" s="1">
        <f ca="1">IFERROR(__xludf.DUMMYFUNCTION("""COMPUTED_VALUE"""),2.93)</f>
        <v>2.93</v>
      </c>
      <c r="C1384" s="1">
        <f ca="1">IFERROR(__xludf.DUMMYFUNCTION("""COMPUTED_VALUE"""),2.95)</f>
        <v>2.95</v>
      </c>
      <c r="D1384" s="1">
        <f ca="1">IFERROR(__xludf.DUMMYFUNCTION("""COMPUTED_VALUE"""),2.92)</f>
        <v>2.92</v>
      </c>
      <c r="E1384" s="1">
        <f ca="1">IFERROR(__xludf.DUMMYFUNCTION("""COMPUTED_VALUE"""),2.93)</f>
        <v>2.93</v>
      </c>
      <c r="F1384" s="1">
        <f ca="1">IFERROR(__xludf.DUMMYFUNCTION("""COMPUTED_VALUE"""),510100)</f>
        <v>510100</v>
      </c>
      <c r="I1384" s="1"/>
    </row>
    <row r="1385" spans="1:9">
      <c r="A1385" s="3">
        <f ca="1">IFERROR(__xludf.DUMMYFUNCTION("""COMPUTED_VALUE"""),31218.6666666666)</f>
        <v>31218.666666666599</v>
      </c>
      <c r="B1385" s="1">
        <f ca="1">IFERROR(__xludf.DUMMYFUNCTION("""COMPUTED_VALUE"""),2.92)</f>
        <v>2.92</v>
      </c>
      <c r="C1385" s="1">
        <f ca="1">IFERROR(__xludf.DUMMYFUNCTION("""COMPUTED_VALUE"""),2.95)</f>
        <v>2.95</v>
      </c>
      <c r="D1385" s="1">
        <f ca="1">IFERROR(__xludf.DUMMYFUNCTION("""COMPUTED_VALUE"""),2.9)</f>
        <v>2.9</v>
      </c>
      <c r="E1385" s="1">
        <f ca="1">IFERROR(__xludf.DUMMYFUNCTION("""COMPUTED_VALUE"""),2.92)</f>
        <v>2.92</v>
      </c>
      <c r="F1385" s="1">
        <f ca="1">IFERROR(__xludf.DUMMYFUNCTION("""COMPUTED_VALUE"""),292200)</f>
        <v>292200</v>
      </c>
      <c r="I1385" s="1"/>
    </row>
    <row r="1386" spans="1:9">
      <c r="A1386" s="3">
        <f ca="1">IFERROR(__xludf.DUMMYFUNCTION("""COMPUTED_VALUE"""),31219.6666666666)</f>
        <v>31219.666666666599</v>
      </c>
      <c r="B1386" s="1">
        <f ca="1">IFERROR(__xludf.DUMMYFUNCTION("""COMPUTED_VALUE"""),2.93)</f>
        <v>2.93</v>
      </c>
      <c r="C1386" s="1">
        <f ca="1">IFERROR(__xludf.DUMMYFUNCTION("""COMPUTED_VALUE"""),2.95)</f>
        <v>2.95</v>
      </c>
      <c r="D1386" s="1">
        <f ca="1">IFERROR(__xludf.DUMMYFUNCTION("""COMPUTED_VALUE"""),2.89)</f>
        <v>2.89</v>
      </c>
      <c r="E1386" s="1">
        <f ca="1">IFERROR(__xludf.DUMMYFUNCTION("""COMPUTED_VALUE"""),2.93)</f>
        <v>2.93</v>
      </c>
      <c r="F1386" s="1">
        <f ca="1">IFERROR(__xludf.DUMMYFUNCTION("""COMPUTED_VALUE"""),682800)</f>
        <v>682800</v>
      </c>
      <c r="I1386" s="1"/>
    </row>
    <row r="1387" spans="1:9">
      <c r="A1387" s="3">
        <f ca="1">IFERROR(__xludf.DUMMYFUNCTION("""COMPUTED_VALUE"""),31222.6666666666)</f>
        <v>31222.666666666599</v>
      </c>
      <c r="B1387" s="1">
        <f ca="1">IFERROR(__xludf.DUMMYFUNCTION("""COMPUTED_VALUE"""),2.95)</f>
        <v>2.95</v>
      </c>
      <c r="C1387" s="1">
        <f ca="1">IFERROR(__xludf.DUMMYFUNCTION("""COMPUTED_VALUE"""),2.95)</f>
        <v>2.95</v>
      </c>
      <c r="D1387" s="1">
        <f ca="1">IFERROR(__xludf.DUMMYFUNCTION("""COMPUTED_VALUE"""),2.92)</f>
        <v>2.92</v>
      </c>
      <c r="E1387" s="1">
        <f ca="1">IFERROR(__xludf.DUMMYFUNCTION("""COMPUTED_VALUE"""),2.95)</f>
        <v>2.95</v>
      </c>
      <c r="F1387" s="1">
        <f ca="1">IFERROR(__xludf.DUMMYFUNCTION("""COMPUTED_VALUE"""),245900)</f>
        <v>245900</v>
      </c>
      <c r="I1387" s="1"/>
    </row>
    <row r="1388" spans="1:9">
      <c r="A1388" s="3">
        <f ca="1">IFERROR(__xludf.DUMMYFUNCTION("""COMPUTED_VALUE"""),31223.6666666666)</f>
        <v>31223.666666666599</v>
      </c>
      <c r="B1388" s="1">
        <f ca="1">IFERROR(__xludf.DUMMYFUNCTION("""COMPUTED_VALUE"""),2.89)</f>
        <v>2.89</v>
      </c>
      <c r="C1388" s="1">
        <f ca="1">IFERROR(__xludf.DUMMYFUNCTION("""COMPUTED_VALUE"""),2.93)</f>
        <v>2.93</v>
      </c>
      <c r="D1388" s="1">
        <f ca="1">IFERROR(__xludf.DUMMYFUNCTION("""COMPUTED_VALUE"""),2.88)</f>
        <v>2.88</v>
      </c>
      <c r="E1388" s="1">
        <f ca="1">IFERROR(__xludf.DUMMYFUNCTION("""COMPUTED_VALUE"""),2.89)</f>
        <v>2.89</v>
      </c>
      <c r="F1388" s="1">
        <f ca="1">IFERROR(__xludf.DUMMYFUNCTION("""COMPUTED_VALUE"""),423800)</f>
        <v>423800</v>
      </c>
      <c r="I1388" s="1"/>
    </row>
    <row r="1389" spans="1:9">
      <c r="A1389" s="3">
        <f ca="1">IFERROR(__xludf.DUMMYFUNCTION("""COMPUTED_VALUE"""),31224.6666666666)</f>
        <v>31224.666666666599</v>
      </c>
      <c r="B1389" s="1">
        <f ca="1">IFERROR(__xludf.DUMMYFUNCTION("""COMPUTED_VALUE"""),2.85)</f>
        <v>2.85</v>
      </c>
      <c r="C1389" s="1">
        <f ca="1">IFERROR(__xludf.DUMMYFUNCTION("""COMPUTED_VALUE"""),2.88)</f>
        <v>2.88</v>
      </c>
      <c r="D1389" s="1">
        <f ca="1">IFERROR(__xludf.DUMMYFUNCTION("""COMPUTED_VALUE"""),2.81)</f>
        <v>2.81</v>
      </c>
      <c r="E1389" s="1">
        <f ca="1">IFERROR(__xludf.DUMMYFUNCTION("""COMPUTED_VALUE"""),2.85)</f>
        <v>2.85</v>
      </c>
      <c r="F1389" s="1">
        <f ca="1">IFERROR(__xludf.DUMMYFUNCTION("""COMPUTED_VALUE"""),372700)</f>
        <v>372700</v>
      </c>
      <c r="I1389" s="1"/>
    </row>
    <row r="1390" spans="1:9">
      <c r="A1390" s="3">
        <f ca="1">IFERROR(__xludf.DUMMYFUNCTION("""COMPUTED_VALUE"""),31225.6666666666)</f>
        <v>31225.666666666599</v>
      </c>
      <c r="B1390" s="1">
        <f ca="1">IFERROR(__xludf.DUMMYFUNCTION("""COMPUTED_VALUE"""),2.91)</f>
        <v>2.91</v>
      </c>
      <c r="C1390" s="1">
        <f ca="1">IFERROR(__xludf.DUMMYFUNCTION("""COMPUTED_VALUE"""),2.93)</f>
        <v>2.93</v>
      </c>
      <c r="D1390" s="1">
        <f ca="1">IFERROR(__xludf.DUMMYFUNCTION("""COMPUTED_VALUE"""),2.86)</f>
        <v>2.86</v>
      </c>
      <c r="E1390" s="1">
        <f ca="1">IFERROR(__xludf.DUMMYFUNCTION("""COMPUTED_VALUE"""),2.91)</f>
        <v>2.91</v>
      </c>
      <c r="F1390" s="1">
        <f ca="1">IFERROR(__xludf.DUMMYFUNCTION("""COMPUTED_VALUE"""),298400)</f>
        <v>298400</v>
      </c>
      <c r="I1390" s="1"/>
    </row>
    <row r="1391" spans="1:9">
      <c r="A1391" s="3">
        <f ca="1">IFERROR(__xludf.DUMMYFUNCTION("""COMPUTED_VALUE"""),31226.6666666666)</f>
        <v>31226.666666666599</v>
      </c>
      <c r="B1391" s="1">
        <f ca="1">IFERROR(__xludf.DUMMYFUNCTION("""COMPUTED_VALUE"""),2.9)</f>
        <v>2.9</v>
      </c>
      <c r="C1391" s="1">
        <f ca="1">IFERROR(__xludf.DUMMYFUNCTION("""COMPUTED_VALUE"""),2.92)</f>
        <v>2.92</v>
      </c>
      <c r="D1391" s="1">
        <f ca="1">IFERROR(__xludf.DUMMYFUNCTION("""COMPUTED_VALUE"""),2.89)</f>
        <v>2.89</v>
      </c>
      <c r="E1391" s="1">
        <f ca="1">IFERROR(__xludf.DUMMYFUNCTION("""COMPUTED_VALUE"""),2.9)</f>
        <v>2.9</v>
      </c>
      <c r="F1391" s="1">
        <f ca="1">IFERROR(__xludf.DUMMYFUNCTION("""COMPUTED_VALUE"""),127600)</f>
        <v>127600</v>
      </c>
      <c r="I1391" s="1"/>
    </row>
    <row r="1392" spans="1:9">
      <c r="A1392" s="3">
        <f ca="1">IFERROR(__xludf.DUMMYFUNCTION("""COMPUTED_VALUE"""),31229.6666666666)</f>
        <v>31229.666666666599</v>
      </c>
      <c r="B1392" s="1">
        <f ca="1">IFERROR(__xludf.DUMMYFUNCTION("""COMPUTED_VALUE"""),2.88)</f>
        <v>2.88</v>
      </c>
      <c r="C1392" s="1">
        <f ca="1">IFERROR(__xludf.DUMMYFUNCTION("""COMPUTED_VALUE"""),2.92)</f>
        <v>2.92</v>
      </c>
      <c r="D1392" s="1">
        <f ca="1">IFERROR(__xludf.DUMMYFUNCTION("""COMPUTED_VALUE"""),2.87)</f>
        <v>2.87</v>
      </c>
      <c r="E1392" s="1">
        <f ca="1">IFERROR(__xludf.DUMMYFUNCTION("""COMPUTED_VALUE"""),2.88)</f>
        <v>2.88</v>
      </c>
      <c r="F1392" s="1">
        <f ca="1">IFERROR(__xludf.DUMMYFUNCTION("""COMPUTED_VALUE"""),240900)</f>
        <v>240900</v>
      </c>
      <c r="I1392" s="1"/>
    </row>
    <row r="1393" spans="1:9">
      <c r="A1393" s="3">
        <f ca="1">IFERROR(__xludf.DUMMYFUNCTION("""COMPUTED_VALUE"""),31230.6666666666)</f>
        <v>31230.666666666599</v>
      </c>
      <c r="B1393" s="1">
        <f ca="1">IFERROR(__xludf.DUMMYFUNCTION("""COMPUTED_VALUE"""),2.84)</f>
        <v>2.84</v>
      </c>
      <c r="C1393" s="1">
        <f ca="1">IFERROR(__xludf.DUMMYFUNCTION("""COMPUTED_VALUE"""),2.88)</f>
        <v>2.88</v>
      </c>
      <c r="D1393" s="1">
        <f ca="1">IFERROR(__xludf.DUMMYFUNCTION("""COMPUTED_VALUE"""),2.84)</f>
        <v>2.84</v>
      </c>
      <c r="E1393" s="1">
        <f ca="1">IFERROR(__xludf.DUMMYFUNCTION("""COMPUTED_VALUE"""),2.84)</f>
        <v>2.84</v>
      </c>
      <c r="F1393" s="1">
        <f ca="1">IFERROR(__xludf.DUMMYFUNCTION("""COMPUTED_VALUE"""),586800)</f>
        <v>586800</v>
      </c>
      <c r="I1393" s="1"/>
    </row>
    <row r="1394" spans="1:9">
      <c r="A1394" s="3">
        <f ca="1">IFERROR(__xludf.DUMMYFUNCTION("""COMPUTED_VALUE"""),31231.6666666666)</f>
        <v>31231.666666666599</v>
      </c>
      <c r="B1394" s="1">
        <f ca="1">IFERROR(__xludf.DUMMYFUNCTION("""COMPUTED_VALUE"""),2.82)</f>
        <v>2.82</v>
      </c>
      <c r="C1394" s="1">
        <f ca="1">IFERROR(__xludf.DUMMYFUNCTION("""COMPUTED_VALUE"""),2.84)</f>
        <v>2.84</v>
      </c>
      <c r="D1394" s="1">
        <f ca="1">IFERROR(__xludf.DUMMYFUNCTION("""COMPUTED_VALUE"""),2.82)</f>
        <v>2.82</v>
      </c>
      <c r="E1394" s="1">
        <f ca="1">IFERROR(__xludf.DUMMYFUNCTION("""COMPUTED_VALUE"""),2.82)</f>
        <v>2.82</v>
      </c>
      <c r="F1394" s="1">
        <f ca="1">IFERROR(__xludf.DUMMYFUNCTION("""COMPUTED_VALUE"""),224300)</f>
        <v>224300</v>
      </c>
      <c r="I1394" s="1"/>
    </row>
    <row r="1395" spans="1:9">
      <c r="A1395" s="3">
        <f ca="1">IFERROR(__xludf.DUMMYFUNCTION("""COMPUTED_VALUE"""),31233.6666666666)</f>
        <v>31233.666666666599</v>
      </c>
      <c r="B1395" s="1">
        <f ca="1">IFERROR(__xludf.DUMMYFUNCTION("""COMPUTED_VALUE"""),2.87)</f>
        <v>2.87</v>
      </c>
      <c r="C1395" s="1">
        <f ca="1">IFERROR(__xludf.DUMMYFUNCTION("""COMPUTED_VALUE"""),2.88)</f>
        <v>2.88</v>
      </c>
      <c r="D1395" s="1">
        <f ca="1">IFERROR(__xludf.DUMMYFUNCTION("""COMPUTED_VALUE"""),2.82)</f>
        <v>2.82</v>
      </c>
      <c r="E1395" s="1">
        <f ca="1">IFERROR(__xludf.DUMMYFUNCTION("""COMPUTED_VALUE"""),2.87)</f>
        <v>2.87</v>
      </c>
      <c r="F1395" s="1">
        <f ca="1">IFERROR(__xludf.DUMMYFUNCTION("""COMPUTED_VALUE"""),167200)</f>
        <v>167200</v>
      </c>
      <c r="I1395" s="1"/>
    </row>
    <row r="1396" spans="1:9">
      <c r="A1396" s="3">
        <f ca="1">IFERROR(__xludf.DUMMYFUNCTION("""COMPUTED_VALUE"""),31236.6666666666)</f>
        <v>31236.666666666599</v>
      </c>
      <c r="B1396" s="1">
        <f ca="1">IFERROR(__xludf.DUMMYFUNCTION("""COMPUTED_VALUE"""),2.89)</f>
        <v>2.89</v>
      </c>
      <c r="C1396" s="1">
        <f ca="1">IFERROR(__xludf.DUMMYFUNCTION("""COMPUTED_VALUE"""),2.89)</f>
        <v>2.89</v>
      </c>
      <c r="D1396" s="1">
        <f ca="1">IFERROR(__xludf.DUMMYFUNCTION("""COMPUTED_VALUE"""),2.85)</f>
        <v>2.85</v>
      </c>
      <c r="E1396" s="1">
        <f ca="1">IFERROR(__xludf.DUMMYFUNCTION("""COMPUTED_VALUE"""),2.89)</f>
        <v>2.89</v>
      </c>
      <c r="F1396" s="1">
        <f ca="1">IFERROR(__xludf.DUMMYFUNCTION("""COMPUTED_VALUE"""),181800)</f>
        <v>181800</v>
      </c>
      <c r="I1396" s="1"/>
    </row>
    <row r="1397" spans="1:9">
      <c r="A1397" s="3">
        <f ca="1">IFERROR(__xludf.DUMMYFUNCTION("""COMPUTED_VALUE"""),31237.6666666666)</f>
        <v>31237.666666666599</v>
      </c>
      <c r="B1397" s="1">
        <f ca="1">IFERROR(__xludf.DUMMYFUNCTION("""COMPUTED_VALUE"""),2.92)</f>
        <v>2.92</v>
      </c>
      <c r="C1397" s="1">
        <f ca="1">IFERROR(__xludf.DUMMYFUNCTION("""COMPUTED_VALUE"""),2.93)</f>
        <v>2.93</v>
      </c>
      <c r="D1397" s="1">
        <f ca="1">IFERROR(__xludf.DUMMYFUNCTION("""COMPUTED_VALUE"""),2.88)</f>
        <v>2.88</v>
      </c>
      <c r="E1397" s="1">
        <f ca="1">IFERROR(__xludf.DUMMYFUNCTION("""COMPUTED_VALUE"""),2.92)</f>
        <v>2.92</v>
      </c>
      <c r="F1397" s="1">
        <f ca="1">IFERROR(__xludf.DUMMYFUNCTION("""COMPUTED_VALUE"""),672600)</f>
        <v>672600</v>
      </c>
      <c r="I1397" s="1"/>
    </row>
    <row r="1398" spans="1:9">
      <c r="A1398" s="3">
        <f ca="1">IFERROR(__xludf.DUMMYFUNCTION("""COMPUTED_VALUE"""),31238.6666666666)</f>
        <v>31238.666666666599</v>
      </c>
      <c r="B1398" s="1">
        <f ca="1">IFERROR(__xludf.DUMMYFUNCTION("""COMPUTED_VALUE"""),2.97)</f>
        <v>2.97</v>
      </c>
      <c r="C1398" s="1">
        <f ca="1">IFERROR(__xludf.DUMMYFUNCTION("""COMPUTED_VALUE"""),2.97)</f>
        <v>2.97</v>
      </c>
      <c r="D1398" s="1">
        <f ca="1">IFERROR(__xludf.DUMMYFUNCTION("""COMPUTED_VALUE"""),2.91)</f>
        <v>2.91</v>
      </c>
      <c r="E1398" s="1">
        <f ca="1">IFERROR(__xludf.DUMMYFUNCTION("""COMPUTED_VALUE"""),2.97)</f>
        <v>2.97</v>
      </c>
      <c r="F1398" s="1">
        <f ca="1">IFERROR(__xludf.DUMMYFUNCTION("""COMPUTED_VALUE"""),1125000)</f>
        <v>1125000</v>
      </c>
      <c r="I1398" s="1"/>
    </row>
    <row r="1399" spans="1:9">
      <c r="A1399" s="3">
        <f ca="1">IFERROR(__xludf.DUMMYFUNCTION("""COMPUTED_VALUE"""),31239.6666666666)</f>
        <v>31239.666666666599</v>
      </c>
      <c r="B1399" s="1">
        <f ca="1">IFERROR(__xludf.DUMMYFUNCTION("""COMPUTED_VALUE"""),2.99)</f>
        <v>2.99</v>
      </c>
      <c r="C1399" s="1">
        <f ca="1">IFERROR(__xludf.DUMMYFUNCTION("""COMPUTED_VALUE"""),3)</f>
        <v>3</v>
      </c>
      <c r="D1399" s="1">
        <f ca="1">IFERROR(__xludf.DUMMYFUNCTION("""COMPUTED_VALUE"""),2.96)</f>
        <v>2.96</v>
      </c>
      <c r="E1399" s="1">
        <f ca="1">IFERROR(__xludf.DUMMYFUNCTION("""COMPUTED_VALUE"""),2.99)</f>
        <v>2.99</v>
      </c>
      <c r="F1399" s="1">
        <f ca="1">IFERROR(__xludf.DUMMYFUNCTION("""COMPUTED_VALUE"""),558300)</f>
        <v>558300</v>
      </c>
      <c r="I1399" s="1"/>
    </row>
    <row r="1400" spans="1:9">
      <c r="A1400" s="3">
        <f ca="1">IFERROR(__xludf.DUMMYFUNCTION("""COMPUTED_VALUE"""),31240.6666666666)</f>
        <v>31240.666666666599</v>
      </c>
      <c r="B1400" s="1">
        <f ca="1">IFERROR(__xludf.DUMMYFUNCTION("""COMPUTED_VALUE"""),3.06)</f>
        <v>3.06</v>
      </c>
      <c r="C1400" s="1">
        <f ca="1">IFERROR(__xludf.DUMMYFUNCTION("""COMPUTED_VALUE"""),3.07)</f>
        <v>3.07</v>
      </c>
      <c r="D1400" s="1">
        <f ca="1">IFERROR(__xludf.DUMMYFUNCTION("""COMPUTED_VALUE"""),2.99)</f>
        <v>2.99</v>
      </c>
      <c r="E1400" s="1">
        <f ca="1">IFERROR(__xludf.DUMMYFUNCTION("""COMPUTED_VALUE"""),3.06)</f>
        <v>3.06</v>
      </c>
      <c r="F1400" s="1">
        <f ca="1">IFERROR(__xludf.DUMMYFUNCTION("""COMPUTED_VALUE"""),907400)</f>
        <v>907400</v>
      </c>
      <c r="I1400" s="1"/>
    </row>
    <row r="1401" spans="1:9">
      <c r="A1401" s="3">
        <f ca="1">IFERROR(__xludf.DUMMYFUNCTION("""COMPUTED_VALUE"""),31243.6666666666)</f>
        <v>31243.666666666599</v>
      </c>
      <c r="B1401" s="1">
        <f ca="1">IFERROR(__xludf.DUMMYFUNCTION("""COMPUTED_VALUE"""),3.03)</f>
        <v>3.03</v>
      </c>
      <c r="C1401" s="1">
        <f ca="1">IFERROR(__xludf.DUMMYFUNCTION("""COMPUTED_VALUE"""),3.07)</f>
        <v>3.07</v>
      </c>
      <c r="D1401" s="1">
        <f ca="1">IFERROR(__xludf.DUMMYFUNCTION("""COMPUTED_VALUE"""),3.03)</f>
        <v>3.03</v>
      </c>
      <c r="E1401" s="1">
        <f ca="1">IFERROR(__xludf.DUMMYFUNCTION("""COMPUTED_VALUE"""),3.03)</f>
        <v>3.03</v>
      </c>
      <c r="F1401" s="1">
        <f ca="1">IFERROR(__xludf.DUMMYFUNCTION("""COMPUTED_VALUE"""),665500)</f>
        <v>665500</v>
      </c>
      <c r="I1401" s="1"/>
    </row>
    <row r="1402" spans="1:9">
      <c r="A1402" s="3">
        <f ca="1">IFERROR(__xludf.DUMMYFUNCTION("""COMPUTED_VALUE"""),31244.6666666666)</f>
        <v>31244.666666666599</v>
      </c>
      <c r="B1402" s="1">
        <f ca="1">IFERROR(__xludf.DUMMYFUNCTION("""COMPUTED_VALUE"""),2.98)</f>
        <v>2.98</v>
      </c>
      <c r="C1402" s="1">
        <f ca="1">IFERROR(__xludf.DUMMYFUNCTION("""COMPUTED_VALUE"""),3.04)</f>
        <v>3.04</v>
      </c>
      <c r="D1402" s="1">
        <f ca="1">IFERROR(__xludf.DUMMYFUNCTION("""COMPUTED_VALUE"""),2.96)</f>
        <v>2.96</v>
      </c>
      <c r="E1402" s="1">
        <f ca="1">IFERROR(__xludf.DUMMYFUNCTION("""COMPUTED_VALUE"""),2.98)</f>
        <v>2.98</v>
      </c>
      <c r="F1402" s="1">
        <f ca="1">IFERROR(__xludf.DUMMYFUNCTION("""COMPUTED_VALUE"""),512800)</f>
        <v>512800</v>
      </c>
      <c r="I1402" s="1"/>
    </row>
    <row r="1403" spans="1:9">
      <c r="A1403" s="3">
        <f ca="1">IFERROR(__xludf.DUMMYFUNCTION("""COMPUTED_VALUE"""),31245.6666666666)</f>
        <v>31245.666666666599</v>
      </c>
      <c r="B1403" s="1">
        <f ca="1">IFERROR(__xludf.DUMMYFUNCTION("""COMPUTED_VALUE"""),2.97)</f>
        <v>2.97</v>
      </c>
      <c r="C1403" s="1">
        <f ca="1">IFERROR(__xludf.DUMMYFUNCTION("""COMPUTED_VALUE"""),3.02)</f>
        <v>3.02</v>
      </c>
      <c r="D1403" s="1">
        <f ca="1">IFERROR(__xludf.DUMMYFUNCTION("""COMPUTED_VALUE"""),2.96)</f>
        <v>2.96</v>
      </c>
      <c r="E1403" s="1">
        <f ca="1">IFERROR(__xludf.DUMMYFUNCTION("""COMPUTED_VALUE"""),2.97)</f>
        <v>2.97</v>
      </c>
      <c r="F1403" s="1">
        <f ca="1">IFERROR(__xludf.DUMMYFUNCTION("""COMPUTED_VALUE"""),471900)</f>
        <v>471900</v>
      </c>
      <c r="I1403" s="1"/>
    </row>
    <row r="1404" spans="1:9">
      <c r="A1404" s="3">
        <f ca="1">IFERROR(__xludf.DUMMYFUNCTION("""COMPUTED_VALUE"""),31246.6666666666)</f>
        <v>31246.666666666599</v>
      </c>
      <c r="B1404" s="1">
        <f ca="1">IFERROR(__xludf.DUMMYFUNCTION("""COMPUTED_VALUE"""),2.96)</f>
        <v>2.96</v>
      </c>
      <c r="C1404" s="1">
        <f ca="1">IFERROR(__xludf.DUMMYFUNCTION("""COMPUTED_VALUE"""),2.97)</f>
        <v>2.97</v>
      </c>
      <c r="D1404" s="1">
        <f ca="1">IFERROR(__xludf.DUMMYFUNCTION("""COMPUTED_VALUE"""),2.91)</f>
        <v>2.91</v>
      </c>
      <c r="E1404" s="1">
        <f ca="1">IFERROR(__xludf.DUMMYFUNCTION("""COMPUTED_VALUE"""),2.96)</f>
        <v>2.96</v>
      </c>
      <c r="F1404" s="1">
        <f ca="1">IFERROR(__xludf.DUMMYFUNCTION("""COMPUTED_VALUE"""),281200)</f>
        <v>281200</v>
      </c>
      <c r="I1404" s="1"/>
    </row>
    <row r="1405" spans="1:9">
      <c r="A1405" s="3">
        <f ca="1">IFERROR(__xludf.DUMMYFUNCTION("""COMPUTED_VALUE"""),31247.6666666666)</f>
        <v>31247.666666666599</v>
      </c>
      <c r="B1405" s="1">
        <f ca="1">IFERROR(__xludf.DUMMYFUNCTION("""COMPUTED_VALUE"""),3)</f>
        <v>3</v>
      </c>
      <c r="C1405" s="1">
        <f ca="1">IFERROR(__xludf.DUMMYFUNCTION("""COMPUTED_VALUE"""),3)</f>
        <v>3</v>
      </c>
      <c r="D1405" s="1">
        <f ca="1">IFERROR(__xludf.DUMMYFUNCTION("""COMPUTED_VALUE"""),2.95)</f>
        <v>2.95</v>
      </c>
      <c r="E1405" s="1">
        <f ca="1">IFERROR(__xludf.DUMMYFUNCTION("""COMPUTED_VALUE"""),3)</f>
        <v>3</v>
      </c>
      <c r="F1405" s="1">
        <f ca="1">IFERROR(__xludf.DUMMYFUNCTION("""COMPUTED_VALUE"""),390600)</f>
        <v>390600</v>
      </c>
      <c r="I1405" s="1"/>
    </row>
    <row r="1406" spans="1:9">
      <c r="A1406" s="3">
        <f ca="1">IFERROR(__xludf.DUMMYFUNCTION("""COMPUTED_VALUE"""),31250.6666666666)</f>
        <v>31250.666666666599</v>
      </c>
      <c r="B1406" s="1">
        <f ca="1">IFERROR(__xludf.DUMMYFUNCTION("""COMPUTED_VALUE"""),2.99)</f>
        <v>2.99</v>
      </c>
      <c r="C1406" s="1">
        <f ca="1">IFERROR(__xludf.DUMMYFUNCTION("""COMPUTED_VALUE"""),3)</f>
        <v>3</v>
      </c>
      <c r="D1406" s="1">
        <f ca="1">IFERROR(__xludf.DUMMYFUNCTION("""COMPUTED_VALUE"""),2.98)</f>
        <v>2.98</v>
      </c>
      <c r="E1406" s="1">
        <f ca="1">IFERROR(__xludf.DUMMYFUNCTION("""COMPUTED_VALUE"""),2.99)</f>
        <v>2.99</v>
      </c>
      <c r="F1406" s="1">
        <f ca="1">IFERROR(__xludf.DUMMYFUNCTION("""COMPUTED_VALUE"""),165400)</f>
        <v>165400</v>
      </c>
      <c r="I1406" s="1"/>
    </row>
    <row r="1407" spans="1:9">
      <c r="A1407" s="3">
        <f ca="1">IFERROR(__xludf.DUMMYFUNCTION("""COMPUTED_VALUE"""),31251.6666666666)</f>
        <v>31251.666666666599</v>
      </c>
      <c r="B1407" s="1">
        <f ca="1">IFERROR(__xludf.DUMMYFUNCTION("""COMPUTED_VALUE"""),2.97)</f>
        <v>2.97</v>
      </c>
      <c r="C1407" s="1">
        <f ca="1">IFERROR(__xludf.DUMMYFUNCTION("""COMPUTED_VALUE"""),3.01)</f>
        <v>3.01</v>
      </c>
      <c r="D1407" s="1">
        <f ca="1">IFERROR(__xludf.DUMMYFUNCTION("""COMPUTED_VALUE"""),2.96)</f>
        <v>2.96</v>
      </c>
      <c r="E1407" s="1">
        <f ca="1">IFERROR(__xludf.DUMMYFUNCTION("""COMPUTED_VALUE"""),2.97)</f>
        <v>2.97</v>
      </c>
      <c r="F1407" s="1">
        <f ca="1">IFERROR(__xludf.DUMMYFUNCTION("""COMPUTED_VALUE"""),373000)</f>
        <v>373000</v>
      </c>
      <c r="I1407" s="1"/>
    </row>
    <row r="1408" spans="1:9">
      <c r="A1408" s="3">
        <f ca="1">IFERROR(__xludf.DUMMYFUNCTION("""COMPUTED_VALUE"""),31252.6666666666)</f>
        <v>31252.666666666599</v>
      </c>
      <c r="B1408" s="1">
        <f ca="1">IFERROR(__xludf.DUMMYFUNCTION("""COMPUTED_VALUE"""),2.95)</f>
        <v>2.95</v>
      </c>
      <c r="C1408" s="1">
        <f ca="1">IFERROR(__xludf.DUMMYFUNCTION("""COMPUTED_VALUE"""),2.97)</f>
        <v>2.97</v>
      </c>
      <c r="D1408" s="1">
        <f ca="1">IFERROR(__xludf.DUMMYFUNCTION("""COMPUTED_VALUE"""),2.92)</f>
        <v>2.92</v>
      </c>
      <c r="E1408" s="1">
        <f ca="1">IFERROR(__xludf.DUMMYFUNCTION("""COMPUTED_VALUE"""),2.95)</f>
        <v>2.95</v>
      </c>
      <c r="F1408" s="1">
        <f ca="1">IFERROR(__xludf.DUMMYFUNCTION("""COMPUTED_VALUE"""),341400)</f>
        <v>341400</v>
      </c>
      <c r="I1408" s="1"/>
    </row>
    <row r="1409" spans="1:9">
      <c r="A1409" s="3">
        <f ca="1">IFERROR(__xludf.DUMMYFUNCTION("""COMPUTED_VALUE"""),31253.6666666666)</f>
        <v>31253.666666666599</v>
      </c>
      <c r="B1409" s="1">
        <f ca="1">IFERROR(__xludf.DUMMYFUNCTION("""COMPUTED_VALUE"""),3)</f>
        <v>3</v>
      </c>
      <c r="C1409" s="1">
        <f ca="1">IFERROR(__xludf.DUMMYFUNCTION("""COMPUTED_VALUE"""),3)</f>
        <v>3</v>
      </c>
      <c r="D1409" s="1">
        <f ca="1">IFERROR(__xludf.DUMMYFUNCTION("""COMPUTED_VALUE"""),2.93)</f>
        <v>2.93</v>
      </c>
      <c r="E1409" s="1">
        <f ca="1">IFERROR(__xludf.DUMMYFUNCTION("""COMPUTED_VALUE"""),3)</f>
        <v>3</v>
      </c>
      <c r="F1409" s="1">
        <f ca="1">IFERROR(__xludf.DUMMYFUNCTION("""COMPUTED_VALUE"""),359600)</f>
        <v>359600</v>
      </c>
      <c r="I1409" s="1"/>
    </row>
    <row r="1410" spans="1:9">
      <c r="A1410" s="3">
        <f ca="1">IFERROR(__xludf.DUMMYFUNCTION("""COMPUTED_VALUE"""),31254.6666666666)</f>
        <v>31254.666666666599</v>
      </c>
      <c r="B1410" s="1">
        <f ca="1">IFERROR(__xludf.DUMMYFUNCTION("""COMPUTED_VALUE"""),2.93)</f>
        <v>2.93</v>
      </c>
      <c r="C1410" s="1">
        <f ca="1">IFERROR(__xludf.DUMMYFUNCTION("""COMPUTED_VALUE"""),2.99)</f>
        <v>2.99</v>
      </c>
      <c r="D1410" s="1">
        <f ca="1">IFERROR(__xludf.DUMMYFUNCTION("""COMPUTED_VALUE"""),2.93)</f>
        <v>2.93</v>
      </c>
      <c r="E1410" s="1">
        <f ca="1">IFERROR(__xludf.DUMMYFUNCTION("""COMPUTED_VALUE"""),2.93)</f>
        <v>2.93</v>
      </c>
      <c r="F1410" s="1">
        <f ca="1">IFERROR(__xludf.DUMMYFUNCTION("""COMPUTED_VALUE"""),218800)</f>
        <v>218800</v>
      </c>
      <c r="I1410" s="1"/>
    </row>
    <row r="1411" spans="1:9">
      <c r="A1411" s="3">
        <f ca="1">IFERROR(__xludf.DUMMYFUNCTION("""COMPUTED_VALUE"""),31257.6666666666)</f>
        <v>31257.666666666599</v>
      </c>
      <c r="B1411" s="1">
        <f ca="1">IFERROR(__xludf.DUMMYFUNCTION("""COMPUTED_VALUE"""),2.83)</f>
        <v>2.83</v>
      </c>
      <c r="C1411" s="1">
        <f ca="1">IFERROR(__xludf.DUMMYFUNCTION("""COMPUTED_VALUE"""),2.93)</f>
        <v>2.93</v>
      </c>
      <c r="D1411" s="1">
        <f ca="1">IFERROR(__xludf.DUMMYFUNCTION("""COMPUTED_VALUE"""),2.81)</f>
        <v>2.81</v>
      </c>
      <c r="E1411" s="1">
        <f ca="1">IFERROR(__xludf.DUMMYFUNCTION("""COMPUTED_VALUE"""),2.83)</f>
        <v>2.83</v>
      </c>
      <c r="F1411" s="1">
        <f ca="1">IFERROR(__xludf.DUMMYFUNCTION("""COMPUTED_VALUE"""),262400)</f>
        <v>262400</v>
      </c>
      <c r="I1411" s="1"/>
    </row>
    <row r="1412" spans="1:9">
      <c r="A1412" s="3">
        <f ca="1">IFERROR(__xludf.DUMMYFUNCTION("""COMPUTED_VALUE"""),31258.6666666666)</f>
        <v>31258.666666666599</v>
      </c>
      <c r="B1412" s="1">
        <f ca="1">IFERROR(__xludf.DUMMYFUNCTION("""COMPUTED_VALUE"""),2.85)</f>
        <v>2.85</v>
      </c>
      <c r="C1412" s="1">
        <f ca="1">IFERROR(__xludf.DUMMYFUNCTION("""COMPUTED_VALUE"""),2.87)</f>
        <v>2.87</v>
      </c>
      <c r="D1412" s="1">
        <f ca="1">IFERROR(__xludf.DUMMYFUNCTION("""COMPUTED_VALUE"""),2.83)</f>
        <v>2.83</v>
      </c>
      <c r="E1412" s="1">
        <f ca="1">IFERROR(__xludf.DUMMYFUNCTION("""COMPUTED_VALUE"""),2.85)</f>
        <v>2.85</v>
      </c>
      <c r="F1412" s="1">
        <f ca="1">IFERROR(__xludf.DUMMYFUNCTION("""COMPUTED_VALUE"""),420300)</f>
        <v>420300</v>
      </c>
      <c r="I1412" s="1"/>
    </row>
    <row r="1413" spans="1:9">
      <c r="A1413" s="3">
        <f ca="1">IFERROR(__xludf.DUMMYFUNCTION("""COMPUTED_VALUE"""),31259.6666666666)</f>
        <v>31259.666666666599</v>
      </c>
      <c r="B1413" s="1">
        <f ca="1">IFERROR(__xludf.DUMMYFUNCTION("""COMPUTED_VALUE"""),2.88)</f>
        <v>2.88</v>
      </c>
      <c r="C1413" s="1">
        <f ca="1">IFERROR(__xludf.DUMMYFUNCTION("""COMPUTED_VALUE"""),2.91)</f>
        <v>2.91</v>
      </c>
      <c r="D1413" s="1">
        <f ca="1">IFERROR(__xludf.DUMMYFUNCTION("""COMPUTED_VALUE"""),2.85)</f>
        <v>2.85</v>
      </c>
      <c r="E1413" s="1">
        <f ca="1">IFERROR(__xludf.DUMMYFUNCTION("""COMPUTED_VALUE"""),2.88)</f>
        <v>2.88</v>
      </c>
      <c r="F1413" s="1">
        <f ca="1">IFERROR(__xludf.DUMMYFUNCTION("""COMPUTED_VALUE"""),281500)</f>
        <v>281500</v>
      </c>
      <c r="I1413" s="1"/>
    </row>
    <row r="1414" spans="1:9">
      <c r="A1414" s="3">
        <f ca="1">IFERROR(__xludf.DUMMYFUNCTION("""COMPUTED_VALUE"""),31260.6666666666)</f>
        <v>31260.666666666599</v>
      </c>
      <c r="B1414" s="1">
        <f ca="1">IFERROR(__xludf.DUMMYFUNCTION("""COMPUTED_VALUE"""),2.91)</f>
        <v>2.91</v>
      </c>
      <c r="C1414" s="1">
        <f ca="1">IFERROR(__xludf.DUMMYFUNCTION("""COMPUTED_VALUE"""),2.95)</f>
        <v>2.95</v>
      </c>
      <c r="D1414" s="1">
        <f ca="1">IFERROR(__xludf.DUMMYFUNCTION("""COMPUTED_VALUE"""),2.9)</f>
        <v>2.9</v>
      </c>
      <c r="E1414" s="1">
        <f ca="1">IFERROR(__xludf.DUMMYFUNCTION("""COMPUTED_VALUE"""),2.91)</f>
        <v>2.91</v>
      </c>
      <c r="F1414" s="1">
        <f ca="1">IFERROR(__xludf.DUMMYFUNCTION("""COMPUTED_VALUE"""),479600)</f>
        <v>479600</v>
      </c>
      <c r="I1414" s="1"/>
    </row>
    <row r="1415" spans="1:9">
      <c r="A1415" s="3">
        <f ca="1">IFERROR(__xludf.DUMMYFUNCTION("""COMPUTED_VALUE"""),31261.6666666666)</f>
        <v>31261.666666666599</v>
      </c>
      <c r="B1415" s="1">
        <f ca="1">IFERROR(__xludf.DUMMYFUNCTION("""COMPUTED_VALUE"""),2.91)</f>
        <v>2.91</v>
      </c>
      <c r="C1415" s="1">
        <f ca="1">IFERROR(__xludf.DUMMYFUNCTION("""COMPUTED_VALUE"""),2.92)</f>
        <v>2.92</v>
      </c>
      <c r="D1415" s="1">
        <f ca="1">IFERROR(__xludf.DUMMYFUNCTION("""COMPUTED_VALUE"""),2.91)</f>
        <v>2.91</v>
      </c>
      <c r="E1415" s="1">
        <f ca="1">IFERROR(__xludf.DUMMYFUNCTION("""COMPUTED_VALUE"""),2.91)</f>
        <v>2.91</v>
      </c>
      <c r="F1415" s="1">
        <f ca="1">IFERROR(__xludf.DUMMYFUNCTION("""COMPUTED_VALUE"""),366800)</f>
        <v>366800</v>
      </c>
      <c r="I1415" s="1"/>
    </row>
    <row r="1416" spans="1:9">
      <c r="A1416" s="3">
        <f ca="1">IFERROR(__xludf.DUMMYFUNCTION("""COMPUTED_VALUE"""),31264.6666666666)</f>
        <v>31264.666666666599</v>
      </c>
      <c r="B1416" s="1">
        <f ca="1">IFERROR(__xludf.DUMMYFUNCTION("""COMPUTED_VALUE"""),2.82)</f>
        <v>2.82</v>
      </c>
      <c r="C1416" s="1">
        <f ca="1">IFERROR(__xludf.DUMMYFUNCTION("""COMPUTED_VALUE"""),2.91)</f>
        <v>2.91</v>
      </c>
      <c r="D1416" s="1">
        <f ca="1">IFERROR(__xludf.DUMMYFUNCTION("""COMPUTED_VALUE"""),2.77)</f>
        <v>2.77</v>
      </c>
      <c r="E1416" s="1">
        <f ca="1">IFERROR(__xludf.DUMMYFUNCTION("""COMPUTED_VALUE"""),2.82)</f>
        <v>2.82</v>
      </c>
      <c r="F1416" s="1">
        <f ca="1">IFERROR(__xludf.DUMMYFUNCTION("""COMPUTED_VALUE"""),421400)</f>
        <v>421400</v>
      </c>
      <c r="I1416" s="1"/>
    </row>
    <row r="1417" spans="1:9">
      <c r="A1417" s="3">
        <f ca="1">IFERROR(__xludf.DUMMYFUNCTION("""COMPUTED_VALUE"""),31265.6666666666)</f>
        <v>31265.666666666599</v>
      </c>
      <c r="B1417" s="1">
        <f ca="1">IFERROR(__xludf.DUMMYFUNCTION("""COMPUTED_VALUE"""),2.84)</f>
        <v>2.84</v>
      </c>
      <c r="C1417" s="1">
        <f ca="1">IFERROR(__xludf.DUMMYFUNCTION("""COMPUTED_VALUE"""),2.91)</f>
        <v>2.91</v>
      </c>
      <c r="D1417" s="1">
        <f ca="1">IFERROR(__xludf.DUMMYFUNCTION("""COMPUTED_VALUE"""),2.84)</f>
        <v>2.84</v>
      </c>
      <c r="E1417" s="1">
        <f ca="1">IFERROR(__xludf.DUMMYFUNCTION("""COMPUTED_VALUE"""),2.84)</f>
        <v>2.84</v>
      </c>
      <c r="F1417" s="1">
        <f ca="1">IFERROR(__xludf.DUMMYFUNCTION("""COMPUTED_VALUE"""),663800)</f>
        <v>663800</v>
      </c>
      <c r="I1417" s="1"/>
    </row>
    <row r="1418" spans="1:9">
      <c r="A1418" s="3">
        <f ca="1">IFERROR(__xludf.DUMMYFUNCTION("""COMPUTED_VALUE"""),31266.6666666666)</f>
        <v>31266.666666666599</v>
      </c>
      <c r="B1418" s="1">
        <f ca="1">IFERROR(__xludf.DUMMYFUNCTION("""COMPUTED_VALUE"""),2.85)</f>
        <v>2.85</v>
      </c>
      <c r="C1418" s="1">
        <f ca="1">IFERROR(__xludf.DUMMYFUNCTION("""COMPUTED_VALUE"""),2.86)</f>
        <v>2.86</v>
      </c>
      <c r="D1418" s="1">
        <f ca="1">IFERROR(__xludf.DUMMYFUNCTION("""COMPUTED_VALUE"""),2.82)</f>
        <v>2.82</v>
      </c>
      <c r="E1418" s="1">
        <f ca="1">IFERROR(__xludf.DUMMYFUNCTION("""COMPUTED_VALUE"""),2.85)</f>
        <v>2.85</v>
      </c>
      <c r="F1418" s="1">
        <f ca="1">IFERROR(__xludf.DUMMYFUNCTION("""COMPUTED_VALUE"""),310000)</f>
        <v>310000</v>
      </c>
      <c r="I1418" s="1"/>
    </row>
    <row r="1419" spans="1:9">
      <c r="A1419" s="3">
        <f ca="1">IFERROR(__xludf.DUMMYFUNCTION("""COMPUTED_VALUE"""),31267.6666666666)</f>
        <v>31267.666666666599</v>
      </c>
      <c r="B1419" s="1">
        <f ca="1">IFERROR(__xludf.DUMMYFUNCTION("""COMPUTED_VALUE"""),2.88)</f>
        <v>2.88</v>
      </c>
      <c r="C1419" s="1">
        <f ca="1">IFERROR(__xludf.DUMMYFUNCTION("""COMPUTED_VALUE"""),2.89)</f>
        <v>2.89</v>
      </c>
      <c r="D1419" s="1">
        <f ca="1">IFERROR(__xludf.DUMMYFUNCTION("""COMPUTED_VALUE"""),2.84)</f>
        <v>2.84</v>
      </c>
      <c r="E1419" s="1">
        <f ca="1">IFERROR(__xludf.DUMMYFUNCTION("""COMPUTED_VALUE"""),2.88)</f>
        <v>2.88</v>
      </c>
      <c r="F1419" s="1">
        <f ca="1">IFERROR(__xludf.DUMMYFUNCTION("""COMPUTED_VALUE"""),272900)</f>
        <v>272900</v>
      </c>
      <c r="I1419" s="1"/>
    </row>
    <row r="1420" spans="1:9">
      <c r="A1420" s="3">
        <f ca="1">IFERROR(__xludf.DUMMYFUNCTION("""COMPUTED_VALUE"""),31268.6666666666)</f>
        <v>31268.666666666599</v>
      </c>
      <c r="B1420" s="1">
        <f ca="1">IFERROR(__xludf.DUMMYFUNCTION("""COMPUTED_VALUE"""),2.84)</f>
        <v>2.84</v>
      </c>
      <c r="C1420" s="1">
        <f ca="1">IFERROR(__xludf.DUMMYFUNCTION("""COMPUTED_VALUE"""),2.88)</f>
        <v>2.88</v>
      </c>
      <c r="D1420" s="1">
        <f ca="1">IFERROR(__xludf.DUMMYFUNCTION("""COMPUTED_VALUE"""),2.84)</f>
        <v>2.84</v>
      </c>
      <c r="E1420" s="1">
        <f ca="1">IFERROR(__xludf.DUMMYFUNCTION("""COMPUTED_VALUE"""),2.84)</f>
        <v>2.84</v>
      </c>
      <c r="F1420" s="1">
        <f ca="1">IFERROR(__xludf.DUMMYFUNCTION("""COMPUTED_VALUE"""),328700)</f>
        <v>328700</v>
      </c>
      <c r="I1420" s="1"/>
    </row>
    <row r="1421" spans="1:9">
      <c r="A1421" s="3">
        <f ca="1">IFERROR(__xludf.DUMMYFUNCTION("""COMPUTED_VALUE"""),31271.6666666666)</f>
        <v>31271.666666666599</v>
      </c>
      <c r="B1421" s="1">
        <f ca="1">IFERROR(__xludf.DUMMYFUNCTION("""COMPUTED_VALUE"""),2.85)</f>
        <v>2.85</v>
      </c>
      <c r="C1421" s="1">
        <f ca="1">IFERROR(__xludf.DUMMYFUNCTION("""COMPUTED_VALUE"""),2.87)</f>
        <v>2.87</v>
      </c>
      <c r="D1421" s="1">
        <f ca="1">IFERROR(__xludf.DUMMYFUNCTION("""COMPUTED_VALUE"""),2.82)</f>
        <v>2.82</v>
      </c>
      <c r="E1421" s="1">
        <f ca="1">IFERROR(__xludf.DUMMYFUNCTION("""COMPUTED_VALUE"""),2.85)</f>
        <v>2.85</v>
      </c>
      <c r="F1421" s="1">
        <f ca="1">IFERROR(__xludf.DUMMYFUNCTION("""COMPUTED_VALUE"""),404500)</f>
        <v>404500</v>
      </c>
      <c r="I1421" s="1"/>
    </row>
    <row r="1422" spans="1:9">
      <c r="A1422" s="3">
        <f ca="1">IFERROR(__xludf.DUMMYFUNCTION("""COMPUTED_VALUE"""),31272.6666666666)</f>
        <v>31272.666666666599</v>
      </c>
      <c r="B1422" s="1">
        <f ca="1">IFERROR(__xludf.DUMMYFUNCTION("""COMPUTED_VALUE"""),2.88)</f>
        <v>2.88</v>
      </c>
      <c r="C1422" s="1">
        <f ca="1">IFERROR(__xludf.DUMMYFUNCTION("""COMPUTED_VALUE"""),2.91)</f>
        <v>2.91</v>
      </c>
      <c r="D1422" s="1">
        <f ca="1">IFERROR(__xludf.DUMMYFUNCTION("""COMPUTED_VALUE"""),2.85)</f>
        <v>2.85</v>
      </c>
      <c r="E1422" s="1">
        <f ca="1">IFERROR(__xludf.DUMMYFUNCTION("""COMPUTED_VALUE"""),2.88)</f>
        <v>2.88</v>
      </c>
      <c r="F1422" s="1">
        <f ca="1">IFERROR(__xludf.DUMMYFUNCTION("""COMPUTED_VALUE"""),360500)</f>
        <v>360500</v>
      </c>
      <c r="I1422" s="1"/>
    </row>
    <row r="1423" spans="1:9">
      <c r="A1423" s="3">
        <f ca="1">IFERROR(__xludf.DUMMYFUNCTION("""COMPUTED_VALUE"""),31273.6666666666)</f>
        <v>31273.666666666599</v>
      </c>
      <c r="B1423" s="1">
        <f ca="1">IFERROR(__xludf.DUMMYFUNCTION("""COMPUTED_VALUE"""),2.86)</f>
        <v>2.86</v>
      </c>
      <c r="C1423" s="1">
        <f ca="1">IFERROR(__xludf.DUMMYFUNCTION("""COMPUTED_VALUE"""),2.91)</f>
        <v>2.91</v>
      </c>
      <c r="D1423" s="1">
        <f ca="1">IFERROR(__xludf.DUMMYFUNCTION("""COMPUTED_VALUE"""),2.86)</f>
        <v>2.86</v>
      </c>
      <c r="E1423" s="1">
        <f ca="1">IFERROR(__xludf.DUMMYFUNCTION("""COMPUTED_VALUE"""),2.86)</f>
        <v>2.86</v>
      </c>
      <c r="F1423" s="1">
        <f ca="1">IFERROR(__xludf.DUMMYFUNCTION("""COMPUTED_VALUE"""),719900)</f>
        <v>719900</v>
      </c>
      <c r="I1423" s="1"/>
    </row>
    <row r="1424" spans="1:9">
      <c r="A1424" s="3">
        <f ca="1">IFERROR(__xludf.DUMMYFUNCTION("""COMPUTED_VALUE"""),31274.6666666666)</f>
        <v>31274.666666666599</v>
      </c>
      <c r="B1424" s="1">
        <f ca="1">IFERROR(__xludf.DUMMYFUNCTION("""COMPUTED_VALUE"""),2.84)</f>
        <v>2.84</v>
      </c>
      <c r="C1424" s="1">
        <f ca="1">IFERROR(__xludf.DUMMYFUNCTION("""COMPUTED_VALUE"""),2.87)</f>
        <v>2.87</v>
      </c>
      <c r="D1424" s="1">
        <f ca="1">IFERROR(__xludf.DUMMYFUNCTION("""COMPUTED_VALUE"""),2.8)</f>
        <v>2.8</v>
      </c>
      <c r="E1424" s="1">
        <f ca="1">IFERROR(__xludf.DUMMYFUNCTION("""COMPUTED_VALUE"""),2.84)</f>
        <v>2.84</v>
      </c>
      <c r="F1424" s="1">
        <f ca="1">IFERROR(__xludf.DUMMYFUNCTION("""COMPUTED_VALUE"""),285600)</f>
        <v>285600</v>
      </c>
      <c r="I1424" s="1"/>
    </row>
    <row r="1425" spans="1:9">
      <c r="A1425" s="3">
        <f ca="1">IFERROR(__xludf.DUMMYFUNCTION("""COMPUTED_VALUE"""),31275.6666666666)</f>
        <v>31275.666666666599</v>
      </c>
      <c r="B1425" s="1">
        <f ca="1">IFERROR(__xludf.DUMMYFUNCTION("""COMPUTED_VALUE"""),2.88)</f>
        <v>2.88</v>
      </c>
      <c r="C1425" s="1">
        <f ca="1">IFERROR(__xludf.DUMMYFUNCTION("""COMPUTED_VALUE"""),2.88)</f>
        <v>2.88</v>
      </c>
      <c r="D1425" s="1">
        <f ca="1">IFERROR(__xludf.DUMMYFUNCTION("""COMPUTED_VALUE"""),2.82)</f>
        <v>2.82</v>
      </c>
      <c r="E1425" s="1">
        <f ca="1">IFERROR(__xludf.DUMMYFUNCTION("""COMPUTED_VALUE"""),2.88)</f>
        <v>2.88</v>
      </c>
      <c r="F1425" s="1">
        <f ca="1">IFERROR(__xludf.DUMMYFUNCTION("""COMPUTED_VALUE"""),318600)</f>
        <v>318600</v>
      </c>
      <c r="I1425" s="1"/>
    </row>
    <row r="1426" spans="1:9">
      <c r="A1426" s="3">
        <f ca="1">IFERROR(__xludf.DUMMYFUNCTION("""COMPUTED_VALUE"""),31278.6666666666)</f>
        <v>31278.666666666599</v>
      </c>
      <c r="B1426" s="1">
        <f ca="1">IFERROR(__xludf.DUMMYFUNCTION("""COMPUTED_VALUE"""),2.87)</f>
        <v>2.87</v>
      </c>
      <c r="C1426" s="1">
        <f ca="1">IFERROR(__xludf.DUMMYFUNCTION("""COMPUTED_VALUE"""),2.88)</f>
        <v>2.88</v>
      </c>
      <c r="D1426" s="1">
        <f ca="1">IFERROR(__xludf.DUMMYFUNCTION("""COMPUTED_VALUE"""),2.87)</f>
        <v>2.87</v>
      </c>
      <c r="E1426" s="1">
        <f ca="1">IFERROR(__xludf.DUMMYFUNCTION("""COMPUTED_VALUE"""),2.87)</f>
        <v>2.87</v>
      </c>
      <c r="F1426" s="1">
        <f ca="1">IFERROR(__xludf.DUMMYFUNCTION("""COMPUTED_VALUE"""),92700)</f>
        <v>92700</v>
      </c>
      <c r="I1426" s="1"/>
    </row>
    <row r="1427" spans="1:9">
      <c r="A1427" s="3">
        <f ca="1">IFERROR(__xludf.DUMMYFUNCTION("""COMPUTED_VALUE"""),31279.6666666666)</f>
        <v>31279.666666666599</v>
      </c>
      <c r="B1427" s="1">
        <f ca="1">IFERROR(__xludf.DUMMYFUNCTION("""COMPUTED_VALUE"""),2.91)</f>
        <v>2.91</v>
      </c>
      <c r="C1427" s="1">
        <f ca="1">IFERROR(__xludf.DUMMYFUNCTION("""COMPUTED_VALUE"""),2.91)</f>
        <v>2.91</v>
      </c>
      <c r="D1427" s="1">
        <f ca="1">IFERROR(__xludf.DUMMYFUNCTION("""COMPUTED_VALUE"""),2.87)</f>
        <v>2.87</v>
      </c>
      <c r="E1427" s="1">
        <f ca="1">IFERROR(__xludf.DUMMYFUNCTION("""COMPUTED_VALUE"""),2.91)</f>
        <v>2.91</v>
      </c>
      <c r="F1427" s="1">
        <f ca="1">IFERROR(__xludf.DUMMYFUNCTION("""COMPUTED_VALUE"""),209500)</f>
        <v>209500</v>
      </c>
      <c r="I1427" s="1"/>
    </row>
    <row r="1428" spans="1:9">
      <c r="A1428" s="3">
        <f ca="1">IFERROR(__xludf.DUMMYFUNCTION("""COMPUTED_VALUE"""),31280.6666666666)</f>
        <v>31280.666666666599</v>
      </c>
      <c r="B1428" s="1">
        <f ca="1">IFERROR(__xludf.DUMMYFUNCTION("""COMPUTED_VALUE"""),2.94)</f>
        <v>2.94</v>
      </c>
      <c r="C1428" s="1">
        <f ca="1">IFERROR(__xludf.DUMMYFUNCTION("""COMPUTED_VALUE"""),2.94)</f>
        <v>2.94</v>
      </c>
      <c r="D1428" s="1">
        <f ca="1">IFERROR(__xludf.DUMMYFUNCTION("""COMPUTED_VALUE"""),2.9)</f>
        <v>2.9</v>
      </c>
      <c r="E1428" s="1">
        <f ca="1">IFERROR(__xludf.DUMMYFUNCTION("""COMPUTED_VALUE"""),2.94)</f>
        <v>2.94</v>
      </c>
      <c r="F1428" s="1">
        <f ca="1">IFERROR(__xludf.DUMMYFUNCTION("""COMPUTED_VALUE"""),148400)</f>
        <v>148400</v>
      </c>
      <c r="I1428" s="1"/>
    </row>
    <row r="1429" spans="1:9">
      <c r="A1429" s="3">
        <f ca="1">IFERROR(__xludf.DUMMYFUNCTION("""COMPUTED_VALUE"""),31281.6666666666)</f>
        <v>31281.666666666599</v>
      </c>
      <c r="B1429" s="1">
        <f ca="1">IFERROR(__xludf.DUMMYFUNCTION("""COMPUTED_VALUE"""),2.91)</f>
        <v>2.91</v>
      </c>
      <c r="C1429" s="1">
        <f ca="1">IFERROR(__xludf.DUMMYFUNCTION("""COMPUTED_VALUE"""),2.94)</f>
        <v>2.94</v>
      </c>
      <c r="D1429" s="1">
        <f ca="1">IFERROR(__xludf.DUMMYFUNCTION("""COMPUTED_VALUE"""),2.89)</f>
        <v>2.89</v>
      </c>
      <c r="E1429" s="1">
        <f ca="1">IFERROR(__xludf.DUMMYFUNCTION("""COMPUTED_VALUE"""),2.91)</f>
        <v>2.91</v>
      </c>
      <c r="F1429" s="1">
        <f ca="1">IFERROR(__xludf.DUMMYFUNCTION("""COMPUTED_VALUE"""),153700)</f>
        <v>153700</v>
      </c>
      <c r="I1429" s="1"/>
    </row>
    <row r="1430" spans="1:9">
      <c r="A1430" s="3">
        <f ca="1">IFERROR(__xludf.DUMMYFUNCTION("""COMPUTED_VALUE"""),31282.6666666666)</f>
        <v>31282.666666666599</v>
      </c>
      <c r="B1430" s="1">
        <f ca="1">IFERROR(__xludf.DUMMYFUNCTION("""COMPUTED_VALUE"""),2.9)</f>
        <v>2.9</v>
      </c>
      <c r="C1430" s="1">
        <f ca="1">IFERROR(__xludf.DUMMYFUNCTION("""COMPUTED_VALUE"""),2.91)</f>
        <v>2.91</v>
      </c>
      <c r="D1430" s="1">
        <f ca="1">IFERROR(__xludf.DUMMYFUNCTION("""COMPUTED_VALUE"""),2.89)</f>
        <v>2.89</v>
      </c>
      <c r="E1430" s="1">
        <f ca="1">IFERROR(__xludf.DUMMYFUNCTION("""COMPUTED_VALUE"""),2.9)</f>
        <v>2.9</v>
      </c>
      <c r="F1430" s="1">
        <f ca="1">IFERROR(__xludf.DUMMYFUNCTION("""COMPUTED_VALUE"""),83500)</f>
        <v>83500</v>
      </c>
      <c r="I1430" s="1"/>
    </row>
    <row r="1431" spans="1:9">
      <c r="A1431" s="3">
        <f ca="1">IFERROR(__xludf.DUMMYFUNCTION("""COMPUTED_VALUE"""),31285.6666666666)</f>
        <v>31285.666666666599</v>
      </c>
      <c r="B1431" s="1">
        <f ca="1">IFERROR(__xludf.DUMMYFUNCTION("""COMPUTED_VALUE"""),2.89)</f>
        <v>2.89</v>
      </c>
      <c r="C1431" s="1">
        <f ca="1">IFERROR(__xludf.DUMMYFUNCTION("""COMPUTED_VALUE"""),2.91)</f>
        <v>2.91</v>
      </c>
      <c r="D1431" s="1">
        <f ca="1">IFERROR(__xludf.DUMMYFUNCTION("""COMPUTED_VALUE"""),2.88)</f>
        <v>2.88</v>
      </c>
      <c r="E1431" s="1">
        <f ca="1">IFERROR(__xludf.DUMMYFUNCTION("""COMPUTED_VALUE"""),2.89)</f>
        <v>2.89</v>
      </c>
      <c r="F1431" s="1">
        <f ca="1">IFERROR(__xludf.DUMMYFUNCTION("""COMPUTED_VALUE"""),151900)</f>
        <v>151900</v>
      </c>
      <c r="I1431" s="1"/>
    </row>
    <row r="1432" spans="1:9">
      <c r="A1432" s="3">
        <f ca="1">IFERROR(__xludf.DUMMYFUNCTION("""COMPUTED_VALUE"""),31286.6666666666)</f>
        <v>31286.666666666599</v>
      </c>
      <c r="B1432" s="1">
        <f ca="1">IFERROR(__xludf.DUMMYFUNCTION("""COMPUTED_VALUE"""),2.91)</f>
        <v>2.91</v>
      </c>
      <c r="C1432" s="1">
        <f ca="1">IFERROR(__xludf.DUMMYFUNCTION("""COMPUTED_VALUE"""),2.93)</f>
        <v>2.93</v>
      </c>
      <c r="D1432" s="1">
        <f ca="1">IFERROR(__xludf.DUMMYFUNCTION("""COMPUTED_VALUE"""),2.9)</f>
        <v>2.9</v>
      </c>
      <c r="E1432" s="1">
        <f ca="1">IFERROR(__xludf.DUMMYFUNCTION("""COMPUTED_VALUE"""),2.91)</f>
        <v>2.91</v>
      </c>
      <c r="F1432" s="1">
        <f ca="1">IFERROR(__xludf.DUMMYFUNCTION("""COMPUTED_VALUE"""),142800)</f>
        <v>142800</v>
      </c>
      <c r="I1432" s="1"/>
    </row>
    <row r="1433" spans="1:9">
      <c r="A1433" s="3">
        <f ca="1">IFERROR(__xludf.DUMMYFUNCTION("""COMPUTED_VALUE"""),31287.6666666666)</f>
        <v>31287.666666666599</v>
      </c>
      <c r="B1433" s="1">
        <f ca="1">IFERROR(__xludf.DUMMYFUNCTION("""COMPUTED_VALUE"""),2.96)</f>
        <v>2.96</v>
      </c>
      <c r="C1433" s="1">
        <f ca="1">IFERROR(__xludf.DUMMYFUNCTION("""COMPUTED_VALUE"""),2.97)</f>
        <v>2.97</v>
      </c>
      <c r="D1433" s="1">
        <f ca="1">IFERROR(__xludf.DUMMYFUNCTION("""COMPUTED_VALUE"""),2.92)</f>
        <v>2.92</v>
      </c>
      <c r="E1433" s="1">
        <f ca="1">IFERROR(__xludf.DUMMYFUNCTION("""COMPUTED_VALUE"""),2.96)</f>
        <v>2.96</v>
      </c>
      <c r="F1433" s="1">
        <f ca="1">IFERROR(__xludf.DUMMYFUNCTION("""COMPUTED_VALUE"""),222400)</f>
        <v>222400</v>
      </c>
      <c r="I1433" s="1"/>
    </row>
    <row r="1434" spans="1:9">
      <c r="A1434" s="3">
        <f ca="1">IFERROR(__xludf.DUMMYFUNCTION("""COMPUTED_VALUE"""),31288.6666666666)</f>
        <v>31288.666666666599</v>
      </c>
      <c r="B1434" s="1">
        <f ca="1">IFERROR(__xludf.DUMMYFUNCTION("""COMPUTED_VALUE"""),2.94)</f>
        <v>2.94</v>
      </c>
      <c r="C1434" s="1">
        <f ca="1">IFERROR(__xludf.DUMMYFUNCTION("""COMPUTED_VALUE"""),2.97)</f>
        <v>2.97</v>
      </c>
      <c r="D1434" s="1">
        <f ca="1">IFERROR(__xludf.DUMMYFUNCTION("""COMPUTED_VALUE"""),2.94)</f>
        <v>2.94</v>
      </c>
      <c r="E1434" s="1">
        <f ca="1">IFERROR(__xludf.DUMMYFUNCTION("""COMPUTED_VALUE"""),2.94)</f>
        <v>2.94</v>
      </c>
      <c r="F1434" s="1">
        <f ca="1">IFERROR(__xludf.DUMMYFUNCTION("""COMPUTED_VALUE"""),223200)</f>
        <v>223200</v>
      </c>
      <c r="I1434" s="1"/>
    </row>
    <row r="1435" spans="1:9">
      <c r="A1435" s="3">
        <f ca="1">IFERROR(__xludf.DUMMYFUNCTION("""COMPUTED_VALUE"""),31289.6666666666)</f>
        <v>31289.666666666599</v>
      </c>
      <c r="B1435" s="1">
        <f ca="1">IFERROR(__xludf.DUMMYFUNCTION("""COMPUTED_VALUE"""),2.92)</f>
        <v>2.92</v>
      </c>
      <c r="C1435" s="1">
        <f ca="1">IFERROR(__xludf.DUMMYFUNCTION("""COMPUTED_VALUE"""),2.95)</f>
        <v>2.95</v>
      </c>
      <c r="D1435" s="1">
        <f ca="1">IFERROR(__xludf.DUMMYFUNCTION("""COMPUTED_VALUE"""),2.91)</f>
        <v>2.91</v>
      </c>
      <c r="E1435" s="1">
        <f ca="1">IFERROR(__xludf.DUMMYFUNCTION("""COMPUTED_VALUE"""),2.92)</f>
        <v>2.92</v>
      </c>
      <c r="F1435" s="1">
        <f ca="1">IFERROR(__xludf.DUMMYFUNCTION("""COMPUTED_VALUE"""),173700)</f>
        <v>173700</v>
      </c>
      <c r="I1435" s="1"/>
    </row>
    <row r="1436" spans="1:9">
      <c r="A1436" s="3">
        <f ca="1">IFERROR(__xludf.DUMMYFUNCTION("""COMPUTED_VALUE"""),31293.6666666666)</f>
        <v>31293.666666666599</v>
      </c>
      <c r="B1436" s="1">
        <f ca="1">IFERROR(__xludf.DUMMYFUNCTION("""COMPUTED_VALUE"""),2.91)</f>
        <v>2.91</v>
      </c>
      <c r="C1436" s="1">
        <f ca="1">IFERROR(__xludf.DUMMYFUNCTION("""COMPUTED_VALUE"""),2.92)</f>
        <v>2.92</v>
      </c>
      <c r="D1436" s="1">
        <f ca="1">IFERROR(__xludf.DUMMYFUNCTION("""COMPUTED_VALUE"""),2.89)</f>
        <v>2.89</v>
      </c>
      <c r="E1436" s="1">
        <f ca="1">IFERROR(__xludf.DUMMYFUNCTION("""COMPUTED_VALUE"""),2.91)</f>
        <v>2.91</v>
      </c>
      <c r="F1436" s="1">
        <f ca="1">IFERROR(__xludf.DUMMYFUNCTION("""COMPUTED_VALUE"""),284200)</f>
        <v>284200</v>
      </c>
      <c r="I1436" s="1"/>
    </row>
    <row r="1437" spans="1:9">
      <c r="A1437" s="3">
        <f ca="1">IFERROR(__xludf.DUMMYFUNCTION("""COMPUTED_VALUE"""),31294.6666666666)</f>
        <v>31294.666666666599</v>
      </c>
      <c r="B1437" s="1">
        <f ca="1">IFERROR(__xludf.DUMMYFUNCTION("""COMPUTED_VALUE"""),2.95)</f>
        <v>2.95</v>
      </c>
      <c r="C1437" s="1">
        <f ca="1">IFERROR(__xludf.DUMMYFUNCTION("""COMPUTED_VALUE"""),2.96)</f>
        <v>2.96</v>
      </c>
      <c r="D1437" s="1">
        <f ca="1">IFERROR(__xludf.DUMMYFUNCTION("""COMPUTED_VALUE"""),2.93)</f>
        <v>2.93</v>
      </c>
      <c r="E1437" s="1">
        <f ca="1">IFERROR(__xludf.DUMMYFUNCTION("""COMPUTED_VALUE"""),2.95)</f>
        <v>2.95</v>
      </c>
      <c r="F1437" s="1">
        <f ca="1">IFERROR(__xludf.DUMMYFUNCTION("""COMPUTED_VALUE"""),261800)</f>
        <v>261800</v>
      </c>
      <c r="I1437" s="1"/>
    </row>
    <row r="1438" spans="1:9">
      <c r="A1438" s="3">
        <f ca="1">IFERROR(__xludf.DUMMYFUNCTION("""COMPUTED_VALUE"""),31295.6666666666)</f>
        <v>31295.666666666599</v>
      </c>
      <c r="B1438" s="1">
        <f ca="1">IFERROR(__xludf.DUMMYFUNCTION("""COMPUTED_VALUE"""),2.98)</f>
        <v>2.98</v>
      </c>
      <c r="C1438" s="1">
        <f ca="1">IFERROR(__xludf.DUMMYFUNCTION("""COMPUTED_VALUE"""),2.99)</f>
        <v>2.99</v>
      </c>
      <c r="D1438" s="1">
        <f ca="1">IFERROR(__xludf.DUMMYFUNCTION("""COMPUTED_VALUE"""),2.95)</f>
        <v>2.95</v>
      </c>
      <c r="E1438" s="1">
        <f ca="1">IFERROR(__xludf.DUMMYFUNCTION("""COMPUTED_VALUE"""),2.98)</f>
        <v>2.98</v>
      </c>
      <c r="F1438" s="1">
        <f ca="1">IFERROR(__xludf.DUMMYFUNCTION("""COMPUTED_VALUE"""),386000)</f>
        <v>386000</v>
      </c>
      <c r="I1438" s="1"/>
    </row>
    <row r="1439" spans="1:9">
      <c r="A1439" s="3">
        <f ca="1">IFERROR(__xludf.DUMMYFUNCTION("""COMPUTED_VALUE"""),31296.6666666666)</f>
        <v>31296.666666666599</v>
      </c>
      <c r="B1439" s="1">
        <f ca="1">IFERROR(__xludf.DUMMYFUNCTION("""COMPUTED_VALUE"""),2.99)</f>
        <v>2.99</v>
      </c>
      <c r="C1439" s="1">
        <f ca="1">IFERROR(__xludf.DUMMYFUNCTION("""COMPUTED_VALUE"""),3)</f>
        <v>3</v>
      </c>
      <c r="D1439" s="1">
        <f ca="1">IFERROR(__xludf.DUMMYFUNCTION("""COMPUTED_VALUE"""),2.98)</f>
        <v>2.98</v>
      </c>
      <c r="E1439" s="1">
        <f ca="1">IFERROR(__xludf.DUMMYFUNCTION("""COMPUTED_VALUE"""),2.99)</f>
        <v>2.99</v>
      </c>
      <c r="F1439" s="1">
        <f ca="1">IFERROR(__xludf.DUMMYFUNCTION("""COMPUTED_VALUE"""),412900)</f>
        <v>412900</v>
      </c>
      <c r="I1439" s="1"/>
    </row>
    <row r="1440" spans="1:9">
      <c r="A1440" s="3">
        <f ca="1">IFERROR(__xludf.DUMMYFUNCTION("""COMPUTED_VALUE"""),31299.6666666666)</f>
        <v>31299.666666666599</v>
      </c>
      <c r="B1440" s="1">
        <f ca="1">IFERROR(__xludf.DUMMYFUNCTION("""COMPUTED_VALUE"""),2.95)</f>
        <v>2.95</v>
      </c>
      <c r="C1440" s="1">
        <f ca="1">IFERROR(__xludf.DUMMYFUNCTION("""COMPUTED_VALUE"""),2.99)</f>
        <v>2.99</v>
      </c>
      <c r="D1440" s="1">
        <f ca="1">IFERROR(__xludf.DUMMYFUNCTION("""COMPUTED_VALUE"""),2.95)</f>
        <v>2.95</v>
      </c>
      <c r="E1440" s="1">
        <f ca="1">IFERROR(__xludf.DUMMYFUNCTION("""COMPUTED_VALUE"""),2.95)</f>
        <v>2.95</v>
      </c>
      <c r="F1440" s="1">
        <f ca="1">IFERROR(__xludf.DUMMYFUNCTION("""COMPUTED_VALUE"""),196900)</f>
        <v>196900</v>
      </c>
      <c r="I1440" s="1"/>
    </row>
    <row r="1441" spans="1:9">
      <c r="A1441" s="3">
        <f ca="1">IFERROR(__xludf.DUMMYFUNCTION("""COMPUTED_VALUE"""),31300.6666666666)</f>
        <v>31300.666666666599</v>
      </c>
      <c r="B1441" s="1">
        <f ca="1">IFERROR(__xludf.DUMMYFUNCTION("""COMPUTED_VALUE"""),2.88)</f>
        <v>2.88</v>
      </c>
      <c r="C1441" s="1">
        <f ca="1">IFERROR(__xludf.DUMMYFUNCTION("""COMPUTED_VALUE"""),2.96)</f>
        <v>2.96</v>
      </c>
      <c r="D1441" s="1">
        <f ca="1">IFERROR(__xludf.DUMMYFUNCTION("""COMPUTED_VALUE"""),2.87)</f>
        <v>2.87</v>
      </c>
      <c r="E1441" s="1">
        <f ca="1">IFERROR(__xludf.DUMMYFUNCTION("""COMPUTED_VALUE"""),2.88)</f>
        <v>2.88</v>
      </c>
      <c r="F1441" s="1">
        <f ca="1">IFERROR(__xludf.DUMMYFUNCTION("""COMPUTED_VALUE"""),177600)</f>
        <v>177600</v>
      </c>
      <c r="I1441" s="1"/>
    </row>
    <row r="1442" spans="1:9">
      <c r="A1442" s="3">
        <f ca="1">IFERROR(__xludf.DUMMYFUNCTION("""COMPUTED_VALUE"""),31301.6666666666)</f>
        <v>31301.666666666599</v>
      </c>
      <c r="B1442" s="1">
        <f ca="1">IFERROR(__xludf.DUMMYFUNCTION("""COMPUTED_VALUE"""),2.86)</f>
        <v>2.86</v>
      </c>
      <c r="C1442" s="1">
        <f ca="1">IFERROR(__xludf.DUMMYFUNCTION("""COMPUTED_VALUE"""),2.9)</f>
        <v>2.9</v>
      </c>
      <c r="D1442" s="1">
        <f ca="1">IFERROR(__xludf.DUMMYFUNCTION("""COMPUTED_VALUE"""),2.85)</f>
        <v>2.85</v>
      </c>
      <c r="E1442" s="1">
        <f ca="1">IFERROR(__xludf.DUMMYFUNCTION("""COMPUTED_VALUE"""),2.86)</f>
        <v>2.86</v>
      </c>
      <c r="F1442" s="1">
        <f ca="1">IFERROR(__xludf.DUMMYFUNCTION("""COMPUTED_VALUE"""),256800)</f>
        <v>256800</v>
      </c>
      <c r="I1442" s="1"/>
    </row>
    <row r="1443" spans="1:9">
      <c r="A1443" s="3">
        <f ca="1">IFERROR(__xludf.DUMMYFUNCTION("""COMPUTED_VALUE"""),31302.6666666666)</f>
        <v>31302.666666666599</v>
      </c>
      <c r="B1443" s="1">
        <f ca="1">IFERROR(__xludf.DUMMYFUNCTION("""COMPUTED_VALUE"""),2.87)</f>
        <v>2.87</v>
      </c>
      <c r="C1443" s="1">
        <f ca="1">IFERROR(__xludf.DUMMYFUNCTION("""COMPUTED_VALUE"""),2.89)</f>
        <v>2.89</v>
      </c>
      <c r="D1443" s="1">
        <f ca="1">IFERROR(__xludf.DUMMYFUNCTION("""COMPUTED_VALUE"""),2.85)</f>
        <v>2.85</v>
      </c>
      <c r="E1443" s="1">
        <f ca="1">IFERROR(__xludf.DUMMYFUNCTION("""COMPUTED_VALUE"""),2.87)</f>
        <v>2.87</v>
      </c>
      <c r="F1443" s="1">
        <f ca="1">IFERROR(__xludf.DUMMYFUNCTION("""COMPUTED_VALUE"""),143600)</f>
        <v>143600</v>
      </c>
      <c r="I1443" s="1"/>
    </row>
    <row r="1444" spans="1:9">
      <c r="A1444" s="3">
        <f ca="1">IFERROR(__xludf.DUMMYFUNCTION("""COMPUTED_VALUE"""),31303.6666666666)</f>
        <v>31303.666666666599</v>
      </c>
      <c r="B1444" s="1">
        <f ca="1">IFERROR(__xludf.DUMMYFUNCTION("""COMPUTED_VALUE"""),2.81)</f>
        <v>2.81</v>
      </c>
      <c r="C1444" s="1">
        <f ca="1">IFERROR(__xludf.DUMMYFUNCTION("""COMPUTED_VALUE"""),2.87)</f>
        <v>2.87</v>
      </c>
      <c r="D1444" s="1">
        <f ca="1">IFERROR(__xludf.DUMMYFUNCTION("""COMPUTED_VALUE"""),2.79)</f>
        <v>2.79</v>
      </c>
      <c r="E1444" s="1">
        <f ca="1">IFERROR(__xludf.DUMMYFUNCTION("""COMPUTED_VALUE"""),2.81)</f>
        <v>2.81</v>
      </c>
      <c r="F1444" s="1">
        <f ca="1">IFERROR(__xludf.DUMMYFUNCTION("""COMPUTED_VALUE"""),490800)</f>
        <v>490800</v>
      </c>
      <c r="I1444" s="1"/>
    </row>
    <row r="1445" spans="1:9">
      <c r="A1445" s="3">
        <f ca="1">IFERROR(__xludf.DUMMYFUNCTION("""COMPUTED_VALUE"""),31306.6666666666)</f>
        <v>31306.666666666599</v>
      </c>
      <c r="B1445" s="1">
        <f ca="1">IFERROR(__xludf.DUMMYFUNCTION("""COMPUTED_VALUE"""),2.69)</f>
        <v>2.69</v>
      </c>
      <c r="C1445" s="1">
        <f ca="1">IFERROR(__xludf.DUMMYFUNCTION("""COMPUTED_VALUE"""),2.81)</f>
        <v>2.81</v>
      </c>
      <c r="D1445" s="1">
        <f ca="1">IFERROR(__xludf.DUMMYFUNCTION("""COMPUTED_VALUE"""),2.67)</f>
        <v>2.67</v>
      </c>
      <c r="E1445" s="1">
        <f ca="1">IFERROR(__xludf.DUMMYFUNCTION("""COMPUTED_VALUE"""),2.69)</f>
        <v>2.69</v>
      </c>
      <c r="F1445" s="1">
        <f ca="1">IFERROR(__xludf.DUMMYFUNCTION("""COMPUTED_VALUE"""),874300)</f>
        <v>874300</v>
      </c>
      <c r="I1445" s="1"/>
    </row>
    <row r="1446" spans="1:9">
      <c r="A1446" s="3">
        <f ca="1">IFERROR(__xludf.DUMMYFUNCTION("""COMPUTED_VALUE"""),31307.6666666666)</f>
        <v>31307.666666666599</v>
      </c>
      <c r="B1446" s="1">
        <f ca="1">IFERROR(__xludf.DUMMYFUNCTION("""COMPUTED_VALUE"""),2.72)</f>
        <v>2.72</v>
      </c>
      <c r="C1446" s="1">
        <f ca="1">IFERROR(__xludf.DUMMYFUNCTION("""COMPUTED_VALUE"""),2.76)</f>
        <v>2.76</v>
      </c>
      <c r="D1446" s="1">
        <f ca="1">IFERROR(__xludf.DUMMYFUNCTION("""COMPUTED_VALUE"""),2.7)</f>
        <v>2.7</v>
      </c>
      <c r="E1446" s="1">
        <f ca="1">IFERROR(__xludf.DUMMYFUNCTION("""COMPUTED_VALUE"""),2.72)</f>
        <v>2.72</v>
      </c>
      <c r="F1446" s="1">
        <f ca="1">IFERROR(__xludf.DUMMYFUNCTION("""COMPUTED_VALUE"""),580500)</f>
        <v>580500</v>
      </c>
      <c r="I1446" s="1"/>
    </row>
    <row r="1447" spans="1:9">
      <c r="A1447" s="3">
        <f ca="1">IFERROR(__xludf.DUMMYFUNCTION("""COMPUTED_VALUE"""),31308.6666666666)</f>
        <v>31308.666666666599</v>
      </c>
      <c r="B1447" s="1">
        <f ca="1">IFERROR(__xludf.DUMMYFUNCTION("""COMPUTED_VALUE"""),2.75)</f>
        <v>2.75</v>
      </c>
      <c r="C1447" s="1">
        <f ca="1">IFERROR(__xludf.DUMMYFUNCTION("""COMPUTED_VALUE"""),2.75)</f>
        <v>2.75</v>
      </c>
      <c r="D1447" s="1">
        <f ca="1">IFERROR(__xludf.DUMMYFUNCTION("""COMPUTED_VALUE"""),2.72)</f>
        <v>2.72</v>
      </c>
      <c r="E1447" s="1">
        <f ca="1">IFERROR(__xludf.DUMMYFUNCTION("""COMPUTED_VALUE"""),2.75)</f>
        <v>2.75</v>
      </c>
      <c r="F1447" s="1">
        <f ca="1">IFERROR(__xludf.DUMMYFUNCTION("""COMPUTED_VALUE"""),481300)</f>
        <v>481300</v>
      </c>
      <c r="I1447" s="1"/>
    </row>
    <row r="1448" spans="1:9">
      <c r="A1448" s="3">
        <f ca="1">IFERROR(__xludf.DUMMYFUNCTION("""COMPUTED_VALUE"""),31309.6666666666)</f>
        <v>31309.666666666599</v>
      </c>
      <c r="B1448" s="1">
        <f ca="1">IFERROR(__xludf.DUMMYFUNCTION("""COMPUTED_VALUE"""),2.86)</f>
        <v>2.86</v>
      </c>
      <c r="C1448" s="1">
        <f ca="1">IFERROR(__xludf.DUMMYFUNCTION("""COMPUTED_VALUE"""),2.86)</f>
        <v>2.86</v>
      </c>
      <c r="D1448" s="1">
        <f ca="1">IFERROR(__xludf.DUMMYFUNCTION("""COMPUTED_VALUE"""),2.76)</f>
        <v>2.76</v>
      </c>
      <c r="E1448" s="1">
        <f ca="1">IFERROR(__xludf.DUMMYFUNCTION("""COMPUTED_VALUE"""),2.86)</f>
        <v>2.86</v>
      </c>
      <c r="F1448" s="1">
        <f ca="1">IFERROR(__xludf.DUMMYFUNCTION("""COMPUTED_VALUE"""),479500)</f>
        <v>479500</v>
      </c>
      <c r="I1448" s="1"/>
    </row>
    <row r="1449" spans="1:9">
      <c r="A1449" s="3">
        <f ca="1">IFERROR(__xludf.DUMMYFUNCTION("""COMPUTED_VALUE"""),31310.6666666666)</f>
        <v>31310.666666666599</v>
      </c>
      <c r="B1449" s="1">
        <f ca="1">IFERROR(__xludf.DUMMYFUNCTION("""COMPUTED_VALUE"""),2.78)</f>
        <v>2.78</v>
      </c>
      <c r="C1449" s="1">
        <f ca="1">IFERROR(__xludf.DUMMYFUNCTION("""COMPUTED_VALUE"""),2.87)</f>
        <v>2.87</v>
      </c>
      <c r="D1449" s="1">
        <f ca="1">IFERROR(__xludf.DUMMYFUNCTION("""COMPUTED_VALUE"""),2.78)</f>
        <v>2.78</v>
      </c>
      <c r="E1449" s="1">
        <f ca="1">IFERROR(__xludf.DUMMYFUNCTION("""COMPUTED_VALUE"""),2.78)</f>
        <v>2.78</v>
      </c>
      <c r="F1449" s="1">
        <f ca="1">IFERROR(__xludf.DUMMYFUNCTION("""COMPUTED_VALUE"""),294400)</f>
        <v>294400</v>
      </c>
      <c r="I1449" s="1"/>
    </row>
    <row r="1450" spans="1:9">
      <c r="A1450" s="3">
        <f ca="1">IFERROR(__xludf.DUMMYFUNCTION("""COMPUTED_VALUE"""),31313.6666666666)</f>
        <v>31313.666666666599</v>
      </c>
      <c r="B1450" s="1">
        <f ca="1">IFERROR(__xludf.DUMMYFUNCTION("""COMPUTED_VALUE"""),2.86)</f>
        <v>2.86</v>
      </c>
      <c r="C1450" s="1">
        <f ca="1">IFERROR(__xludf.DUMMYFUNCTION("""COMPUTED_VALUE"""),2.88)</f>
        <v>2.88</v>
      </c>
      <c r="D1450" s="1">
        <f ca="1">IFERROR(__xludf.DUMMYFUNCTION("""COMPUTED_VALUE"""),2.84)</f>
        <v>2.84</v>
      </c>
      <c r="E1450" s="1">
        <f ca="1">IFERROR(__xludf.DUMMYFUNCTION("""COMPUTED_VALUE"""),2.86)</f>
        <v>2.86</v>
      </c>
      <c r="F1450" s="1">
        <f ca="1">IFERROR(__xludf.DUMMYFUNCTION("""COMPUTED_VALUE"""),509100)</f>
        <v>509100</v>
      </c>
      <c r="I1450" s="1"/>
    </row>
    <row r="1451" spans="1:9">
      <c r="A1451" s="3">
        <f ca="1">IFERROR(__xludf.DUMMYFUNCTION("""COMPUTED_VALUE"""),31314.6666666666)</f>
        <v>31314.666666666599</v>
      </c>
      <c r="B1451" s="1">
        <f ca="1">IFERROR(__xludf.DUMMYFUNCTION("""COMPUTED_VALUE"""),2.8)</f>
        <v>2.8</v>
      </c>
      <c r="C1451" s="1">
        <f ca="1">IFERROR(__xludf.DUMMYFUNCTION("""COMPUTED_VALUE"""),2.88)</f>
        <v>2.88</v>
      </c>
      <c r="D1451" s="1">
        <f ca="1">IFERROR(__xludf.DUMMYFUNCTION("""COMPUTED_VALUE"""),2.79)</f>
        <v>2.79</v>
      </c>
      <c r="E1451" s="1">
        <f ca="1">IFERROR(__xludf.DUMMYFUNCTION("""COMPUTED_VALUE"""),2.8)</f>
        <v>2.8</v>
      </c>
      <c r="F1451" s="1">
        <f ca="1">IFERROR(__xludf.DUMMYFUNCTION("""COMPUTED_VALUE"""),393300)</f>
        <v>393300</v>
      </c>
      <c r="I1451" s="1"/>
    </row>
    <row r="1452" spans="1:9">
      <c r="A1452" s="3">
        <f ca="1">IFERROR(__xludf.DUMMYFUNCTION("""COMPUTED_VALUE"""),31315.6666666666)</f>
        <v>31315.666666666599</v>
      </c>
      <c r="B1452" s="1">
        <f ca="1">IFERROR(__xludf.DUMMYFUNCTION("""COMPUTED_VALUE"""),2.77)</f>
        <v>2.77</v>
      </c>
      <c r="C1452" s="1">
        <f ca="1">IFERROR(__xludf.DUMMYFUNCTION("""COMPUTED_VALUE"""),2.8)</f>
        <v>2.8</v>
      </c>
      <c r="D1452" s="1">
        <f ca="1">IFERROR(__xludf.DUMMYFUNCTION("""COMPUTED_VALUE"""),2.75)</f>
        <v>2.75</v>
      </c>
      <c r="E1452" s="1">
        <f ca="1">IFERROR(__xludf.DUMMYFUNCTION("""COMPUTED_VALUE"""),2.77)</f>
        <v>2.77</v>
      </c>
      <c r="F1452" s="1">
        <f ca="1">IFERROR(__xludf.DUMMYFUNCTION("""COMPUTED_VALUE"""),179800)</f>
        <v>179800</v>
      </c>
      <c r="I1452" s="1"/>
    </row>
    <row r="1453" spans="1:9">
      <c r="A1453" s="3">
        <f ca="1">IFERROR(__xludf.DUMMYFUNCTION("""COMPUTED_VALUE"""),31316.6666666666)</f>
        <v>31316.666666666599</v>
      </c>
      <c r="B1453" s="1">
        <f ca="1">IFERROR(__xludf.DUMMYFUNCTION("""COMPUTED_VALUE"""),2.77)</f>
        <v>2.77</v>
      </c>
      <c r="C1453" s="1">
        <f ca="1">IFERROR(__xludf.DUMMYFUNCTION("""COMPUTED_VALUE"""),2.79)</f>
        <v>2.79</v>
      </c>
      <c r="D1453" s="1">
        <f ca="1">IFERROR(__xludf.DUMMYFUNCTION("""COMPUTED_VALUE"""),2.74)</f>
        <v>2.74</v>
      </c>
      <c r="E1453" s="1">
        <f ca="1">IFERROR(__xludf.DUMMYFUNCTION("""COMPUTED_VALUE"""),2.77)</f>
        <v>2.77</v>
      </c>
      <c r="F1453" s="1">
        <f ca="1">IFERROR(__xludf.DUMMYFUNCTION("""COMPUTED_VALUE"""),324500)</f>
        <v>324500</v>
      </c>
      <c r="I1453" s="1"/>
    </row>
    <row r="1454" spans="1:9">
      <c r="A1454" s="3">
        <f ca="1">IFERROR(__xludf.DUMMYFUNCTION("""COMPUTED_VALUE"""),31320.6666666666)</f>
        <v>31320.666666666599</v>
      </c>
      <c r="B1454" s="1">
        <f ca="1">IFERROR(__xludf.DUMMYFUNCTION("""COMPUTED_VALUE"""),2.77)</f>
        <v>2.77</v>
      </c>
      <c r="C1454" s="1">
        <f ca="1">IFERROR(__xludf.DUMMYFUNCTION("""COMPUTED_VALUE"""),2.8)</f>
        <v>2.8</v>
      </c>
      <c r="D1454" s="1">
        <f ca="1">IFERROR(__xludf.DUMMYFUNCTION("""COMPUTED_VALUE"""),2.77)</f>
        <v>2.77</v>
      </c>
      <c r="E1454" s="1">
        <f ca="1">IFERROR(__xludf.DUMMYFUNCTION("""COMPUTED_VALUE"""),2.77)</f>
        <v>2.77</v>
      </c>
      <c r="F1454" s="1">
        <f ca="1">IFERROR(__xludf.DUMMYFUNCTION("""COMPUTED_VALUE"""),233900)</f>
        <v>233900</v>
      </c>
      <c r="I1454" s="1"/>
    </row>
    <row r="1455" spans="1:9">
      <c r="A1455" s="3">
        <f ca="1">IFERROR(__xludf.DUMMYFUNCTION("""COMPUTED_VALUE"""),31321.6666666666)</f>
        <v>31321.666666666599</v>
      </c>
      <c r="B1455" s="1">
        <f ca="1">IFERROR(__xludf.DUMMYFUNCTION("""COMPUTED_VALUE"""),2.8)</f>
        <v>2.8</v>
      </c>
      <c r="C1455" s="1">
        <f ca="1">IFERROR(__xludf.DUMMYFUNCTION("""COMPUTED_VALUE"""),2.81)</f>
        <v>2.81</v>
      </c>
      <c r="D1455" s="1">
        <f ca="1">IFERROR(__xludf.DUMMYFUNCTION("""COMPUTED_VALUE"""),2.74)</f>
        <v>2.74</v>
      </c>
      <c r="E1455" s="1">
        <f ca="1">IFERROR(__xludf.DUMMYFUNCTION("""COMPUTED_VALUE"""),2.8)</f>
        <v>2.8</v>
      </c>
      <c r="F1455" s="1">
        <f ca="1">IFERROR(__xludf.DUMMYFUNCTION("""COMPUTED_VALUE"""),341700)</f>
        <v>341700</v>
      </c>
      <c r="I1455" s="1"/>
    </row>
    <row r="1456" spans="1:9">
      <c r="A1456" s="3">
        <f ca="1">IFERROR(__xludf.DUMMYFUNCTION("""COMPUTED_VALUE"""),31322.6666666666)</f>
        <v>31322.666666666599</v>
      </c>
      <c r="B1456" s="1">
        <f ca="1">IFERROR(__xludf.DUMMYFUNCTION("""COMPUTED_VALUE"""),2.71)</f>
        <v>2.71</v>
      </c>
      <c r="C1456" s="1">
        <f ca="1">IFERROR(__xludf.DUMMYFUNCTION("""COMPUTED_VALUE"""),2.84)</f>
        <v>2.84</v>
      </c>
      <c r="D1456" s="1">
        <f ca="1">IFERROR(__xludf.DUMMYFUNCTION("""COMPUTED_VALUE"""),2.7)</f>
        <v>2.7</v>
      </c>
      <c r="E1456" s="1">
        <f ca="1">IFERROR(__xludf.DUMMYFUNCTION("""COMPUTED_VALUE"""),2.71)</f>
        <v>2.71</v>
      </c>
      <c r="F1456" s="1">
        <f ca="1">IFERROR(__xludf.DUMMYFUNCTION("""COMPUTED_VALUE"""),597800)</f>
        <v>597800</v>
      </c>
      <c r="I1456" s="1"/>
    </row>
    <row r="1457" spans="1:9">
      <c r="A1457" s="3">
        <f ca="1">IFERROR(__xludf.DUMMYFUNCTION("""COMPUTED_VALUE"""),31323.6666666666)</f>
        <v>31323.666666666599</v>
      </c>
      <c r="B1457" s="1">
        <f ca="1">IFERROR(__xludf.DUMMYFUNCTION("""COMPUTED_VALUE"""),2.78)</f>
        <v>2.78</v>
      </c>
      <c r="C1457" s="1">
        <f ca="1">IFERROR(__xludf.DUMMYFUNCTION("""COMPUTED_VALUE"""),2.78)</f>
        <v>2.78</v>
      </c>
      <c r="D1457" s="1">
        <f ca="1">IFERROR(__xludf.DUMMYFUNCTION("""COMPUTED_VALUE"""),2.71)</f>
        <v>2.71</v>
      </c>
      <c r="E1457" s="1">
        <f ca="1">IFERROR(__xludf.DUMMYFUNCTION("""COMPUTED_VALUE"""),2.78)</f>
        <v>2.78</v>
      </c>
      <c r="F1457" s="1">
        <f ca="1">IFERROR(__xludf.DUMMYFUNCTION("""COMPUTED_VALUE"""),381600)</f>
        <v>381600</v>
      </c>
      <c r="I1457" s="1"/>
    </row>
    <row r="1458" spans="1:9">
      <c r="A1458" s="3">
        <f ca="1">IFERROR(__xludf.DUMMYFUNCTION("""COMPUTED_VALUE"""),31324.6666666666)</f>
        <v>31324.666666666599</v>
      </c>
      <c r="B1458" s="1">
        <f ca="1">IFERROR(__xludf.DUMMYFUNCTION("""COMPUTED_VALUE"""),2.74)</f>
        <v>2.74</v>
      </c>
      <c r="C1458" s="1">
        <f ca="1">IFERROR(__xludf.DUMMYFUNCTION("""COMPUTED_VALUE"""),2.78)</f>
        <v>2.78</v>
      </c>
      <c r="D1458" s="1">
        <f ca="1">IFERROR(__xludf.DUMMYFUNCTION("""COMPUTED_VALUE"""),2.73)</f>
        <v>2.73</v>
      </c>
      <c r="E1458" s="1">
        <f ca="1">IFERROR(__xludf.DUMMYFUNCTION("""COMPUTED_VALUE"""),2.74)</f>
        <v>2.74</v>
      </c>
      <c r="F1458" s="1">
        <f ca="1">IFERROR(__xludf.DUMMYFUNCTION("""COMPUTED_VALUE"""),460100)</f>
        <v>460100</v>
      </c>
      <c r="I1458" s="1"/>
    </row>
    <row r="1459" spans="1:9">
      <c r="A1459" s="3">
        <f ca="1">IFERROR(__xludf.DUMMYFUNCTION("""COMPUTED_VALUE"""),31327.6666666666)</f>
        <v>31327.666666666599</v>
      </c>
      <c r="B1459" s="1">
        <f ca="1">IFERROR(__xludf.DUMMYFUNCTION("""COMPUTED_VALUE"""),2.71)</f>
        <v>2.71</v>
      </c>
      <c r="C1459" s="1">
        <f ca="1">IFERROR(__xludf.DUMMYFUNCTION("""COMPUTED_VALUE"""),2.74)</f>
        <v>2.74</v>
      </c>
      <c r="D1459" s="1">
        <f ca="1">IFERROR(__xludf.DUMMYFUNCTION("""COMPUTED_VALUE"""),2.7)</f>
        <v>2.7</v>
      </c>
      <c r="E1459" s="1">
        <f ca="1">IFERROR(__xludf.DUMMYFUNCTION("""COMPUTED_VALUE"""),2.71)</f>
        <v>2.71</v>
      </c>
      <c r="F1459" s="1">
        <f ca="1">IFERROR(__xludf.DUMMYFUNCTION("""COMPUTED_VALUE"""),390300)</f>
        <v>390300</v>
      </c>
      <c r="I1459" s="1"/>
    </row>
    <row r="1460" spans="1:9">
      <c r="A1460" s="3">
        <f ca="1">IFERROR(__xludf.DUMMYFUNCTION("""COMPUTED_VALUE"""),31328.6666666666)</f>
        <v>31328.666666666599</v>
      </c>
      <c r="B1460" s="1">
        <f ca="1">IFERROR(__xludf.DUMMYFUNCTION("""COMPUTED_VALUE"""),2.71)</f>
        <v>2.71</v>
      </c>
      <c r="C1460" s="1">
        <f ca="1">IFERROR(__xludf.DUMMYFUNCTION("""COMPUTED_VALUE"""),2.73)</f>
        <v>2.73</v>
      </c>
      <c r="D1460" s="1">
        <f ca="1">IFERROR(__xludf.DUMMYFUNCTION("""COMPUTED_VALUE"""),2.7)</f>
        <v>2.7</v>
      </c>
      <c r="E1460" s="1">
        <f ca="1">IFERROR(__xludf.DUMMYFUNCTION("""COMPUTED_VALUE"""),2.71)</f>
        <v>2.71</v>
      </c>
      <c r="F1460" s="1">
        <f ca="1">IFERROR(__xludf.DUMMYFUNCTION("""COMPUTED_VALUE"""),166200)</f>
        <v>166200</v>
      </c>
      <c r="I1460" s="1"/>
    </row>
    <row r="1461" spans="1:9">
      <c r="A1461" s="3">
        <f ca="1">IFERROR(__xludf.DUMMYFUNCTION("""COMPUTED_VALUE"""),31329.6666666666)</f>
        <v>31329.666666666599</v>
      </c>
      <c r="B1461" s="1">
        <f ca="1">IFERROR(__xludf.DUMMYFUNCTION("""COMPUTED_VALUE"""),2.72)</f>
        <v>2.72</v>
      </c>
      <c r="C1461" s="1">
        <f ca="1">IFERROR(__xludf.DUMMYFUNCTION("""COMPUTED_VALUE"""),2.76)</f>
        <v>2.76</v>
      </c>
      <c r="D1461" s="1">
        <f ca="1">IFERROR(__xludf.DUMMYFUNCTION("""COMPUTED_VALUE"""),2.71)</f>
        <v>2.71</v>
      </c>
      <c r="E1461" s="1">
        <f ca="1">IFERROR(__xludf.DUMMYFUNCTION("""COMPUTED_VALUE"""),2.72)</f>
        <v>2.72</v>
      </c>
      <c r="F1461" s="1">
        <f ca="1">IFERROR(__xludf.DUMMYFUNCTION("""COMPUTED_VALUE"""),333900)</f>
        <v>333900</v>
      </c>
      <c r="I1461" s="1"/>
    </row>
    <row r="1462" spans="1:9">
      <c r="A1462" s="3">
        <f ca="1">IFERROR(__xludf.DUMMYFUNCTION("""COMPUTED_VALUE"""),31330.6666666666)</f>
        <v>31330.666666666599</v>
      </c>
      <c r="B1462" s="1">
        <f ca="1">IFERROR(__xludf.DUMMYFUNCTION("""COMPUTED_VALUE"""),2.73)</f>
        <v>2.73</v>
      </c>
      <c r="C1462" s="1">
        <f ca="1">IFERROR(__xludf.DUMMYFUNCTION("""COMPUTED_VALUE"""),2.73)</f>
        <v>2.73</v>
      </c>
      <c r="D1462" s="1">
        <f ca="1">IFERROR(__xludf.DUMMYFUNCTION("""COMPUTED_VALUE"""),2.71)</f>
        <v>2.71</v>
      </c>
      <c r="E1462" s="1">
        <f ca="1">IFERROR(__xludf.DUMMYFUNCTION("""COMPUTED_VALUE"""),2.73)</f>
        <v>2.73</v>
      </c>
      <c r="F1462" s="1">
        <f ca="1">IFERROR(__xludf.DUMMYFUNCTION("""COMPUTED_VALUE"""),92000)</f>
        <v>92000</v>
      </c>
      <c r="I1462" s="1"/>
    </row>
    <row r="1463" spans="1:9">
      <c r="A1463" s="3">
        <f ca="1">IFERROR(__xludf.DUMMYFUNCTION("""COMPUTED_VALUE"""),31331.6666666666)</f>
        <v>31331.666666666599</v>
      </c>
      <c r="B1463" s="1">
        <f ca="1">IFERROR(__xludf.DUMMYFUNCTION("""COMPUTED_VALUE"""),2.78)</f>
        <v>2.78</v>
      </c>
      <c r="C1463" s="1">
        <f ca="1">IFERROR(__xludf.DUMMYFUNCTION("""COMPUTED_VALUE"""),2.79)</f>
        <v>2.79</v>
      </c>
      <c r="D1463" s="1">
        <f ca="1">IFERROR(__xludf.DUMMYFUNCTION("""COMPUTED_VALUE"""),2.73)</f>
        <v>2.73</v>
      </c>
      <c r="E1463" s="1">
        <f ca="1">IFERROR(__xludf.DUMMYFUNCTION("""COMPUTED_VALUE"""),2.78)</f>
        <v>2.78</v>
      </c>
      <c r="F1463" s="1">
        <f ca="1">IFERROR(__xludf.DUMMYFUNCTION("""COMPUTED_VALUE"""),245700)</f>
        <v>245700</v>
      </c>
      <c r="I1463" s="1"/>
    </row>
    <row r="1464" spans="1:9">
      <c r="A1464" s="3">
        <f ca="1">IFERROR(__xludf.DUMMYFUNCTION("""COMPUTED_VALUE"""),31334.6666666666)</f>
        <v>31334.666666666599</v>
      </c>
      <c r="B1464" s="1">
        <f ca="1">IFERROR(__xludf.DUMMYFUNCTION("""COMPUTED_VALUE"""),2.82)</f>
        <v>2.82</v>
      </c>
      <c r="C1464" s="1">
        <f ca="1">IFERROR(__xludf.DUMMYFUNCTION("""COMPUTED_VALUE"""),2.83)</f>
        <v>2.83</v>
      </c>
      <c r="D1464" s="1">
        <f ca="1">IFERROR(__xludf.DUMMYFUNCTION("""COMPUTED_VALUE"""),2.77)</f>
        <v>2.77</v>
      </c>
      <c r="E1464" s="1">
        <f ca="1">IFERROR(__xludf.DUMMYFUNCTION("""COMPUTED_VALUE"""),2.82)</f>
        <v>2.82</v>
      </c>
      <c r="F1464" s="1">
        <f ca="1">IFERROR(__xludf.DUMMYFUNCTION("""COMPUTED_VALUE"""),147200)</f>
        <v>147200</v>
      </c>
      <c r="I1464" s="1"/>
    </row>
    <row r="1465" spans="1:9">
      <c r="A1465" s="3">
        <f ca="1">IFERROR(__xludf.DUMMYFUNCTION("""COMPUTED_VALUE"""),31335.6666666666)</f>
        <v>31335.666666666599</v>
      </c>
      <c r="B1465" s="1">
        <f ca="1">IFERROR(__xludf.DUMMYFUNCTION("""COMPUTED_VALUE"""),2.81)</f>
        <v>2.81</v>
      </c>
      <c r="C1465" s="1">
        <f ca="1">IFERROR(__xludf.DUMMYFUNCTION("""COMPUTED_VALUE"""),2.85)</f>
        <v>2.85</v>
      </c>
      <c r="D1465" s="1">
        <f ca="1">IFERROR(__xludf.DUMMYFUNCTION("""COMPUTED_VALUE"""),2.8)</f>
        <v>2.8</v>
      </c>
      <c r="E1465" s="1">
        <f ca="1">IFERROR(__xludf.DUMMYFUNCTION("""COMPUTED_VALUE"""),2.81)</f>
        <v>2.81</v>
      </c>
      <c r="F1465" s="1">
        <f ca="1">IFERROR(__xludf.DUMMYFUNCTION("""COMPUTED_VALUE"""),336300)</f>
        <v>336300</v>
      </c>
      <c r="I1465" s="1"/>
    </row>
    <row r="1466" spans="1:9">
      <c r="A1466" s="3">
        <f ca="1">IFERROR(__xludf.DUMMYFUNCTION("""COMPUTED_VALUE"""),31336.6666666666)</f>
        <v>31336.666666666599</v>
      </c>
      <c r="B1466" s="1">
        <f ca="1">IFERROR(__xludf.DUMMYFUNCTION("""COMPUTED_VALUE"""),2.85)</f>
        <v>2.85</v>
      </c>
      <c r="C1466" s="1">
        <f ca="1">IFERROR(__xludf.DUMMYFUNCTION("""COMPUTED_VALUE"""),2.86)</f>
        <v>2.86</v>
      </c>
      <c r="D1466" s="1">
        <f ca="1">IFERROR(__xludf.DUMMYFUNCTION("""COMPUTED_VALUE"""),2.81)</f>
        <v>2.81</v>
      </c>
      <c r="E1466" s="1">
        <f ca="1">IFERROR(__xludf.DUMMYFUNCTION("""COMPUTED_VALUE"""),2.85)</f>
        <v>2.85</v>
      </c>
      <c r="F1466" s="1">
        <f ca="1">IFERROR(__xludf.DUMMYFUNCTION("""COMPUTED_VALUE"""),456800)</f>
        <v>456800</v>
      </c>
      <c r="I1466" s="1"/>
    </row>
    <row r="1467" spans="1:9">
      <c r="A1467" s="3">
        <f ca="1">IFERROR(__xludf.DUMMYFUNCTION("""COMPUTED_VALUE"""),31337.6666666666)</f>
        <v>31337.666666666599</v>
      </c>
      <c r="B1467" s="1">
        <f ca="1">IFERROR(__xludf.DUMMYFUNCTION("""COMPUTED_VALUE"""),2.91)</f>
        <v>2.91</v>
      </c>
      <c r="C1467" s="1">
        <f ca="1">IFERROR(__xludf.DUMMYFUNCTION("""COMPUTED_VALUE"""),2.93)</f>
        <v>2.93</v>
      </c>
      <c r="D1467" s="1">
        <f ca="1">IFERROR(__xludf.DUMMYFUNCTION("""COMPUTED_VALUE"""),2.85)</f>
        <v>2.85</v>
      </c>
      <c r="E1467" s="1">
        <f ca="1">IFERROR(__xludf.DUMMYFUNCTION("""COMPUTED_VALUE"""),2.91)</f>
        <v>2.91</v>
      </c>
      <c r="F1467" s="1">
        <f ca="1">IFERROR(__xludf.DUMMYFUNCTION("""COMPUTED_VALUE"""),645000)</f>
        <v>645000</v>
      </c>
      <c r="I1467" s="1"/>
    </row>
    <row r="1468" spans="1:9">
      <c r="A1468" s="3">
        <f ca="1">IFERROR(__xludf.DUMMYFUNCTION("""COMPUTED_VALUE"""),31338.6666666666)</f>
        <v>31338.666666666599</v>
      </c>
      <c r="B1468" s="1">
        <f ca="1">IFERROR(__xludf.DUMMYFUNCTION("""COMPUTED_VALUE"""),2.9)</f>
        <v>2.9</v>
      </c>
      <c r="C1468" s="1">
        <f ca="1">IFERROR(__xludf.DUMMYFUNCTION("""COMPUTED_VALUE"""),2.91)</f>
        <v>2.91</v>
      </c>
      <c r="D1468" s="1">
        <f ca="1">IFERROR(__xludf.DUMMYFUNCTION("""COMPUTED_VALUE"""),2.89)</f>
        <v>2.89</v>
      </c>
      <c r="E1468" s="1">
        <f ca="1">IFERROR(__xludf.DUMMYFUNCTION("""COMPUTED_VALUE"""),2.9)</f>
        <v>2.9</v>
      </c>
      <c r="F1468" s="1">
        <f ca="1">IFERROR(__xludf.DUMMYFUNCTION("""COMPUTED_VALUE"""),372200)</f>
        <v>372200</v>
      </c>
      <c r="I1468" s="1"/>
    </row>
    <row r="1469" spans="1:9">
      <c r="A1469" s="3">
        <f ca="1">IFERROR(__xludf.DUMMYFUNCTION("""COMPUTED_VALUE"""),31341.6666666666)</f>
        <v>31341.666666666599</v>
      </c>
      <c r="B1469" s="1">
        <f ca="1">IFERROR(__xludf.DUMMYFUNCTION("""COMPUTED_VALUE"""),2.88)</f>
        <v>2.88</v>
      </c>
      <c r="C1469" s="1">
        <f ca="1">IFERROR(__xludf.DUMMYFUNCTION("""COMPUTED_VALUE"""),2.91)</f>
        <v>2.91</v>
      </c>
      <c r="D1469" s="1">
        <f ca="1">IFERROR(__xludf.DUMMYFUNCTION("""COMPUTED_VALUE"""),2.88)</f>
        <v>2.88</v>
      </c>
      <c r="E1469" s="1">
        <f ca="1">IFERROR(__xludf.DUMMYFUNCTION("""COMPUTED_VALUE"""),2.88)</f>
        <v>2.88</v>
      </c>
      <c r="F1469" s="1">
        <f ca="1">IFERROR(__xludf.DUMMYFUNCTION("""COMPUTED_VALUE"""),128800)</f>
        <v>128800</v>
      </c>
      <c r="I1469" s="1"/>
    </row>
    <row r="1470" spans="1:9">
      <c r="A1470" s="3">
        <f ca="1">IFERROR(__xludf.DUMMYFUNCTION("""COMPUTED_VALUE"""),31342.6666666666)</f>
        <v>31342.666666666599</v>
      </c>
      <c r="B1470" s="1">
        <f ca="1">IFERROR(__xludf.DUMMYFUNCTION("""COMPUTED_VALUE"""),2.88)</f>
        <v>2.88</v>
      </c>
      <c r="C1470" s="1">
        <f ca="1">IFERROR(__xludf.DUMMYFUNCTION("""COMPUTED_VALUE"""),2.9)</f>
        <v>2.9</v>
      </c>
      <c r="D1470" s="1">
        <f ca="1">IFERROR(__xludf.DUMMYFUNCTION("""COMPUTED_VALUE"""),2.86)</f>
        <v>2.86</v>
      </c>
      <c r="E1470" s="1">
        <f ca="1">IFERROR(__xludf.DUMMYFUNCTION("""COMPUTED_VALUE"""),2.88)</f>
        <v>2.88</v>
      </c>
      <c r="F1470" s="1">
        <f ca="1">IFERROR(__xludf.DUMMYFUNCTION("""COMPUTED_VALUE"""),175200)</f>
        <v>175200</v>
      </c>
      <c r="I1470" s="1"/>
    </row>
    <row r="1471" spans="1:9">
      <c r="A1471" s="3">
        <f ca="1">IFERROR(__xludf.DUMMYFUNCTION("""COMPUTED_VALUE"""),31343.6666666666)</f>
        <v>31343.666666666599</v>
      </c>
      <c r="B1471" s="1">
        <f ca="1">IFERROR(__xludf.DUMMYFUNCTION("""COMPUTED_VALUE"""),2.87)</f>
        <v>2.87</v>
      </c>
      <c r="C1471" s="1">
        <f ca="1">IFERROR(__xludf.DUMMYFUNCTION("""COMPUTED_VALUE"""),2.88)</f>
        <v>2.88</v>
      </c>
      <c r="D1471" s="1">
        <f ca="1">IFERROR(__xludf.DUMMYFUNCTION("""COMPUTED_VALUE"""),2.85)</f>
        <v>2.85</v>
      </c>
      <c r="E1471" s="1">
        <f ca="1">IFERROR(__xludf.DUMMYFUNCTION("""COMPUTED_VALUE"""),2.87)</f>
        <v>2.87</v>
      </c>
      <c r="F1471" s="1">
        <f ca="1">IFERROR(__xludf.DUMMYFUNCTION("""COMPUTED_VALUE"""),234400)</f>
        <v>234400</v>
      </c>
      <c r="I1471" s="1"/>
    </row>
    <row r="1472" spans="1:9">
      <c r="A1472" s="3">
        <f ca="1">IFERROR(__xludf.DUMMYFUNCTION("""COMPUTED_VALUE"""),31344.6666666666)</f>
        <v>31344.666666666599</v>
      </c>
      <c r="B1472" s="1">
        <f ca="1">IFERROR(__xludf.DUMMYFUNCTION("""COMPUTED_VALUE"""),2.88)</f>
        <v>2.88</v>
      </c>
      <c r="C1472" s="1">
        <f ca="1">IFERROR(__xludf.DUMMYFUNCTION("""COMPUTED_VALUE"""),2.91)</f>
        <v>2.91</v>
      </c>
      <c r="D1472" s="1">
        <f ca="1">IFERROR(__xludf.DUMMYFUNCTION("""COMPUTED_VALUE"""),2.88)</f>
        <v>2.88</v>
      </c>
      <c r="E1472" s="1">
        <f ca="1">IFERROR(__xludf.DUMMYFUNCTION("""COMPUTED_VALUE"""),2.88)</f>
        <v>2.88</v>
      </c>
      <c r="F1472" s="1">
        <f ca="1">IFERROR(__xludf.DUMMYFUNCTION("""COMPUTED_VALUE"""),627000)</f>
        <v>627000</v>
      </c>
      <c r="I1472" s="1"/>
    </row>
    <row r="1473" spans="1:9">
      <c r="A1473" s="3">
        <f ca="1">IFERROR(__xludf.DUMMYFUNCTION("""COMPUTED_VALUE"""),31345.6666666666)</f>
        <v>31345.666666666599</v>
      </c>
      <c r="B1473" s="1">
        <f ca="1">IFERROR(__xludf.DUMMYFUNCTION("""COMPUTED_VALUE"""),2.91)</f>
        <v>2.91</v>
      </c>
      <c r="C1473" s="1">
        <f ca="1">IFERROR(__xludf.DUMMYFUNCTION("""COMPUTED_VALUE"""),2.92)</f>
        <v>2.92</v>
      </c>
      <c r="D1473" s="1">
        <f ca="1">IFERROR(__xludf.DUMMYFUNCTION("""COMPUTED_VALUE"""),2.88)</f>
        <v>2.88</v>
      </c>
      <c r="E1473" s="1">
        <f ca="1">IFERROR(__xludf.DUMMYFUNCTION("""COMPUTED_VALUE"""),2.91)</f>
        <v>2.91</v>
      </c>
      <c r="F1473" s="1">
        <f ca="1">IFERROR(__xludf.DUMMYFUNCTION("""COMPUTED_VALUE"""),267800)</f>
        <v>267800</v>
      </c>
      <c r="I1473" s="1"/>
    </row>
    <row r="1474" spans="1:9">
      <c r="A1474" s="3">
        <f ca="1">IFERROR(__xludf.DUMMYFUNCTION("""COMPUTED_VALUE"""),31348.6666666666)</f>
        <v>31348.666666666599</v>
      </c>
      <c r="B1474" s="1">
        <f ca="1">IFERROR(__xludf.DUMMYFUNCTION("""COMPUTED_VALUE"""),2.91)</f>
        <v>2.91</v>
      </c>
      <c r="C1474" s="1">
        <f ca="1">IFERROR(__xludf.DUMMYFUNCTION("""COMPUTED_VALUE"""),2.92)</f>
        <v>2.92</v>
      </c>
      <c r="D1474" s="1">
        <f ca="1">IFERROR(__xludf.DUMMYFUNCTION("""COMPUTED_VALUE"""),2.9)</f>
        <v>2.9</v>
      </c>
      <c r="E1474" s="1">
        <f ca="1">IFERROR(__xludf.DUMMYFUNCTION("""COMPUTED_VALUE"""),2.91)</f>
        <v>2.91</v>
      </c>
      <c r="F1474" s="1">
        <f ca="1">IFERROR(__xludf.DUMMYFUNCTION("""COMPUTED_VALUE"""),181400)</f>
        <v>181400</v>
      </c>
      <c r="I1474" s="1"/>
    </row>
    <row r="1475" spans="1:9">
      <c r="A1475" s="3">
        <f ca="1">IFERROR(__xludf.DUMMYFUNCTION("""COMPUTED_VALUE"""),31349.6666666666)</f>
        <v>31349.666666666599</v>
      </c>
      <c r="B1475" s="1">
        <f ca="1">IFERROR(__xludf.DUMMYFUNCTION("""COMPUTED_VALUE"""),2.91)</f>
        <v>2.91</v>
      </c>
      <c r="C1475" s="1">
        <f ca="1">IFERROR(__xludf.DUMMYFUNCTION("""COMPUTED_VALUE"""),2.95)</f>
        <v>2.95</v>
      </c>
      <c r="D1475" s="1">
        <f ca="1">IFERROR(__xludf.DUMMYFUNCTION("""COMPUTED_VALUE"""),2.91)</f>
        <v>2.91</v>
      </c>
      <c r="E1475" s="1">
        <f ca="1">IFERROR(__xludf.DUMMYFUNCTION("""COMPUTED_VALUE"""),2.91)</f>
        <v>2.91</v>
      </c>
      <c r="F1475" s="1">
        <f ca="1">IFERROR(__xludf.DUMMYFUNCTION("""COMPUTED_VALUE"""),438700)</f>
        <v>438700</v>
      </c>
      <c r="I1475" s="1"/>
    </row>
    <row r="1476" spans="1:9">
      <c r="A1476" s="3">
        <f ca="1">IFERROR(__xludf.DUMMYFUNCTION("""COMPUTED_VALUE"""),31350.6666666666)</f>
        <v>31350.666666666599</v>
      </c>
      <c r="B1476" s="1">
        <f ca="1">IFERROR(__xludf.DUMMYFUNCTION("""COMPUTED_VALUE"""),2.98)</f>
        <v>2.98</v>
      </c>
      <c r="C1476" s="1">
        <f ca="1">IFERROR(__xludf.DUMMYFUNCTION("""COMPUTED_VALUE"""),2.98)</f>
        <v>2.98</v>
      </c>
      <c r="D1476" s="1">
        <f ca="1">IFERROR(__xludf.DUMMYFUNCTION("""COMPUTED_VALUE"""),2.91)</f>
        <v>2.91</v>
      </c>
      <c r="E1476" s="1">
        <f ca="1">IFERROR(__xludf.DUMMYFUNCTION("""COMPUTED_VALUE"""),2.98)</f>
        <v>2.98</v>
      </c>
      <c r="F1476" s="1">
        <f ca="1">IFERROR(__xludf.DUMMYFUNCTION("""COMPUTED_VALUE"""),638200)</f>
        <v>638200</v>
      </c>
      <c r="I1476" s="1"/>
    </row>
    <row r="1477" spans="1:9">
      <c r="A1477" s="3">
        <f ca="1">IFERROR(__xludf.DUMMYFUNCTION("""COMPUTED_VALUE"""),31351.6666666666)</f>
        <v>31351.666666666599</v>
      </c>
      <c r="B1477" s="1">
        <f ca="1">IFERROR(__xludf.DUMMYFUNCTION("""COMPUTED_VALUE"""),2.94)</f>
        <v>2.94</v>
      </c>
      <c r="C1477" s="1">
        <f ca="1">IFERROR(__xludf.DUMMYFUNCTION("""COMPUTED_VALUE"""),2.98)</f>
        <v>2.98</v>
      </c>
      <c r="D1477" s="1">
        <f ca="1">IFERROR(__xludf.DUMMYFUNCTION("""COMPUTED_VALUE"""),2.92)</f>
        <v>2.92</v>
      </c>
      <c r="E1477" s="1">
        <f ca="1">IFERROR(__xludf.DUMMYFUNCTION("""COMPUTED_VALUE"""),2.94)</f>
        <v>2.94</v>
      </c>
      <c r="F1477" s="1">
        <f ca="1">IFERROR(__xludf.DUMMYFUNCTION("""COMPUTED_VALUE"""),399800)</f>
        <v>399800</v>
      </c>
      <c r="I1477" s="1"/>
    </row>
    <row r="1478" spans="1:9">
      <c r="A1478" s="3">
        <f ca="1">IFERROR(__xludf.DUMMYFUNCTION("""COMPUTED_VALUE"""),31352.6666666666)</f>
        <v>31352.666666666599</v>
      </c>
      <c r="B1478" s="1">
        <f ca="1">IFERROR(__xludf.DUMMYFUNCTION("""COMPUTED_VALUE"""),2.98)</f>
        <v>2.98</v>
      </c>
      <c r="C1478" s="1">
        <f ca="1">IFERROR(__xludf.DUMMYFUNCTION("""COMPUTED_VALUE"""),2.98)</f>
        <v>2.98</v>
      </c>
      <c r="D1478" s="1">
        <f ca="1">IFERROR(__xludf.DUMMYFUNCTION("""COMPUTED_VALUE"""),2.93)</f>
        <v>2.93</v>
      </c>
      <c r="E1478" s="1">
        <f ca="1">IFERROR(__xludf.DUMMYFUNCTION("""COMPUTED_VALUE"""),2.98)</f>
        <v>2.98</v>
      </c>
      <c r="F1478" s="1">
        <f ca="1">IFERROR(__xludf.DUMMYFUNCTION("""COMPUTED_VALUE"""),474600)</f>
        <v>474600</v>
      </c>
      <c r="I1478" s="1"/>
    </row>
    <row r="1479" spans="1:9">
      <c r="A1479" s="3">
        <f ca="1">IFERROR(__xludf.DUMMYFUNCTION("""COMPUTED_VALUE"""),31355.6666666666)</f>
        <v>31355.666666666599</v>
      </c>
      <c r="B1479" s="1">
        <f ca="1">IFERROR(__xludf.DUMMYFUNCTION("""COMPUTED_VALUE"""),2.96)</f>
        <v>2.96</v>
      </c>
      <c r="C1479" s="1">
        <f ca="1">IFERROR(__xludf.DUMMYFUNCTION("""COMPUTED_VALUE"""),3)</f>
        <v>3</v>
      </c>
      <c r="D1479" s="1">
        <f ca="1">IFERROR(__xludf.DUMMYFUNCTION("""COMPUTED_VALUE"""),2.96)</f>
        <v>2.96</v>
      </c>
      <c r="E1479" s="1">
        <f ca="1">IFERROR(__xludf.DUMMYFUNCTION("""COMPUTED_VALUE"""),2.96)</f>
        <v>2.96</v>
      </c>
      <c r="F1479" s="1">
        <f ca="1">IFERROR(__xludf.DUMMYFUNCTION("""COMPUTED_VALUE"""),425100)</f>
        <v>425100</v>
      </c>
      <c r="I1479" s="1"/>
    </row>
    <row r="1480" spans="1:9">
      <c r="A1480" s="3">
        <f ca="1">IFERROR(__xludf.DUMMYFUNCTION("""COMPUTED_VALUE"""),31356.6666666666)</f>
        <v>31356.666666666599</v>
      </c>
      <c r="B1480" s="1">
        <f ca="1">IFERROR(__xludf.DUMMYFUNCTION("""COMPUTED_VALUE"""),2.97)</f>
        <v>2.97</v>
      </c>
      <c r="C1480" s="1">
        <f ca="1">IFERROR(__xludf.DUMMYFUNCTION("""COMPUTED_VALUE"""),2.98)</f>
        <v>2.98</v>
      </c>
      <c r="D1480" s="1">
        <f ca="1">IFERROR(__xludf.DUMMYFUNCTION("""COMPUTED_VALUE"""),2.96)</f>
        <v>2.96</v>
      </c>
      <c r="E1480" s="1">
        <f ca="1">IFERROR(__xludf.DUMMYFUNCTION("""COMPUTED_VALUE"""),2.97)</f>
        <v>2.97</v>
      </c>
      <c r="F1480" s="1">
        <f ca="1">IFERROR(__xludf.DUMMYFUNCTION("""COMPUTED_VALUE"""),907000)</f>
        <v>907000</v>
      </c>
      <c r="I1480" s="1"/>
    </row>
    <row r="1481" spans="1:9">
      <c r="A1481" s="3">
        <f ca="1">IFERROR(__xludf.DUMMYFUNCTION("""COMPUTED_VALUE"""),31357.6666666666)</f>
        <v>31357.666666666599</v>
      </c>
      <c r="B1481" s="1">
        <f ca="1">IFERROR(__xludf.DUMMYFUNCTION("""COMPUTED_VALUE"""),3.02)</f>
        <v>3.02</v>
      </c>
      <c r="C1481" s="1">
        <f ca="1">IFERROR(__xludf.DUMMYFUNCTION("""COMPUTED_VALUE"""),3.02)</f>
        <v>3.02</v>
      </c>
      <c r="D1481" s="1">
        <f ca="1">IFERROR(__xludf.DUMMYFUNCTION("""COMPUTED_VALUE"""),2.98)</f>
        <v>2.98</v>
      </c>
      <c r="E1481" s="1">
        <f ca="1">IFERROR(__xludf.DUMMYFUNCTION("""COMPUTED_VALUE"""),3.02)</f>
        <v>3.02</v>
      </c>
      <c r="F1481" s="1">
        <f ca="1">IFERROR(__xludf.DUMMYFUNCTION("""COMPUTED_VALUE"""),1011500)</f>
        <v>1011500</v>
      </c>
      <c r="I1481" s="1"/>
    </row>
    <row r="1482" spans="1:9">
      <c r="A1482" s="3">
        <f ca="1">IFERROR(__xludf.DUMMYFUNCTION("""COMPUTED_VALUE"""),31358.6666666666)</f>
        <v>31358.666666666599</v>
      </c>
      <c r="B1482" s="1">
        <f ca="1">IFERROR(__xludf.DUMMYFUNCTION("""COMPUTED_VALUE"""),3.01)</f>
        <v>3.01</v>
      </c>
      <c r="C1482" s="1">
        <f ca="1">IFERROR(__xludf.DUMMYFUNCTION("""COMPUTED_VALUE"""),3.02)</f>
        <v>3.02</v>
      </c>
      <c r="D1482" s="1">
        <f ca="1">IFERROR(__xludf.DUMMYFUNCTION("""COMPUTED_VALUE"""),2.98)</f>
        <v>2.98</v>
      </c>
      <c r="E1482" s="1">
        <f ca="1">IFERROR(__xludf.DUMMYFUNCTION("""COMPUTED_VALUE"""),3.01)</f>
        <v>3.01</v>
      </c>
      <c r="F1482" s="1">
        <f ca="1">IFERROR(__xludf.DUMMYFUNCTION("""COMPUTED_VALUE"""),531300)</f>
        <v>531300</v>
      </c>
      <c r="I1482" s="1"/>
    </row>
    <row r="1483" spans="1:9">
      <c r="A1483" s="3">
        <f ca="1">IFERROR(__xludf.DUMMYFUNCTION("""COMPUTED_VALUE"""),31359.6666666666)</f>
        <v>31359.666666666599</v>
      </c>
      <c r="B1483" s="1">
        <f ca="1">IFERROR(__xludf.DUMMYFUNCTION("""COMPUTED_VALUE"""),3.02)</f>
        <v>3.02</v>
      </c>
      <c r="C1483" s="1">
        <f ca="1">IFERROR(__xludf.DUMMYFUNCTION("""COMPUTED_VALUE"""),3.04)</f>
        <v>3.04</v>
      </c>
      <c r="D1483" s="1">
        <f ca="1">IFERROR(__xludf.DUMMYFUNCTION("""COMPUTED_VALUE"""),2.99)</f>
        <v>2.99</v>
      </c>
      <c r="E1483" s="1">
        <f ca="1">IFERROR(__xludf.DUMMYFUNCTION("""COMPUTED_VALUE"""),3.02)</f>
        <v>3.02</v>
      </c>
      <c r="F1483" s="1">
        <f ca="1">IFERROR(__xludf.DUMMYFUNCTION("""COMPUTED_VALUE"""),321600)</f>
        <v>321600</v>
      </c>
      <c r="I1483" s="1"/>
    </row>
    <row r="1484" spans="1:9">
      <c r="A1484" s="3">
        <f ca="1">IFERROR(__xludf.DUMMYFUNCTION("""COMPUTED_VALUE"""),31362.6666666666)</f>
        <v>31362.666666666599</v>
      </c>
      <c r="B1484" s="1">
        <f ca="1">IFERROR(__xludf.DUMMYFUNCTION("""COMPUTED_VALUE"""),3.06)</f>
        <v>3.06</v>
      </c>
      <c r="C1484" s="1">
        <f ca="1">IFERROR(__xludf.DUMMYFUNCTION("""COMPUTED_VALUE"""),3.06)</f>
        <v>3.06</v>
      </c>
      <c r="D1484" s="1">
        <f ca="1">IFERROR(__xludf.DUMMYFUNCTION("""COMPUTED_VALUE"""),3.02)</f>
        <v>3.02</v>
      </c>
      <c r="E1484" s="1">
        <f ca="1">IFERROR(__xludf.DUMMYFUNCTION("""COMPUTED_VALUE"""),3.06)</f>
        <v>3.06</v>
      </c>
      <c r="F1484" s="1">
        <f ca="1">IFERROR(__xludf.DUMMYFUNCTION("""COMPUTED_VALUE"""),515100)</f>
        <v>515100</v>
      </c>
      <c r="I1484" s="1"/>
    </row>
    <row r="1485" spans="1:9">
      <c r="A1485" s="3">
        <f ca="1">IFERROR(__xludf.DUMMYFUNCTION("""COMPUTED_VALUE"""),31363.6666666666)</f>
        <v>31363.666666666599</v>
      </c>
      <c r="B1485" s="1">
        <f ca="1">IFERROR(__xludf.DUMMYFUNCTION("""COMPUTED_VALUE"""),3.1)</f>
        <v>3.1</v>
      </c>
      <c r="C1485" s="1">
        <f ca="1">IFERROR(__xludf.DUMMYFUNCTION("""COMPUTED_VALUE"""),3.12)</f>
        <v>3.12</v>
      </c>
      <c r="D1485" s="1">
        <f ca="1">IFERROR(__xludf.DUMMYFUNCTION("""COMPUTED_VALUE"""),3.05)</f>
        <v>3.05</v>
      </c>
      <c r="E1485" s="1">
        <f ca="1">IFERROR(__xludf.DUMMYFUNCTION("""COMPUTED_VALUE"""),3.1)</f>
        <v>3.1</v>
      </c>
      <c r="F1485" s="1">
        <f ca="1">IFERROR(__xludf.DUMMYFUNCTION("""COMPUTED_VALUE"""),1186200)</f>
        <v>1186200</v>
      </c>
      <c r="I1485" s="1"/>
    </row>
    <row r="1486" spans="1:9">
      <c r="A1486" s="3">
        <f ca="1">IFERROR(__xludf.DUMMYFUNCTION("""COMPUTED_VALUE"""),31364.6666666666)</f>
        <v>31364.666666666599</v>
      </c>
      <c r="B1486" s="1">
        <f ca="1">IFERROR(__xludf.DUMMYFUNCTION("""COMPUTED_VALUE"""),3.1)</f>
        <v>3.1</v>
      </c>
      <c r="C1486" s="1">
        <f ca="1">IFERROR(__xludf.DUMMYFUNCTION("""COMPUTED_VALUE"""),3.11)</f>
        <v>3.11</v>
      </c>
      <c r="D1486" s="1">
        <f ca="1">IFERROR(__xludf.DUMMYFUNCTION("""COMPUTED_VALUE"""),3.05)</f>
        <v>3.05</v>
      </c>
      <c r="E1486" s="1">
        <f ca="1">IFERROR(__xludf.DUMMYFUNCTION("""COMPUTED_VALUE"""),3.1)</f>
        <v>3.1</v>
      </c>
      <c r="F1486" s="1">
        <f ca="1">IFERROR(__xludf.DUMMYFUNCTION("""COMPUTED_VALUE"""),812200)</f>
        <v>812200</v>
      </c>
      <c r="I1486" s="1"/>
    </row>
    <row r="1487" spans="1:9">
      <c r="A1487" s="3">
        <f ca="1">IFERROR(__xludf.DUMMYFUNCTION("""COMPUTED_VALUE"""),31365.6666666666)</f>
        <v>31365.666666666599</v>
      </c>
      <c r="B1487" s="1">
        <f ca="1">IFERROR(__xludf.DUMMYFUNCTION("""COMPUTED_VALUE"""),3.13)</f>
        <v>3.13</v>
      </c>
      <c r="C1487" s="1">
        <f ca="1">IFERROR(__xludf.DUMMYFUNCTION("""COMPUTED_VALUE"""),3.14)</f>
        <v>3.14</v>
      </c>
      <c r="D1487" s="1">
        <f ca="1">IFERROR(__xludf.DUMMYFUNCTION("""COMPUTED_VALUE"""),3.09)</f>
        <v>3.09</v>
      </c>
      <c r="E1487" s="1">
        <f ca="1">IFERROR(__xludf.DUMMYFUNCTION("""COMPUTED_VALUE"""),3.13)</f>
        <v>3.13</v>
      </c>
      <c r="F1487" s="1">
        <f ca="1">IFERROR(__xludf.DUMMYFUNCTION("""COMPUTED_VALUE"""),766200)</f>
        <v>766200</v>
      </c>
      <c r="I1487" s="1"/>
    </row>
    <row r="1488" spans="1:9">
      <c r="A1488" s="3">
        <f ca="1">IFERROR(__xludf.DUMMYFUNCTION("""COMPUTED_VALUE"""),31366.6666666666)</f>
        <v>31366.666666666599</v>
      </c>
      <c r="B1488" s="1">
        <f ca="1">IFERROR(__xludf.DUMMYFUNCTION("""COMPUTED_VALUE"""),3.11)</f>
        <v>3.11</v>
      </c>
      <c r="C1488" s="1">
        <f ca="1">IFERROR(__xludf.DUMMYFUNCTION("""COMPUTED_VALUE"""),3.13)</f>
        <v>3.13</v>
      </c>
      <c r="D1488" s="1">
        <f ca="1">IFERROR(__xludf.DUMMYFUNCTION("""COMPUTED_VALUE"""),3.09)</f>
        <v>3.09</v>
      </c>
      <c r="E1488" s="1">
        <f ca="1">IFERROR(__xludf.DUMMYFUNCTION("""COMPUTED_VALUE"""),3.11)</f>
        <v>3.11</v>
      </c>
      <c r="F1488" s="1">
        <f ca="1">IFERROR(__xludf.DUMMYFUNCTION("""COMPUTED_VALUE"""),779300)</f>
        <v>779300</v>
      </c>
      <c r="I1488" s="1"/>
    </row>
    <row r="1489" spans="1:9">
      <c r="A1489" s="3">
        <f ca="1">IFERROR(__xludf.DUMMYFUNCTION("""COMPUTED_VALUE"""),31369.6666666666)</f>
        <v>31369.666666666599</v>
      </c>
      <c r="B1489" s="1">
        <f ca="1">IFERROR(__xludf.DUMMYFUNCTION("""COMPUTED_VALUE"""),3.13)</f>
        <v>3.13</v>
      </c>
      <c r="C1489" s="1">
        <f ca="1">IFERROR(__xludf.DUMMYFUNCTION("""COMPUTED_VALUE"""),3.14)</f>
        <v>3.14</v>
      </c>
      <c r="D1489" s="1">
        <f ca="1">IFERROR(__xludf.DUMMYFUNCTION("""COMPUTED_VALUE"""),3.09)</f>
        <v>3.09</v>
      </c>
      <c r="E1489" s="1">
        <f ca="1">IFERROR(__xludf.DUMMYFUNCTION("""COMPUTED_VALUE"""),3.13)</f>
        <v>3.13</v>
      </c>
      <c r="F1489" s="1">
        <f ca="1">IFERROR(__xludf.DUMMYFUNCTION("""COMPUTED_VALUE"""),696000)</f>
        <v>696000</v>
      </c>
      <c r="I1489" s="1"/>
    </row>
    <row r="1490" spans="1:9">
      <c r="A1490" s="3">
        <f ca="1">IFERROR(__xludf.DUMMYFUNCTION("""COMPUTED_VALUE"""),31370.6666666666)</f>
        <v>31370.666666666599</v>
      </c>
      <c r="B1490" s="1">
        <f ca="1">IFERROR(__xludf.DUMMYFUNCTION("""COMPUTED_VALUE"""),3.12)</f>
        <v>3.12</v>
      </c>
      <c r="C1490" s="1">
        <f ca="1">IFERROR(__xludf.DUMMYFUNCTION("""COMPUTED_VALUE"""),3.15)</f>
        <v>3.15</v>
      </c>
      <c r="D1490" s="1">
        <f ca="1">IFERROR(__xludf.DUMMYFUNCTION("""COMPUTED_VALUE"""),3.1)</f>
        <v>3.1</v>
      </c>
      <c r="E1490" s="1">
        <f ca="1">IFERROR(__xludf.DUMMYFUNCTION("""COMPUTED_VALUE"""),3.12)</f>
        <v>3.12</v>
      </c>
      <c r="F1490" s="1">
        <f ca="1">IFERROR(__xludf.DUMMYFUNCTION("""COMPUTED_VALUE"""),267900)</f>
        <v>267900</v>
      </c>
      <c r="I1490" s="1"/>
    </row>
    <row r="1491" spans="1:9">
      <c r="A1491" s="3">
        <f ca="1">IFERROR(__xludf.DUMMYFUNCTION("""COMPUTED_VALUE"""),31371.6666666666)</f>
        <v>31371.666666666599</v>
      </c>
      <c r="B1491" s="1">
        <f ca="1">IFERROR(__xludf.DUMMYFUNCTION("""COMPUTED_VALUE"""),3.13)</f>
        <v>3.13</v>
      </c>
      <c r="C1491" s="1">
        <f ca="1">IFERROR(__xludf.DUMMYFUNCTION("""COMPUTED_VALUE"""),3.13)</f>
        <v>3.13</v>
      </c>
      <c r="D1491" s="1">
        <f ca="1">IFERROR(__xludf.DUMMYFUNCTION("""COMPUTED_VALUE"""),3.09)</f>
        <v>3.09</v>
      </c>
      <c r="E1491" s="1">
        <f ca="1">IFERROR(__xludf.DUMMYFUNCTION("""COMPUTED_VALUE"""),3.13)</f>
        <v>3.13</v>
      </c>
      <c r="F1491" s="1">
        <f ca="1">IFERROR(__xludf.DUMMYFUNCTION("""COMPUTED_VALUE"""),419000)</f>
        <v>419000</v>
      </c>
      <c r="I1491" s="1"/>
    </row>
    <row r="1492" spans="1:9">
      <c r="A1492" s="3">
        <f ca="1">IFERROR(__xludf.DUMMYFUNCTION("""COMPUTED_VALUE"""),31372.6666666666)</f>
        <v>31372.666666666599</v>
      </c>
      <c r="B1492" s="1">
        <f ca="1">IFERROR(__xludf.DUMMYFUNCTION("""COMPUTED_VALUE"""),3.06)</f>
        <v>3.06</v>
      </c>
      <c r="C1492" s="1">
        <f ca="1">IFERROR(__xludf.DUMMYFUNCTION("""COMPUTED_VALUE"""),3.16)</f>
        <v>3.16</v>
      </c>
      <c r="D1492" s="1">
        <f ca="1">IFERROR(__xludf.DUMMYFUNCTION("""COMPUTED_VALUE"""),3.06)</f>
        <v>3.06</v>
      </c>
      <c r="E1492" s="1">
        <f ca="1">IFERROR(__xludf.DUMMYFUNCTION("""COMPUTED_VALUE"""),3.06)</f>
        <v>3.06</v>
      </c>
      <c r="F1492" s="1">
        <f ca="1">IFERROR(__xludf.DUMMYFUNCTION("""COMPUTED_VALUE"""),885200)</f>
        <v>885200</v>
      </c>
      <c r="I1492" s="1"/>
    </row>
    <row r="1493" spans="1:9">
      <c r="A1493" s="3">
        <f ca="1">IFERROR(__xludf.DUMMYFUNCTION("""COMPUTED_VALUE"""),31373.6666666666)</f>
        <v>31373.666666666599</v>
      </c>
      <c r="B1493" s="1">
        <f ca="1">IFERROR(__xludf.DUMMYFUNCTION("""COMPUTED_VALUE"""),2.98)</f>
        <v>2.98</v>
      </c>
      <c r="C1493" s="1">
        <f ca="1">IFERROR(__xludf.DUMMYFUNCTION("""COMPUTED_VALUE"""),3.06)</f>
        <v>3.06</v>
      </c>
      <c r="D1493" s="1">
        <f ca="1">IFERROR(__xludf.DUMMYFUNCTION("""COMPUTED_VALUE"""),2.98)</f>
        <v>2.98</v>
      </c>
      <c r="E1493" s="1">
        <f ca="1">IFERROR(__xludf.DUMMYFUNCTION("""COMPUTED_VALUE"""),2.98)</f>
        <v>2.98</v>
      </c>
      <c r="F1493" s="1">
        <f ca="1">IFERROR(__xludf.DUMMYFUNCTION("""COMPUTED_VALUE"""),1928600)</f>
        <v>1928600</v>
      </c>
      <c r="I1493" s="1"/>
    </row>
    <row r="1494" spans="1:9">
      <c r="A1494" s="3">
        <f ca="1">IFERROR(__xludf.DUMMYFUNCTION("""COMPUTED_VALUE"""),31376.6666666666)</f>
        <v>31376.666666666599</v>
      </c>
      <c r="B1494" s="1">
        <f ca="1">IFERROR(__xludf.DUMMYFUNCTION("""COMPUTED_VALUE"""),2.94)</f>
        <v>2.94</v>
      </c>
      <c r="C1494" s="1">
        <f ca="1">IFERROR(__xludf.DUMMYFUNCTION("""COMPUTED_VALUE"""),2.98)</f>
        <v>2.98</v>
      </c>
      <c r="D1494" s="1">
        <f ca="1">IFERROR(__xludf.DUMMYFUNCTION("""COMPUTED_VALUE"""),2.91)</f>
        <v>2.91</v>
      </c>
      <c r="E1494" s="1">
        <f ca="1">IFERROR(__xludf.DUMMYFUNCTION("""COMPUTED_VALUE"""),2.94)</f>
        <v>2.94</v>
      </c>
      <c r="F1494" s="1">
        <f ca="1">IFERROR(__xludf.DUMMYFUNCTION("""COMPUTED_VALUE"""),719000)</f>
        <v>719000</v>
      </c>
      <c r="I1494" s="1"/>
    </row>
    <row r="1495" spans="1:9">
      <c r="A1495" s="3">
        <f ca="1">IFERROR(__xludf.DUMMYFUNCTION("""COMPUTED_VALUE"""),31377.6666666666)</f>
        <v>31377.666666666599</v>
      </c>
      <c r="B1495" s="1">
        <f ca="1">IFERROR(__xludf.DUMMYFUNCTION("""COMPUTED_VALUE"""),3.02)</f>
        <v>3.02</v>
      </c>
      <c r="C1495" s="1">
        <f ca="1">IFERROR(__xludf.DUMMYFUNCTION("""COMPUTED_VALUE"""),3.02)</f>
        <v>3.02</v>
      </c>
      <c r="D1495" s="1">
        <f ca="1">IFERROR(__xludf.DUMMYFUNCTION("""COMPUTED_VALUE"""),2.95)</f>
        <v>2.95</v>
      </c>
      <c r="E1495" s="1">
        <f ca="1">IFERROR(__xludf.DUMMYFUNCTION("""COMPUTED_VALUE"""),3.02)</f>
        <v>3.02</v>
      </c>
      <c r="F1495" s="1">
        <f ca="1">IFERROR(__xludf.DUMMYFUNCTION("""COMPUTED_VALUE"""),558100)</f>
        <v>558100</v>
      </c>
      <c r="I1495" s="1"/>
    </row>
    <row r="1496" spans="1:9">
      <c r="A1496" s="3">
        <f ca="1">IFERROR(__xludf.DUMMYFUNCTION("""COMPUTED_VALUE"""),31378.6666666666)</f>
        <v>31378.666666666599</v>
      </c>
      <c r="B1496" s="1">
        <f ca="1">IFERROR(__xludf.DUMMYFUNCTION("""COMPUTED_VALUE"""),3.1)</f>
        <v>3.1</v>
      </c>
      <c r="C1496" s="1">
        <f ca="1">IFERROR(__xludf.DUMMYFUNCTION("""COMPUTED_VALUE"""),3.13)</f>
        <v>3.13</v>
      </c>
      <c r="D1496" s="1">
        <f ca="1">IFERROR(__xludf.DUMMYFUNCTION("""COMPUTED_VALUE"""),3)</f>
        <v>3</v>
      </c>
      <c r="E1496" s="1">
        <f ca="1">IFERROR(__xludf.DUMMYFUNCTION("""COMPUTED_VALUE"""),3.1)</f>
        <v>3.1</v>
      </c>
      <c r="F1496" s="1">
        <f ca="1">IFERROR(__xludf.DUMMYFUNCTION("""COMPUTED_VALUE"""),595100)</f>
        <v>595100</v>
      </c>
      <c r="I1496" s="1"/>
    </row>
    <row r="1497" spans="1:9">
      <c r="A1497" s="3">
        <f ca="1">IFERROR(__xludf.DUMMYFUNCTION("""COMPUTED_VALUE"""),31380.6666666666)</f>
        <v>31380.666666666599</v>
      </c>
      <c r="B1497" s="1">
        <f ca="1">IFERROR(__xludf.DUMMYFUNCTION("""COMPUTED_VALUE"""),3.12)</f>
        <v>3.12</v>
      </c>
      <c r="C1497" s="1">
        <f ca="1">IFERROR(__xludf.DUMMYFUNCTION("""COMPUTED_VALUE"""),3.13)</f>
        <v>3.13</v>
      </c>
      <c r="D1497" s="1">
        <f ca="1">IFERROR(__xludf.DUMMYFUNCTION("""COMPUTED_VALUE"""),3.05)</f>
        <v>3.05</v>
      </c>
      <c r="E1497" s="1">
        <f ca="1">IFERROR(__xludf.DUMMYFUNCTION("""COMPUTED_VALUE"""),3.12)</f>
        <v>3.12</v>
      </c>
      <c r="F1497" s="1">
        <f ca="1">IFERROR(__xludf.DUMMYFUNCTION("""COMPUTED_VALUE"""),230900)</f>
        <v>230900</v>
      </c>
      <c r="I1497" s="1"/>
    </row>
    <row r="1498" spans="1:9">
      <c r="A1498" s="3">
        <f ca="1">IFERROR(__xludf.DUMMYFUNCTION("""COMPUTED_VALUE"""),31383.6666666666)</f>
        <v>31383.666666666599</v>
      </c>
      <c r="B1498" s="1">
        <f ca="1">IFERROR(__xludf.DUMMYFUNCTION("""COMPUTED_VALUE"""),3.09)</f>
        <v>3.09</v>
      </c>
      <c r="C1498" s="1">
        <f ca="1">IFERROR(__xludf.DUMMYFUNCTION("""COMPUTED_VALUE"""),3.11)</f>
        <v>3.11</v>
      </c>
      <c r="D1498" s="1">
        <f ca="1">IFERROR(__xludf.DUMMYFUNCTION("""COMPUTED_VALUE"""),3.06)</f>
        <v>3.06</v>
      </c>
      <c r="E1498" s="1">
        <f ca="1">IFERROR(__xludf.DUMMYFUNCTION("""COMPUTED_VALUE"""),3.09)</f>
        <v>3.09</v>
      </c>
      <c r="F1498" s="1">
        <f ca="1">IFERROR(__xludf.DUMMYFUNCTION("""COMPUTED_VALUE"""),290200)</f>
        <v>290200</v>
      </c>
      <c r="I1498" s="1"/>
    </row>
    <row r="1499" spans="1:9">
      <c r="A1499" s="3">
        <f ca="1">IFERROR(__xludf.DUMMYFUNCTION("""COMPUTED_VALUE"""),31384.6666666666)</f>
        <v>31384.666666666599</v>
      </c>
      <c r="B1499" s="1">
        <f ca="1">IFERROR(__xludf.DUMMYFUNCTION("""COMPUTED_VALUE"""),3.08)</f>
        <v>3.08</v>
      </c>
      <c r="C1499" s="1">
        <f ca="1">IFERROR(__xludf.DUMMYFUNCTION("""COMPUTED_VALUE"""),3.09)</f>
        <v>3.09</v>
      </c>
      <c r="D1499" s="1">
        <f ca="1">IFERROR(__xludf.DUMMYFUNCTION("""COMPUTED_VALUE"""),3.06)</f>
        <v>3.06</v>
      </c>
      <c r="E1499" s="1">
        <f ca="1">IFERROR(__xludf.DUMMYFUNCTION("""COMPUTED_VALUE"""),3.08)</f>
        <v>3.08</v>
      </c>
      <c r="F1499" s="1">
        <f ca="1">IFERROR(__xludf.DUMMYFUNCTION("""COMPUTED_VALUE"""),173100)</f>
        <v>173100</v>
      </c>
      <c r="I1499" s="1"/>
    </row>
    <row r="1500" spans="1:9">
      <c r="A1500" s="3">
        <f ca="1">IFERROR(__xludf.DUMMYFUNCTION("""COMPUTED_VALUE"""),31385.6666666666)</f>
        <v>31385.666666666599</v>
      </c>
      <c r="B1500" s="1">
        <f ca="1">IFERROR(__xludf.DUMMYFUNCTION("""COMPUTED_VALUE"""),3.06)</f>
        <v>3.06</v>
      </c>
      <c r="C1500" s="1">
        <f ca="1">IFERROR(__xludf.DUMMYFUNCTION("""COMPUTED_VALUE"""),3.08)</f>
        <v>3.08</v>
      </c>
      <c r="D1500" s="1">
        <f ca="1">IFERROR(__xludf.DUMMYFUNCTION("""COMPUTED_VALUE"""),3.02)</f>
        <v>3.02</v>
      </c>
      <c r="E1500" s="1">
        <f ca="1">IFERROR(__xludf.DUMMYFUNCTION("""COMPUTED_VALUE"""),3.06)</f>
        <v>3.06</v>
      </c>
      <c r="F1500" s="1">
        <f ca="1">IFERROR(__xludf.DUMMYFUNCTION("""COMPUTED_VALUE"""),978100)</f>
        <v>978100</v>
      </c>
      <c r="I1500" s="1"/>
    </row>
    <row r="1501" spans="1:9">
      <c r="A1501" s="3">
        <f ca="1">IFERROR(__xludf.DUMMYFUNCTION("""COMPUTED_VALUE"""),31386.6666666666)</f>
        <v>31386.666666666599</v>
      </c>
      <c r="B1501" s="1">
        <f ca="1">IFERROR(__xludf.DUMMYFUNCTION("""COMPUTED_VALUE"""),3.13)</f>
        <v>3.13</v>
      </c>
      <c r="C1501" s="1">
        <f ca="1">IFERROR(__xludf.DUMMYFUNCTION("""COMPUTED_VALUE"""),3.15)</f>
        <v>3.15</v>
      </c>
      <c r="D1501" s="1">
        <f ca="1">IFERROR(__xludf.DUMMYFUNCTION("""COMPUTED_VALUE"""),3.06)</f>
        <v>3.06</v>
      </c>
      <c r="E1501" s="1">
        <f ca="1">IFERROR(__xludf.DUMMYFUNCTION("""COMPUTED_VALUE"""),3.13)</f>
        <v>3.13</v>
      </c>
      <c r="F1501" s="1">
        <f ca="1">IFERROR(__xludf.DUMMYFUNCTION("""COMPUTED_VALUE"""),1548600)</f>
        <v>1548600</v>
      </c>
      <c r="I1501" s="1"/>
    </row>
    <row r="1502" spans="1:9">
      <c r="A1502" s="3">
        <f ca="1">IFERROR(__xludf.DUMMYFUNCTION("""COMPUTED_VALUE"""),31387.6666666666)</f>
        <v>31387.666666666599</v>
      </c>
      <c r="B1502" s="1">
        <f ca="1">IFERROR(__xludf.DUMMYFUNCTION("""COMPUTED_VALUE"""),3.11)</f>
        <v>3.11</v>
      </c>
      <c r="C1502" s="1">
        <f ca="1">IFERROR(__xludf.DUMMYFUNCTION("""COMPUTED_VALUE"""),3.12)</f>
        <v>3.12</v>
      </c>
      <c r="D1502" s="1">
        <f ca="1">IFERROR(__xludf.DUMMYFUNCTION("""COMPUTED_VALUE"""),3.08)</f>
        <v>3.08</v>
      </c>
      <c r="E1502" s="1">
        <f ca="1">IFERROR(__xludf.DUMMYFUNCTION("""COMPUTED_VALUE"""),3.11)</f>
        <v>3.11</v>
      </c>
      <c r="F1502" s="1">
        <f ca="1">IFERROR(__xludf.DUMMYFUNCTION("""COMPUTED_VALUE"""),352300)</f>
        <v>352300</v>
      </c>
      <c r="I1502" s="1"/>
    </row>
    <row r="1503" spans="1:9">
      <c r="A1503" s="3">
        <f ca="1">IFERROR(__xludf.DUMMYFUNCTION("""COMPUTED_VALUE"""),31390.6666666666)</f>
        <v>31390.666666666599</v>
      </c>
      <c r="B1503" s="1">
        <f ca="1">IFERROR(__xludf.DUMMYFUNCTION("""COMPUTED_VALUE"""),3.16)</f>
        <v>3.16</v>
      </c>
      <c r="C1503" s="1">
        <f ca="1">IFERROR(__xludf.DUMMYFUNCTION("""COMPUTED_VALUE"""),3.16)</f>
        <v>3.16</v>
      </c>
      <c r="D1503" s="1">
        <f ca="1">IFERROR(__xludf.DUMMYFUNCTION("""COMPUTED_VALUE"""),3.12)</f>
        <v>3.12</v>
      </c>
      <c r="E1503" s="1">
        <f ca="1">IFERROR(__xludf.DUMMYFUNCTION("""COMPUTED_VALUE"""),3.16)</f>
        <v>3.16</v>
      </c>
      <c r="F1503" s="1">
        <f ca="1">IFERROR(__xludf.DUMMYFUNCTION("""COMPUTED_VALUE"""),501500)</f>
        <v>501500</v>
      </c>
      <c r="I1503" s="1"/>
    </row>
    <row r="1504" spans="1:9">
      <c r="A1504" s="3">
        <f ca="1">IFERROR(__xludf.DUMMYFUNCTION("""COMPUTED_VALUE"""),31391.6666666666)</f>
        <v>31391.666666666599</v>
      </c>
      <c r="B1504" s="1">
        <f ca="1">IFERROR(__xludf.DUMMYFUNCTION("""COMPUTED_VALUE"""),3.16)</f>
        <v>3.16</v>
      </c>
      <c r="C1504" s="1">
        <f ca="1">IFERROR(__xludf.DUMMYFUNCTION("""COMPUTED_VALUE"""),3.19)</f>
        <v>3.19</v>
      </c>
      <c r="D1504" s="1">
        <f ca="1">IFERROR(__xludf.DUMMYFUNCTION("""COMPUTED_VALUE"""),3.13)</f>
        <v>3.13</v>
      </c>
      <c r="E1504" s="1">
        <f ca="1">IFERROR(__xludf.DUMMYFUNCTION("""COMPUTED_VALUE"""),3.16)</f>
        <v>3.16</v>
      </c>
      <c r="F1504" s="1">
        <f ca="1">IFERROR(__xludf.DUMMYFUNCTION("""COMPUTED_VALUE"""),589400)</f>
        <v>589400</v>
      </c>
      <c r="I1504" s="1"/>
    </row>
    <row r="1505" spans="1:9">
      <c r="A1505" s="3">
        <f ca="1">IFERROR(__xludf.DUMMYFUNCTION("""COMPUTED_VALUE"""),31392.6666666666)</f>
        <v>31392.666666666599</v>
      </c>
      <c r="B1505" s="1">
        <f ca="1">IFERROR(__xludf.DUMMYFUNCTION("""COMPUTED_VALUE"""),3.18)</f>
        <v>3.18</v>
      </c>
      <c r="C1505" s="1">
        <f ca="1">IFERROR(__xludf.DUMMYFUNCTION("""COMPUTED_VALUE"""),3.2)</f>
        <v>3.2</v>
      </c>
      <c r="D1505" s="1">
        <f ca="1">IFERROR(__xludf.DUMMYFUNCTION("""COMPUTED_VALUE"""),3.15)</f>
        <v>3.15</v>
      </c>
      <c r="E1505" s="1">
        <f ca="1">IFERROR(__xludf.DUMMYFUNCTION("""COMPUTED_VALUE"""),3.18)</f>
        <v>3.18</v>
      </c>
      <c r="F1505" s="1">
        <f ca="1">IFERROR(__xludf.DUMMYFUNCTION("""COMPUTED_VALUE"""),566700)</f>
        <v>566700</v>
      </c>
      <c r="I1505" s="1"/>
    </row>
    <row r="1506" spans="1:9">
      <c r="A1506" s="3">
        <f ca="1">IFERROR(__xludf.DUMMYFUNCTION("""COMPUTED_VALUE"""),31393.6666666666)</f>
        <v>31393.666666666599</v>
      </c>
      <c r="B1506" s="1">
        <f ca="1">IFERROR(__xludf.DUMMYFUNCTION("""COMPUTED_VALUE"""),3.25)</f>
        <v>3.25</v>
      </c>
      <c r="C1506" s="1">
        <f ca="1">IFERROR(__xludf.DUMMYFUNCTION("""COMPUTED_VALUE"""),3.27)</f>
        <v>3.27</v>
      </c>
      <c r="D1506" s="1">
        <f ca="1">IFERROR(__xludf.DUMMYFUNCTION("""COMPUTED_VALUE"""),3.2)</f>
        <v>3.2</v>
      </c>
      <c r="E1506" s="1">
        <f ca="1">IFERROR(__xludf.DUMMYFUNCTION("""COMPUTED_VALUE"""),3.25)</f>
        <v>3.25</v>
      </c>
      <c r="F1506" s="1">
        <f ca="1">IFERROR(__xludf.DUMMYFUNCTION("""COMPUTED_VALUE"""),793900)</f>
        <v>793900</v>
      </c>
      <c r="I1506" s="1"/>
    </row>
    <row r="1507" spans="1:9">
      <c r="A1507" s="3">
        <f ca="1">IFERROR(__xludf.DUMMYFUNCTION("""COMPUTED_VALUE"""),31394.6666666666)</f>
        <v>31394.666666666599</v>
      </c>
      <c r="B1507" s="1">
        <f ca="1">IFERROR(__xludf.DUMMYFUNCTION("""COMPUTED_VALUE"""),3.34)</f>
        <v>3.34</v>
      </c>
      <c r="C1507" s="1">
        <f ca="1">IFERROR(__xludf.DUMMYFUNCTION("""COMPUTED_VALUE"""),3.38)</f>
        <v>3.38</v>
      </c>
      <c r="D1507" s="1">
        <f ca="1">IFERROR(__xludf.DUMMYFUNCTION("""COMPUTED_VALUE"""),3.26)</f>
        <v>3.26</v>
      </c>
      <c r="E1507" s="1">
        <f ca="1">IFERROR(__xludf.DUMMYFUNCTION("""COMPUTED_VALUE"""),3.34)</f>
        <v>3.34</v>
      </c>
      <c r="F1507" s="1">
        <f ca="1">IFERROR(__xludf.DUMMYFUNCTION("""COMPUTED_VALUE"""),874000)</f>
        <v>874000</v>
      </c>
      <c r="I1507" s="1"/>
    </row>
    <row r="1508" spans="1:9">
      <c r="A1508" s="3">
        <f ca="1">IFERROR(__xludf.DUMMYFUNCTION("""COMPUTED_VALUE"""),31397.6666666666)</f>
        <v>31397.666666666599</v>
      </c>
      <c r="B1508" s="1">
        <f ca="1">IFERROR(__xludf.DUMMYFUNCTION("""COMPUTED_VALUE"""),3.42)</f>
        <v>3.42</v>
      </c>
      <c r="C1508" s="1">
        <f ca="1">IFERROR(__xludf.DUMMYFUNCTION("""COMPUTED_VALUE"""),3.44)</f>
        <v>3.44</v>
      </c>
      <c r="D1508" s="1">
        <f ca="1">IFERROR(__xludf.DUMMYFUNCTION("""COMPUTED_VALUE"""),3.3)</f>
        <v>3.3</v>
      </c>
      <c r="E1508" s="1">
        <f ca="1">IFERROR(__xludf.DUMMYFUNCTION("""COMPUTED_VALUE"""),3.42)</f>
        <v>3.42</v>
      </c>
      <c r="F1508" s="1">
        <f ca="1">IFERROR(__xludf.DUMMYFUNCTION("""COMPUTED_VALUE"""),567400)</f>
        <v>567400</v>
      </c>
      <c r="I1508" s="1"/>
    </row>
    <row r="1509" spans="1:9">
      <c r="A1509" s="3">
        <f ca="1">IFERROR(__xludf.DUMMYFUNCTION("""COMPUTED_VALUE"""),31398.6666666666)</f>
        <v>31398.666666666599</v>
      </c>
      <c r="B1509" s="1">
        <f ca="1">IFERROR(__xludf.DUMMYFUNCTION("""COMPUTED_VALUE"""),3.37)</f>
        <v>3.37</v>
      </c>
      <c r="C1509" s="1">
        <f ca="1">IFERROR(__xludf.DUMMYFUNCTION("""COMPUTED_VALUE"""),3.45)</f>
        <v>3.45</v>
      </c>
      <c r="D1509" s="1">
        <f ca="1">IFERROR(__xludf.DUMMYFUNCTION("""COMPUTED_VALUE"""),3.35)</f>
        <v>3.35</v>
      </c>
      <c r="E1509" s="1">
        <f ca="1">IFERROR(__xludf.DUMMYFUNCTION("""COMPUTED_VALUE"""),3.37)</f>
        <v>3.37</v>
      </c>
      <c r="F1509" s="1">
        <f ca="1">IFERROR(__xludf.DUMMYFUNCTION("""COMPUTED_VALUE"""),604500)</f>
        <v>604500</v>
      </c>
      <c r="I1509" s="1"/>
    </row>
    <row r="1510" spans="1:9">
      <c r="A1510" s="3">
        <f ca="1">IFERROR(__xludf.DUMMYFUNCTION("""COMPUTED_VALUE"""),31399.6666666666)</f>
        <v>31399.666666666599</v>
      </c>
      <c r="B1510" s="1">
        <f ca="1">IFERROR(__xludf.DUMMYFUNCTION("""COMPUTED_VALUE"""),3.27)</f>
        <v>3.27</v>
      </c>
      <c r="C1510" s="1">
        <f ca="1">IFERROR(__xludf.DUMMYFUNCTION("""COMPUTED_VALUE"""),3.37)</f>
        <v>3.37</v>
      </c>
      <c r="D1510" s="1">
        <f ca="1">IFERROR(__xludf.DUMMYFUNCTION("""COMPUTED_VALUE"""),3.25)</f>
        <v>3.25</v>
      </c>
      <c r="E1510" s="1">
        <f ca="1">IFERROR(__xludf.DUMMYFUNCTION("""COMPUTED_VALUE"""),3.27)</f>
        <v>3.27</v>
      </c>
      <c r="F1510" s="1">
        <f ca="1">IFERROR(__xludf.DUMMYFUNCTION("""COMPUTED_VALUE"""),600300)</f>
        <v>600300</v>
      </c>
      <c r="I1510" s="1"/>
    </row>
    <row r="1511" spans="1:9">
      <c r="A1511" s="3">
        <f ca="1">IFERROR(__xludf.DUMMYFUNCTION("""COMPUTED_VALUE"""),31400.6666666666)</f>
        <v>31400.666666666599</v>
      </c>
      <c r="B1511" s="1">
        <f ca="1">IFERROR(__xludf.DUMMYFUNCTION("""COMPUTED_VALUE"""),3.32)</f>
        <v>3.32</v>
      </c>
      <c r="C1511" s="1">
        <f ca="1">IFERROR(__xludf.DUMMYFUNCTION("""COMPUTED_VALUE"""),3.34)</f>
        <v>3.34</v>
      </c>
      <c r="D1511" s="1">
        <f ca="1">IFERROR(__xludf.DUMMYFUNCTION("""COMPUTED_VALUE"""),3.27)</f>
        <v>3.27</v>
      </c>
      <c r="E1511" s="1">
        <f ca="1">IFERROR(__xludf.DUMMYFUNCTION("""COMPUTED_VALUE"""),3.32)</f>
        <v>3.32</v>
      </c>
      <c r="F1511" s="1">
        <f ca="1">IFERROR(__xludf.DUMMYFUNCTION("""COMPUTED_VALUE"""),346200)</f>
        <v>346200</v>
      </c>
      <c r="I1511" s="1"/>
    </row>
    <row r="1512" spans="1:9">
      <c r="A1512" s="3">
        <f ca="1">IFERROR(__xludf.DUMMYFUNCTION("""COMPUTED_VALUE"""),31401.6666666666)</f>
        <v>31401.666666666599</v>
      </c>
      <c r="B1512" s="1">
        <f ca="1">IFERROR(__xludf.DUMMYFUNCTION("""COMPUTED_VALUE"""),3.28)</f>
        <v>3.28</v>
      </c>
      <c r="C1512" s="1">
        <f ca="1">IFERROR(__xludf.DUMMYFUNCTION("""COMPUTED_VALUE"""),3.37)</f>
        <v>3.37</v>
      </c>
      <c r="D1512" s="1">
        <f ca="1">IFERROR(__xludf.DUMMYFUNCTION("""COMPUTED_VALUE"""),3.28)</f>
        <v>3.28</v>
      </c>
      <c r="E1512" s="1">
        <f ca="1">IFERROR(__xludf.DUMMYFUNCTION("""COMPUTED_VALUE"""),3.28)</f>
        <v>3.28</v>
      </c>
      <c r="F1512" s="1">
        <f ca="1">IFERROR(__xludf.DUMMYFUNCTION("""COMPUTED_VALUE"""),585600)</f>
        <v>585600</v>
      </c>
      <c r="I1512" s="1"/>
    </row>
    <row r="1513" spans="1:9">
      <c r="A1513" s="3">
        <f ca="1">IFERROR(__xludf.DUMMYFUNCTION("""COMPUTED_VALUE"""),31404.6666666666)</f>
        <v>31404.666666666599</v>
      </c>
      <c r="B1513" s="1">
        <f ca="1">IFERROR(__xludf.DUMMYFUNCTION("""COMPUTED_VALUE"""),3.27)</f>
        <v>3.27</v>
      </c>
      <c r="C1513" s="1">
        <f ca="1">IFERROR(__xludf.DUMMYFUNCTION("""COMPUTED_VALUE"""),3.3)</f>
        <v>3.3</v>
      </c>
      <c r="D1513" s="1">
        <f ca="1">IFERROR(__xludf.DUMMYFUNCTION("""COMPUTED_VALUE"""),3.22)</f>
        <v>3.22</v>
      </c>
      <c r="E1513" s="1">
        <f ca="1">IFERROR(__xludf.DUMMYFUNCTION("""COMPUTED_VALUE"""),3.27)</f>
        <v>3.27</v>
      </c>
      <c r="F1513" s="1">
        <f ca="1">IFERROR(__xludf.DUMMYFUNCTION("""COMPUTED_VALUE"""),306800)</f>
        <v>306800</v>
      </c>
      <c r="I1513" s="1"/>
    </row>
    <row r="1514" spans="1:9">
      <c r="A1514" s="3">
        <f ca="1">IFERROR(__xludf.DUMMYFUNCTION("""COMPUTED_VALUE"""),31405.6666666666)</f>
        <v>31405.666666666599</v>
      </c>
      <c r="B1514" s="1">
        <f ca="1">IFERROR(__xludf.DUMMYFUNCTION("""COMPUTED_VALUE"""),3.24)</f>
        <v>3.24</v>
      </c>
      <c r="C1514" s="1">
        <f ca="1">IFERROR(__xludf.DUMMYFUNCTION("""COMPUTED_VALUE"""),3.28)</f>
        <v>3.28</v>
      </c>
      <c r="D1514" s="1">
        <f ca="1">IFERROR(__xludf.DUMMYFUNCTION("""COMPUTED_VALUE"""),3.23)</f>
        <v>3.23</v>
      </c>
      <c r="E1514" s="1">
        <f ca="1">IFERROR(__xludf.DUMMYFUNCTION("""COMPUTED_VALUE"""),3.24)</f>
        <v>3.24</v>
      </c>
      <c r="F1514" s="1">
        <f ca="1">IFERROR(__xludf.DUMMYFUNCTION("""COMPUTED_VALUE"""),226200)</f>
        <v>226200</v>
      </c>
      <c r="I1514" s="1"/>
    </row>
    <row r="1515" spans="1:9">
      <c r="A1515" s="3">
        <f ca="1">IFERROR(__xludf.DUMMYFUNCTION("""COMPUTED_VALUE"""),31407.6666666666)</f>
        <v>31407.666666666599</v>
      </c>
      <c r="B1515" s="1">
        <f ca="1">IFERROR(__xludf.DUMMYFUNCTION("""COMPUTED_VALUE"""),3.24)</f>
        <v>3.24</v>
      </c>
      <c r="C1515" s="1">
        <f ca="1">IFERROR(__xludf.DUMMYFUNCTION("""COMPUTED_VALUE"""),3.28)</f>
        <v>3.28</v>
      </c>
      <c r="D1515" s="1">
        <f ca="1">IFERROR(__xludf.DUMMYFUNCTION("""COMPUTED_VALUE"""),3.22)</f>
        <v>3.22</v>
      </c>
      <c r="E1515" s="1">
        <f ca="1">IFERROR(__xludf.DUMMYFUNCTION("""COMPUTED_VALUE"""),3.24)</f>
        <v>3.24</v>
      </c>
      <c r="F1515" s="1">
        <f ca="1">IFERROR(__xludf.DUMMYFUNCTION("""COMPUTED_VALUE"""),163400)</f>
        <v>163400</v>
      </c>
      <c r="I1515" s="1"/>
    </row>
    <row r="1516" spans="1:9">
      <c r="A1516" s="3">
        <f ca="1">IFERROR(__xludf.DUMMYFUNCTION("""COMPUTED_VALUE"""),31408.6666666666)</f>
        <v>31408.666666666599</v>
      </c>
      <c r="B1516" s="1">
        <f ca="1">IFERROR(__xludf.DUMMYFUNCTION("""COMPUTED_VALUE"""),3.27)</f>
        <v>3.27</v>
      </c>
      <c r="C1516" s="1">
        <f ca="1">IFERROR(__xludf.DUMMYFUNCTION("""COMPUTED_VALUE"""),3.28)</f>
        <v>3.28</v>
      </c>
      <c r="D1516" s="1">
        <f ca="1">IFERROR(__xludf.DUMMYFUNCTION("""COMPUTED_VALUE"""),3.25)</f>
        <v>3.25</v>
      </c>
      <c r="E1516" s="1">
        <f ca="1">IFERROR(__xludf.DUMMYFUNCTION("""COMPUTED_VALUE"""),3.27)</f>
        <v>3.27</v>
      </c>
      <c r="F1516" s="1">
        <f ca="1">IFERROR(__xludf.DUMMYFUNCTION("""COMPUTED_VALUE"""),241900)</f>
        <v>241900</v>
      </c>
      <c r="I1516" s="1"/>
    </row>
    <row r="1517" spans="1:9">
      <c r="A1517" s="3">
        <f ca="1">IFERROR(__xludf.DUMMYFUNCTION("""COMPUTED_VALUE"""),31411.6666666666)</f>
        <v>31411.666666666599</v>
      </c>
      <c r="B1517" s="1">
        <f ca="1">IFERROR(__xludf.DUMMYFUNCTION("""COMPUTED_VALUE"""),3.29)</f>
        <v>3.29</v>
      </c>
      <c r="C1517" s="1">
        <f ca="1">IFERROR(__xludf.DUMMYFUNCTION("""COMPUTED_VALUE"""),3.31)</f>
        <v>3.31</v>
      </c>
      <c r="D1517" s="1">
        <f ca="1">IFERROR(__xludf.DUMMYFUNCTION("""COMPUTED_VALUE"""),3.25)</f>
        <v>3.25</v>
      </c>
      <c r="E1517" s="1">
        <f ca="1">IFERROR(__xludf.DUMMYFUNCTION("""COMPUTED_VALUE"""),3.29)</f>
        <v>3.29</v>
      </c>
      <c r="F1517" s="1">
        <f ca="1">IFERROR(__xludf.DUMMYFUNCTION("""COMPUTED_VALUE"""),250100)</f>
        <v>250100</v>
      </c>
      <c r="I1517" s="1"/>
    </row>
    <row r="1518" spans="1:9">
      <c r="A1518" s="3">
        <f ca="1">IFERROR(__xludf.DUMMYFUNCTION("""COMPUTED_VALUE"""),31412.6666666666)</f>
        <v>31412.666666666599</v>
      </c>
      <c r="B1518" s="1">
        <f ca="1">IFERROR(__xludf.DUMMYFUNCTION("""COMPUTED_VALUE"""),3.29)</f>
        <v>3.29</v>
      </c>
      <c r="C1518" s="1">
        <f ca="1">IFERROR(__xludf.DUMMYFUNCTION("""COMPUTED_VALUE"""),3.3)</f>
        <v>3.3</v>
      </c>
      <c r="D1518" s="1">
        <f ca="1">IFERROR(__xludf.DUMMYFUNCTION("""COMPUTED_VALUE"""),3.27)</f>
        <v>3.27</v>
      </c>
      <c r="E1518" s="1">
        <f ca="1">IFERROR(__xludf.DUMMYFUNCTION("""COMPUTED_VALUE"""),3.29)</f>
        <v>3.29</v>
      </c>
      <c r="F1518" s="1">
        <f ca="1">IFERROR(__xludf.DUMMYFUNCTION("""COMPUTED_VALUE"""),172800)</f>
        <v>172800</v>
      </c>
      <c r="I1518" s="1"/>
    </row>
    <row r="1519" spans="1:9">
      <c r="A1519" s="3">
        <f ca="1">IFERROR(__xludf.DUMMYFUNCTION("""COMPUTED_VALUE"""),31414.6666666666)</f>
        <v>31414.666666666599</v>
      </c>
      <c r="B1519" s="1">
        <f ca="1">IFERROR(__xludf.DUMMYFUNCTION("""COMPUTED_VALUE"""),3.24)</f>
        <v>3.24</v>
      </c>
      <c r="C1519" s="1">
        <f ca="1">IFERROR(__xludf.DUMMYFUNCTION("""COMPUTED_VALUE"""),3.28)</f>
        <v>3.28</v>
      </c>
      <c r="D1519" s="1">
        <f ca="1">IFERROR(__xludf.DUMMYFUNCTION("""COMPUTED_VALUE"""),3.23)</f>
        <v>3.23</v>
      </c>
      <c r="E1519" s="1">
        <f ca="1">IFERROR(__xludf.DUMMYFUNCTION("""COMPUTED_VALUE"""),3.24)</f>
        <v>3.24</v>
      </c>
      <c r="F1519" s="1">
        <f ca="1">IFERROR(__xludf.DUMMYFUNCTION("""COMPUTED_VALUE"""),208200)</f>
        <v>208200</v>
      </c>
      <c r="I1519" s="1"/>
    </row>
    <row r="1520" spans="1:9">
      <c r="A1520" s="3">
        <f ca="1">IFERROR(__xludf.DUMMYFUNCTION("""COMPUTED_VALUE"""),31415.6666666666)</f>
        <v>31415.666666666599</v>
      </c>
      <c r="B1520" s="1">
        <f ca="1">IFERROR(__xludf.DUMMYFUNCTION("""COMPUTED_VALUE"""),3.25)</f>
        <v>3.25</v>
      </c>
      <c r="C1520" s="1">
        <f ca="1">IFERROR(__xludf.DUMMYFUNCTION("""COMPUTED_VALUE"""),3.25)</f>
        <v>3.25</v>
      </c>
      <c r="D1520" s="1">
        <f ca="1">IFERROR(__xludf.DUMMYFUNCTION("""COMPUTED_VALUE"""),3.22)</f>
        <v>3.22</v>
      </c>
      <c r="E1520" s="1">
        <f ca="1">IFERROR(__xludf.DUMMYFUNCTION("""COMPUTED_VALUE"""),3.25)</f>
        <v>3.25</v>
      </c>
      <c r="F1520" s="1">
        <f ca="1">IFERROR(__xludf.DUMMYFUNCTION("""COMPUTED_VALUE"""),253200)</f>
        <v>253200</v>
      </c>
      <c r="I1520" s="1"/>
    </row>
    <row r="1521" spans="1:9">
      <c r="A1521" s="3">
        <f ca="1">IFERROR(__xludf.DUMMYFUNCTION("""COMPUTED_VALUE"""),31418.6666666666)</f>
        <v>31418.666666666599</v>
      </c>
      <c r="B1521" s="1">
        <f ca="1">IFERROR(__xludf.DUMMYFUNCTION("""COMPUTED_VALUE"""),3.24)</f>
        <v>3.24</v>
      </c>
      <c r="C1521" s="1">
        <f ca="1">IFERROR(__xludf.DUMMYFUNCTION("""COMPUTED_VALUE"""),3.26)</f>
        <v>3.26</v>
      </c>
      <c r="D1521" s="1">
        <f ca="1">IFERROR(__xludf.DUMMYFUNCTION("""COMPUTED_VALUE"""),3.23)</f>
        <v>3.23</v>
      </c>
      <c r="E1521" s="1">
        <f ca="1">IFERROR(__xludf.DUMMYFUNCTION("""COMPUTED_VALUE"""),3.24)</f>
        <v>3.24</v>
      </c>
      <c r="F1521" s="1">
        <f ca="1">IFERROR(__xludf.DUMMYFUNCTION("""COMPUTED_VALUE"""),150200)</f>
        <v>150200</v>
      </c>
      <c r="I1521" s="1"/>
    </row>
    <row r="1522" spans="1:9">
      <c r="A1522" s="3">
        <f ca="1">IFERROR(__xludf.DUMMYFUNCTION("""COMPUTED_VALUE"""),31419.6666666666)</f>
        <v>31419.666666666599</v>
      </c>
      <c r="B1522" s="1">
        <f ca="1">IFERROR(__xludf.DUMMYFUNCTION("""COMPUTED_VALUE"""),3.3)</f>
        <v>3.3</v>
      </c>
      <c r="C1522" s="1">
        <f ca="1">IFERROR(__xludf.DUMMYFUNCTION("""COMPUTED_VALUE"""),3.3)</f>
        <v>3.3</v>
      </c>
      <c r="D1522" s="1">
        <f ca="1">IFERROR(__xludf.DUMMYFUNCTION("""COMPUTED_VALUE"""),3.25)</f>
        <v>3.25</v>
      </c>
      <c r="E1522" s="1">
        <f ca="1">IFERROR(__xludf.DUMMYFUNCTION("""COMPUTED_VALUE"""),3.3)</f>
        <v>3.3</v>
      </c>
      <c r="F1522" s="1">
        <f ca="1">IFERROR(__xludf.DUMMYFUNCTION("""COMPUTED_VALUE"""),459400)</f>
        <v>459400</v>
      </c>
      <c r="I1522" s="1"/>
    </row>
    <row r="1523" spans="1:9">
      <c r="A1523" s="3">
        <f ca="1">IFERROR(__xludf.DUMMYFUNCTION("""COMPUTED_VALUE"""),31420.6666666666)</f>
        <v>31420.666666666599</v>
      </c>
      <c r="B1523" s="1">
        <f ca="1">IFERROR(__xludf.DUMMYFUNCTION("""COMPUTED_VALUE"""),3.23)</f>
        <v>3.23</v>
      </c>
      <c r="C1523" s="1">
        <f ca="1">IFERROR(__xludf.DUMMYFUNCTION("""COMPUTED_VALUE"""),3.31)</f>
        <v>3.31</v>
      </c>
      <c r="D1523" s="1">
        <f ca="1">IFERROR(__xludf.DUMMYFUNCTION("""COMPUTED_VALUE"""),3.22)</f>
        <v>3.22</v>
      </c>
      <c r="E1523" s="1">
        <f ca="1">IFERROR(__xludf.DUMMYFUNCTION("""COMPUTED_VALUE"""),3.23)</f>
        <v>3.23</v>
      </c>
      <c r="F1523" s="1">
        <f ca="1">IFERROR(__xludf.DUMMYFUNCTION("""COMPUTED_VALUE"""),396800)</f>
        <v>396800</v>
      </c>
      <c r="I1523" s="1"/>
    </row>
    <row r="1524" spans="1:9">
      <c r="A1524" s="3">
        <f ca="1">IFERROR(__xludf.DUMMYFUNCTION("""COMPUTED_VALUE"""),31421.6666666666)</f>
        <v>31421.666666666599</v>
      </c>
      <c r="B1524" s="1">
        <f ca="1">IFERROR(__xludf.DUMMYFUNCTION("""COMPUTED_VALUE"""),3.17)</f>
        <v>3.17</v>
      </c>
      <c r="C1524" s="1">
        <f ca="1">IFERROR(__xludf.DUMMYFUNCTION("""COMPUTED_VALUE"""),3.23)</f>
        <v>3.23</v>
      </c>
      <c r="D1524" s="1">
        <f ca="1">IFERROR(__xludf.DUMMYFUNCTION("""COMPUTED_VALUE"""),3.12)</f>
        <v>3.12</v>
      </c>
      <c r="E1524" s="1">
        <f ca="1">IFERROR(__xludf.DUMMYFUNCTION("""COMPUTED_VALUE"""),3.17)</f>
        <v>3.17</v>
      </c>
      <c r="F1524" s="1">
        <f ca="1">IFERROR(__xludf.DUMMYFUNCTION("""COMPUTED_VALUE"""),797700)</f>
        <v>797700</v>
      </c>
      <c r="I1524" s="1"/>
    </row>
    <row r="1525" spans="1:9">
      <c r="A1525" s="3">
        <f ca="1">IFERROR(__xludf.DUMMYFUNCTION("""COMPUTED_VALUE"""),31422.6666666666)</f>
        <v>31422.666666666599</v>
      </c>
      <c r="B1525" s="1">
        <f ca="1">IFERROR(__xludf.DUMMYFUNCTION("""COMPUTED_VALUE"""),3.19)</f>
        <v>3.19</v>
      </c>
      <c r="C1525" s="1">
        <f ca="1">IFERROR(__xludf.DUMMYFUNCTION("""COMPUTED_VALUE"""),3.21)</f>
        <v>3.21</v>
      </c>
      <c r="D1525" s="1">
        <f ca="1">IFERROR(__xludf.DUMMYFUNCTION("""COMPUTED_VALUE"""),3.16)</f>
        <v>3.16</v>
      </c>
      <c r="E1525" s="1">
        <f ca="1">IFERROR(__xludf.DUMMYFUNCTION("""COMPUTED_VALUE"""),3.19)</f>
        <v>3.19</v>
      </c>
      <c r="F1525" s="1">
        <f ca="1">IFERROR(__xludf.DUMMYFUNCTION("""COMPUTED_VALUE"""),374800)</f>
        <v>374800</v>
      </c>
      <c r="I1525" s="1"/>
    </row>
    <row r="1526" spans="1:9">
      <c r="A1526" s="3">
        <f ca="1">IFERROR(__xludf.DUMMYFUNCTION("""COMPUTED_VALUE"""),31425.6666666666)</f>
        <v>31425.666666666599</v>
      </c>
      <c r="B1526" s="1">
        <f ca="1">IFERROR(__xludf.DUMMYFUNCTION("""COMPUTED_VALUE"""),3.23)</f>
        <v>3.23</v>
      </c>
      <c r="C1526" s="1">
        <f ca="1">IFERROR(__xludf.DUMMYFUNCTION("""COMPUTED_VALUE"""),3.23)</f>
        <v>3.23</v>
      </c>
      <c r="D1526" s="1">
        <f ca="1">IFERROR(__xludf.DUMMYFUNCTION("""COMPUTED_VALUE"""),3.16)</f>
        <v>3.16</v>
      </c>
      <c r="E1526" s="1">
        <f ca="1">IFERROR(__xludf.DUMMYFUNCTION("""COMPUTED_VALUE"""),3.23)</f>
        <v>3.23</v>
      </c>
      <c r="F1526" s="1">
        <f ca="1">IFERROR(__xludf.DUMMYFUNCTION("""COMPUTED_VALUE"""),297500)</f>
        <v>297500</v>
      </c>
      <c r="I1526" s="1"/>
    </row>
    <row r="1527" spans="1:9">
      <c r="A1527" s="3">
        <f ca="1">IFERROR(__xludf.DUMMYFUNCTION("""COMPUTED_VALUE"""),31426.6666666666)</f>
        <v>31426.666666666599</v>
      </c>
      <c r="B1527" s="1">
        <f ca="1">IFERROR(__xludf.DUMMYFUNCTION("""COMPUTED_VALUE"""),3.24)</f>
        <v>3.24</v>
      </c>
      <c r="C1527" s="1">
        <f ca="1">IFERROR(__xludf.DUMMYFUNCTION("""COMPUTED_VALUE"""),3.24)</f>
        <v>3.24</v>
      </c>
      <c r="D1527" s="1">
        <f ca="1">IFERROR(__xludf.DUMMYFUNCTION("""COMPUTED_VALUE"""),3.21)</f>
        <v>3.21</v>
      </c>
      <c r="E1527" s="1">
        <f ca="1">IFERROR(__xludf.DUMMYFUNCTION("""COMPUTED_VALUE"""),3.24)</f>
        <v>3.24</v>
      </c>
      <c r="F1527" s="1">
        <f ca="1">IFERROR(__xludf.DUMMYFUNCTION("""COMPUTED_VALUE"""),235000)</f>
        <v>235000</v>
      </c>
      <c r="I1527" s="1"/>
    </row>
    <row r="1528" spans="1:9">
      <c r="A1528" s="3">
        <f ca="1">IFERROR(__xludf.DUMMYFUNCTION("""COMPUTED_VALUE"""),31427.6666666666)</f>
        <v>31427.666666666599</v>
      </c>
      <c r="B1528" s="1">
        <f ca="1">IFERROR(__xludf.DUMMYFUNCTION("""COMPUTED_VALUE"""),3.2)</f>
        <v>3.2</v>
      </c>
      <c r="C1528" s="1">
        <f ca="1">IFERROR(__xludf.DUMMYFUNCTION("""COMPUTED_VALUE"""),3.23)</f>
        <v>3.23</v>
      </c>
      <c r="D1528" s="1">
        <f ca="1">IFERROR(__xludf.DUMMYFUNCTION("""COMPUTED_VALUE"""),3.2)</f>
        <v>3.2</v>
      </c>
      <c r="E1528" s="1">
        <f ca="1">IFERROR(__xludf.DUMMYFUNCTION("""COMPUTED_VALUE"""),3.2)</f>
        <v>3.2</v>
      </c>
      <c r="F1528" s="1">
        <f ca="1">IFERROR(__xludf.DUMMYFUNCTION("""COMPUTED_VALUE"""),398700)</f>
        <v>398700</v>
      </c>
      <c r="I1528" s="1"/>
    </row>
    <row r="1529" spans="1:9">
      <c r="A1529" s="3">
        <f ca="1">IFERROR(__xludf.DUMMYFUNCTION("""COMPUTED_VALUE"""),31428.6666666666)</f>
        <v>31428.666666666599</v>
      </c>
      <c r="B1529" s="1">
        <f ca="1">IFERROR(__xludf.DUMMYFUNCTION("""COMPUTED_VALUE"""),3.19)</f>
        <v>3.19</v>
      </c>
      <c r="C1529" s="1">
        <f ca="1">IFERROR(__xludf.DUMMYFUNCTION("""COMPUTED_VALUE"""),3.22)</f>
        <v>3.22</v>
      </c>
      <c r="D1529" s="1">
        <f ca="1">IFERROR(__xludf.DUMMYFUNCTION("""COMPUTED_VALUE"""),3.09)</f>
        <v>3.09</v>
      </c>
      <c r="E1529" s="1">
        <f ca="1">IFERROR(__xludf.DUMMYFUNCTION("""COMPUTED_VALUE"""),3.19)</f>
        <v>3.19</v>
      </c>
      <c r="F1529" s="1">
        <f ca="1">IFERROR(__xludf.DUMMYFUNCTION("""COMPUTED_VALUE"""),502800)</f>
        <v>502800</v>
      </c>
      <c r="I1529" s="1"/>
    </row>
    <row r="1530" spans="1:9">
      <c r="A1530" s="3">
        <f ca="1">IFERROR(__xludf.DUMMYFUNCTION("""COMPUTED_VALUE"""),31429.6666666666)</f>
        <v>31429.666666666599</v>
      </c>
      <c r="B1530" s="1">
        <f ca="1">IFERROR(__xludf.DUMMYFUNCTION("""COMPUTED_VALUE"""),3.16)</f>
        <v>3.16</v>
      </c>
      <c r="C1530" s="1">
        <f ca="1">IFERROR(__xludf.DUMMYFUNCTION("""COMPUTED_VALUE"""),3.21)</f>
        <v>3.21</v>
      </c>
      <c r="D1530" s="1">
        <f ca="1">IFERROR(__xludf.DUMMYFUNCTION("""COMPUTED_VALUE"""),3.14)</f>
        <v>3.14</v>
      </c>
      <c r="E1530" s="1">
        <f ca="1">IFERROR(__xludf.DUMMYFUNCTION("""COMPUTED_VALUE"""),3.16)</f>
        <v>3.16</v>
      </c>
      <c r="F1530" s="1">
        <f ca="1">IFERROR(__xludf.DUMMYFUNCTION("""COMPUTED_VALUE"""),542400)</f>
        <v>542400</v>
      </c>
      <c r="I1530" s="1"/>
    </row>
    <row r="1531" spans="1:9">
      <c r="A1531" s="3">
        <f ca="1">IFERROR(__xludf.DUMMYFUNCTION("""COMPUTED_VALUE"""),31432.6666666666)</f>
        <v>31432.666666666599</v>
      </c>
      <c r="B1531" s="1">
        <f ca="1">IFERROR(__xludf.DUMMYFUNCTION("""COMPUTED_VALUE"""),3.22)</f>
        <v>3.22</v>
      </c>
      <c r="C1531" s="1">
        <f ca="1">IFERROR(__xludf.DUMMYFUNCTION("""COMPUTED_VALUE"""),3.23)</f>
        <v>3.23</v>
      </c>
      <c r="D1531" s="1">
        <f ca="1">IFERROR(__xludf.DUMMYFUNCTION("""COMPUTED_VALUE"""),3.16)</f>
        <v>3.16</v>
      </c>
      <c r="E1531" s="1">
        <f ca="1">IFERROR(__xludf.DUMMYFUNCTION("""COMPUTED_VALUE"""),3.22)</f>
        <v>3.22</v>
      </c>
      <c r="F1531" s="1">
        <f ca="1">IFERROR(__xludf.DUMMYFUNCTION("""COMPUTED_VALUE"""),380500)</f>
        <v>380500</v>
      </c>
      <c r="I1531" s="1"/>
    </row>
    <row r="1532" spans="1:9">
      <c r="A1532" s="3">
        <f ca="1">IFERROR(__xludf.DUMMYFUNCTION("""COMPUTED_VALUE"""),31433.6666666666)</f>
        <v>31433.666666666599</v>
      </c>
      <c r="B1532" s="1">
        <f ca="1">IFERROR(__xludf.DUMMYFUNCTION("""COMPUTED_VALUE"""),3.19)</f>
        <v>3.19</v>
      </c>
      <c r="C1532" s="1">
        <f ca="1">IFERROR(__xludf.DUMMYFUNCTION("""COMPUTED_VALUE"""),3.25)</f>
        <v>3.25</v>
      </c>
      <c r="D1532" s="1">
        <f ca="1">IFERROR(__xludf.DUMMYFUNCTION("""COMPUTED_VALUE"""),3.16)</f>
        <v>3.16</v>
      </c>
      <c r="E1532" s="1">
        <f ca="1">IFERROR(__xludf.DUMMYFUNCTION("""COMPUTED_VALUE"""),3.19)</f>
        <v>3.19</v>
      </c>
      <c r="F1532" s="1">
        <f ca="1">IFERROR(__xludf.DUMMYFUNCTION("""COMPUTED_VALUE"""),226900)</f>
        <v>226900</v>
      </c>
      <c r="I1532" s="1"/>
    </row>
    <row r="1533" spans="1:9">
      <c r="A1533" s="3">
        <f ca="1">IFERROR(__xludf.DUMMYFUNCTION("""COMPUTED_VALUE"""),31434.6666666666)</f>
        <v>31434.666666666599</v>
      </c>
      <c r="B1533" s="1">
        <f ca="1">IFERROR(__xludf.DUMMYFUNCTION("""COMPUTED_VALUE"""),3.11)</f>
        <v>3.11</v>
      </c>
      <c r="C1533" s="1">
        <f ca="1">IFERROR(__xludf.DUMMYFUNCTION("""COMPUTED_VALUE"""),3.18)</f>
        <v>3.18</v>
      </c>
      <c r="D1533" s="1">
        <f ca="1">IFERROR(__xludf.DUMMYFUNCTION("""COMPUTED_VALUE"""),3.11)</f>
        <v>3.11</v>
      </c>
      <c r="E1533" s="1">
        <f ca="1">IFERROR(__xludf.DUMMYFUNCTION("""COMPUTED_VALUE"""),3.11)</f>
        <v>3.11</v>
      </c>
      <c r="F1533" s="1">
        <f ca="1">IFERROR(__xludf.DUMMYFUNCTION("""COMPUTED_VALUE"""),228400)</f>
        <v>228400</v>
      </c>
      <c r="I1533" s="1"/>
    </row>
    <row r="1534" spans="1:9">
      <c r="A1534" s="3">
        <f ca="1">IFERROR(__xludf.DUMMYFUNCTION("""COMPUTED_VALUE"""),31435.6666666666)</f>
        <v>31435.666666666599</v>
      </c>
      <c r="B1534" s="1">
        <f ca="1">IFERROR(__xludf.DUMMYFUNCTION("""COMPUTED_VALUE"""),3.15)</f>
        <v>3.15</v>
      </c>
      <c r="C1534" s="1">
        <f ca="1">IFERROR(__xludf.DUMMYFUNCTION("""COMPUTED_VALUE"""),3.16)</f>
        <v>3.16</v>
      </c>
      <c r="D1534" s="1">
        <f ca="1">IFERROR(__xludf.DUMMYFUNCTION("""COMPUTED_VALUE"""),3.09)</f>
        <v>3.09</v>
      </c>
      <c r="E1534" s="1">
        <f ca="1">IFERROR(__xludf.DUMMYFUNCTION("""COMPUTED_VALUE"""),3.15)</f>
        <v>3.15</v>
      </c>
      <c r="F1534" s="1">
        <f ca="1">IFERROR(__xludf.DUMMYFUNCTION("""COMPUTED_VALUE"""),289200)</f>
        <v>289200</v>
      </c>
      <c r="I1534" s="1"/>
    </row>
    <row r="1535" spans="1:9">
      <c r="A1535" s="3">
        <f ca="1">IFERROR(__xludf.DUMMYFUNCTION("""COMPUTED_VALUE"""),31436.6666666666)</f>
        <v>31436.666666666599</v>
      </c>
      <c r="B1535" s="1">
        <f ca="1">IFERROR(__xludf.DUMMYFUNCTION("""COMPUTED_VALUE"""),3.13)</f>
        <v>3.13</v>
      </c>
      <c r="C1535" s="1">
        <f ca="1">IFERROR(__xludf.DUMMYFUNCTION("""COMPUTED_VALUE"""),3.16)</f>
        <v>3.16</v>
      </c>
      <c r="D1535" s="1">
        <f ca="1">IFERROR(__xludf.DUMMYFUNCTION("""COMPUTED_VALUE"""),3.08)</f>
        <v>3.08</v>
      </c>
      <c r="E1535" s="1">
        <f ca="1">IFERROR(__xludf.DUMMYFUNCTION("""COMPUTED_VALUE"""),3.13)</f>
        <v>3.13</v>
      </c>
      <c r="F1535" s="1">
        <f ca="1">IFERROR(__xludf.DUMMYFUNCTION("""COMPUTED_VALUE"""),619800)</f>
        <v>619800</v>
      </c>
      <c r="I1535" s="1"/>
    </row>
    <row r="1536" spans="1:9">
      <c r="A1536" s="3">
        <f ca="1">IFERROR(__xludf.DUMMYFUNCTION("""COMPUTED_VALUE"""),31439.6666666666)</f>
        <v>31439.666666666599</v>
      </c>
      <c r="B1536" s="1">
        <f ca="1">IFERROR(__xludf.DUMMYFUNCTION("""COMPUTED_VALUE"""),3.13)</f>
        <v>3.13</v>
      </c>
      <c r="C1536" s="1">
        <f ca="1">IFERROR(__xludf.DUMMYFUNCTION("""COMPUTED_VALUE"""),3.16)</f>
        <v>3.16</v>
      </c>
      <c r="D1536" s="1">
        <f ca="1">IFERROR(__xludf.DUMMYFUNCTION("""COMPUTED_VALUE"""),3.11)</f>
        <v>3.11</v>
      </c>
      <c r="E1536" s="1">
        <f ca="1">IFERROR(__xludf.DUMMYFUNCTION("""COMPUTED_VALUE"""),3.13)</f>
        <v>3.13</v>
      </c>
      <c r="F1536" s="1">
        <f ca="1">IFERROR(__xludf.DUMMYFUNCTION("""COMPUTED_VALUE"""),315900)</f>
        <v>315900</v>
      </c>
      <c r="I1536" s="1"/>
    </row>
    <row r="1537" spans="1:9">
      <c r="A1537" s="3">
        <f ca="1">IFERROR(__xludf.DUMMYFUNCTION("""COMPUTED_VALUE"""),31440.6666666666)</f>
        <v>31440.666666666599</v>
      </c>
      <c r="B1537" s="1">
        <f ca="1">IFERROR(__xludf.DUMMYFUNCTION("""COMPUTED_VALUE"""),3.25)</f>
        <v>3.25</v>
      </c>
      <c r="C1537" s="1">
        <f ca="1">IFERROR(__xludf.DUMMYFUNCTION("""COMPUTED_VALUE"""),3.25)</f>
        <v>3.25</v>
      </c>
      <c r="D1537" s="1">
        <f ca="1">IFERROR(__xludf.DUMMYFUNCTION("""COMPUTED_VALUE"""),3.13)</f>
        <v>3.13</v>
      </c>
      <c r="E1537" s="1">
        <f ca="1">IFERROR(__xludf.DUMMYFUNCTION("""COMPUTED_VALUE"""),3.25)</f>
        <v>3.25</v>
      </c>
      <c r="F1537" s="1">
        <f ca="1">IFERROR(__xludf.DUMMYFUNCTION("""COMPUTED_VALUE"""),320300)</f>
        <v>320300</v>
      </c>
      <c r="I1537" s="1"/>
    </row>
    <row r="1538" spans="1:9">
      <c r="A1538" s="3">
        <f ca="1">IFERROR(__xludf.DUMMYFUNCTION("""COMPUTED_VALUE"""),31441.6666666666)</f>
        <v>31441.666666666599</v>
      </c>
      <c r="B1538" s="1">
        <f ca="1">IFERROR(__xludf.DUMMYFUNCTION("""COMPUTED_VALUE"""),3.22)</f>
        <v>3.22</v>
      </c>
      <c r="C1538" s="1">
        <f ca="1">IFERROR(__xludf.DUMMYFUNCTION("""COMPUTED_VALUE"""),3.3)</f>
        <v>3.3</v>
      </c>
      <c r="D1538" s="1">
        <f ca="1">IFERROR(__xludf.DUMMYFUNCTION("""COMPUTED_VALUE"""),3.21)</f>
        <v>3.21</v>
      </c>
      <c r="E1538" s="1">
        <f ca="1">IFERROR(__xludf.DUMMYFUNCTION("""COMPUTED_VALUE"""),3.22)</f>
        <v>3.22</v>
      </c>
      <c r="F1538" s="1">
        <f ca="1">IFERROR(__xludf.DUMMYFUNCTION("""COMPUTED_VALUE"""),454700)</f>
        <v>454700</v>
      </c>
      <c r="I1538" s="1"/>
    </row>
    <row r="1539" spans="1:9">
      <c r="A1539" s="3">
        <f ca="1">IFERROR(__xludf.DUMMYFUNCTION("""COMPUTED_VALUE"""),31442.6666666666)</f>
        <v>31442.666666666599</v>
      </c>
      <c r="B1539" s="1">
        <f ca="1">IFERROR(__xludf.DUMMYFUNCTION("""COMPUTED_VALUE"""),3.3)</f>
        <v>3.3</v>
      </c>
      <c r="C1539" s="1">
        <f ca="1">IFERROR(__xludf.DUMMYFUNCTION("""COMPUTED_VALUE"""),3.33)</f>
        <v>3.33</v>
      </c>
      <c r="D1539" s="1">
        <f ca="1">IFERROR(__xludf.DUMMYFUNCTION("""COMPUTED_VALUE"""),3.22)</f>
        <v>3.22</v>
      </c>
      <c r="E1539" s="1">
        <f ca="1">IFERROR(__xludf.DUMMYFUNCTION("""COMPUTED_VALUE"""),3.3)</f>
        <v>3.3</v>
      </c>
      <c r="F1539" s="1">
        <f ca="1">IFERROR(__xludf.DUMMYFUNCTION("""COMPUTED_VALUE"""),487800)</f>
        <v>487800</v>
      </c>
      <c r="I1539" s="1"/>
    </row>
    <row r="1540" spans="1:9">
      <c r="A1540" s="3">
        <f ca="1">IFERROR(__xludf.DUMMYFUNCTION("""COMPUTED_VALUE"""),31443.6666666666)</f>
        <v>31443.666666666599</v>
      </c>
      <c r="B1540" s="1">
        <f ca="1">IFERROR(__xludf.DUMMYFUNCTION("""COMPUTED_VALUE"""),3.36)</f>
        <v>3.36</v>
      </c>
      <c r="C1540" s="1">
        <f ca="1">IFERROR(__xludf.DUMMYFUNCTION("""COMPUTED_VALUE"""),3.38)</f>
        <v>3.38</v>
      </c>
      <c r="D1540" s="1">
        <f ca="1">IFERROR(__xludf.DUMMYFUNCTION("""COMPUTED_VALUE"""),3.3)</f>
        <v>3.3</v>
      </c>
      <c r="E1540" s="1">
        <f ca="1">IFERROR(__xludf.DUMMYFUNCTION("""COMPUTED_VALUE"""),3.36)</f>
        <v>3.36</v>
      </c>
      <c r="F1540" s="1">
        <f ca="1">IFERROR(__xludf.DUMMYFUNCTION("""COMPUTED_VALUE"""),343200)</f>
        <v>343200</v>
      </c>
      <c r="I1540" s="1"/>
    </row>
    <row r="1541" spans="1:9">
      <c r="A1541" s="3">
        <f ca="1">IFERROR(__xludf.DUMMYFUNCTION("""COMPUTED_VALUE"""),31446.6666666666)</f>
        <v>31446.666666666599</v>
      </c>
      <c r="B1541" s="1">
        <f ca="1">IFERROR(__xludf.DUMMYFUNCTION("""COMPUTED_VALUE"""),3.39)</f>
        <v>3.39</v>
      </c>
      <c r="C1541" s="1">
        <f ca="1">IFERROR(__xludf.DUMMYFUNCTION("""COMPUTED_VALUE"""),3.41)</f>
        <v>3.41</v>
      </c>
      <c r="D1541" s="1">
        <f ca="1">IFERROR(__xludf.DUMMYFUNCTION("""COMPUTED_VALUE"""),3.34)</f>
        <v>3.34</v>
      </c>
      <c r="E1541" s="1">
        <f ca="1">IFERROR(__xludf.DUMMYFUNCTION("""COMPUTED_VALUE"""),3.39)</f>
        <v>3.39</v>
      </c>
      <c r="F1541" s="1">
        <f ca="1">IFERROR(__xludf.DUMMYFUNCTION("""COMPUTED_VALUE"""),486600)</f>
        <v>486600</v>
      </c>
      <c r="I1541" s="1"/>
    </row>
    <row r="1542" spans="1:9">
      <c r="A1542" s="3">
        <f ca="1">IFERROR(__xludf.DUMMYFUNCTION("""COMPUTED_VALUE"""),31447.6666666666)</f>
        <v>31447.666666666599</v>
      </c>
      <c r="B1542" s="1">
        <f ca="1">IFERROR(__xludf.DUMMYFUNCTION("""COMPUTED_VALUE"""),3.38)</f>
        <v>3.38</v>
      </c>
      <c r="C1542" s="1">
        <f ca="1">IFERROR(__xludf.DUMMYFUNCTION("""COMPUTED_VALUE"""),3.41)</f>
        <v>3.41</v>
      </c>
      <c r="D1542" s="1">
        <f ca="1">IFERROR(__xludf.DUMMYFUNCTION("""COMPUTED_VALUE"""),3.31)</f>
        <v>3.31</v>
      </c>
      <c r="E1542" s="1">
        <f ca="1">IFERROR(__xludf.DUMMYFUNCTION("""COMPUTED_VALUE"""),3.38)</f>
        <v>3.38</v>
      </c>
      <c r="F1542" s="1">
        <f ca="1">IFERROR(__xludf.DUMMYFUNCTION("""COMPUTED_VALUE"""),319900)</f>
        <v>319900</v>
      </c>
      <c r="I1542" s="1"/>
    </row>
    <row r="1543" spans="1:9">
      <c r="A1543" s="3">
        <f ca="1">IFERROR(__xludf.DUMMYFUNCTION("""COMPUTED_VALUE"""),31448.6666666666)</f>
        <v>31448.666666666599</v>
      </c>
      <c r="B1543" s="1">
        <f ca="1">IFERROR(__xludf.DUMMYFUNCTION("""COMPUTED_VALUE"""),3.41)</f>
        <v>3.41</v>
      </c>
      <c r="C1543" s="1">
        <f ca="1">IFERROR(__xludf.DUMMYFUNCTION("""COMPUTED_VALUE"""),3.43)</f>
        <v>3.43</v>
      </c>
      <c r="D1543" s="1">
        <f ca="1">IFERROR(__xludf.DUMMYFUNCTION("""COMPUTED_VALUE"""),3.37)</f>
        <v>3.37</v>
      </c>
      <c r="E1543" s="1">
        <f ca="1">IFERROR(__xludf.DUMMYFUNCTION("""COMPUTED_VALUE"""),3.41)</f>
        <v>3.41</v>
      </c>
      <c r="F1543" s="1">
        <f ca="1">IFERROR(__xludf.DUMMYFUNCTION("""COMPUTED_VALUE"""),400300)</f>
        <v>400300</v>
      </c>
      <c r="I1543" s="1"/>
    </row>
    <row r="1544" spans="1:9">
      <c r="A1544" s="3">
        <f ca="1">IFERROR(__xludf.DUMMYFUNCTION("""COMPUTED_VALUE"""),31449.6666666666)</f>
        <v>31449.666666666599</v>
      </c>
      <c r="B1544" s="1">
        <f ca="1">IFERROR(__xludf.DUMMYFUNCTION("""COMPUTED_VALUE"""),3.43)</f>
        <v>3.43</v>
      </c>
      <c r="C1544" s="1">
        <f ca="1">IFERROR(__xludf.DUMMYFUNCTION("""COMPUTED_VALUE"""),3.44)</f>
        <v>3.44</v>
      </c>
      <c r="D1544" s="1">
        <f ca="1">IFERROR(__xludf.DUMMYFUNCTION("""COMPUTED_VALUE"""),3.35)</f>
        <v>3.35</v>
      </c>
      <c r="E1544" s="1">
        <f ca="1">IFERROR(__xludf.DUMMYFUNCTION("""COMPUTED_VALUE"""),3.43)</f>
        <v>3.43</v>
      </c>
      <c r="F1544" s="1">
        <f ca="1">IFERROR(__xludf.DUMMYFUNCTION("""COMPUTED_VALUE"""),451700)</f>
        <v>451700</v>
      </c>
      <c r="I1544" s="1"/>
    </row>
    <row r="1545" spans="1:9">
      <c r="A1545" s="3">
        <f ca="1">IFERROR(__xludf.DUMMYFUNCTION("""COMPUTED_VALUE"""),31450.6666666666)</f>
        <v>31450.666666666599</v>
      </c>
      <c r="B1545" s="1">
        <f ca="1">IFERROR(__xludf.DUMMYFUNCTION("""COMPUTED_VALUE"""),3.34)</f>
        <v>3.34</v>
      </c>
      <c r="C1545" s="1">
        <f ca="1">IFERROR(__xludf.DUMMYFUNCTION("""COMPUTED_VALUE"""),3.4)</f>
        <v>3.4</v>
      </c>
      <c r="D1545" s="1">
        <f ca="1">IFERROR(__xludf.DUMMYFUNCTION("""COMPUTED_VALUE"""),3.31)</f>
        <v>3.31</v>
      </c>
      <c r="E1545" s="1">
        <f ca="1">IFERROR(__xludf.DUMMYFUNCTION("""COMPUTED_VALUE"""),3.34)</f>
        <v>3.34</v>
      </c>
      <c r="F1545" s="1">
        <f ca="1">IFERROR(__xludf.DUMMYFUNCTION("""COMPUTED_VALUE"""),871000)</f>
        <v>871000</v>
      </c>
      <c r="I1545" s="1"/>
    </row>
    <row r="1546" spans="1:9">
      <c r="A1546" s="3">
        <f ca="1">IFERROR(__xludf.DUMMYFUNCTION("""COMPUTED_VALUE"""),31453.6666666666)</f>
        <v>31453.666666666599</v>
      </c>
      <c r="B1546" s="1">
        <f ca="1">IFERROR(__xludf.DUMMYFUNCTION("""COMPUTED_VALUE"""),3.23)</f>
        <v>3.23</v>
      </c>
      <c r="C1546" s="1">
        <f ca="1">IFERROR(__xludf.DUMMYFUNCTION("""COMPUTED_VALUE"""),3.36)</f>
        <v>3.36</v>
      </c>
      <c r="D1546" s="1">
        <f ca="1">IFERROR(__xludf.DUMMYFUNCTION("""COMPUTED_VALUE"""),3.22)</f>
        <v>3.22</v>
      </c>
      <c r="E1546" s="1">
        <f ca="1">IFERROR(__xludf.DUMMYFUNCTION("""COMPUTED_VALUE"""),3.23)</f>
        <v>3.23</v>
      </c>
      <c r="F1546" s="1">
        <f ca="1">IFERROR(__xludf.DUMMYFUNCTION("""COMPUTED_VALUE"""),433500)</f>
        <v>433500</v>
      </c>
      <c r="I1546" s="1"/>
    </row>
    <row r="1547" spans="1:9">
      <c r="A1547" s="3">
        <f ca="1">IFERROR(__xludf.DUMMYFUNCTION("""COMPUTED_VALUE"""),31454.6666666666)</f>
        <v>31454.666666666599</v>
      </c>
      <c r="B1547" s="1">
        <f ca="1">IFERROR(__xludf.DUMMYFUNCTION("""COMPUTED_VALUE"""),3.16)</f>
        <v>3.16</v>
      </c>
      <c r="C1547" s="1">
        <f ca="1">IFERROR(__xludf.DUMMYFUNCTION("""COMPUTED_VALUE"""),3.19)</f>
        <v>3.19</v>
      </c>
      <c r="D1547" s="1">
        <f ca="1">IFERROR(__xludf.DUMMYFUNCTION("""COMPUTED_VALUE"""),3)</f>
        <v>3</v>
      </c>
      <c r="E1547" s="1">
        <f ca="1">IFERROR(__xludf.DUMMYFUNCTION("""COMPUTED_VALUE"""),3.16)</f>
        <v>3.16</v>
      </c>
      <c r="F1547" s="1">
        <f ca="1">IFERROR(__xludf.DUMMYFUNCTION("""COMPUTED_VALUE"""),4242200)</f>
        <v>4242200</v>
      </c>
      <c r="I1547" s="1"/>
    </row>
    <row r="1548" spans="1:9">
      <c r="A1548" s="3">
        <f ca="1">IFERROR(__xludf.DUMMYFUNCTION("""COMPUTED_VALUE"""),31455.6666666666)</f>
        <v>31455.666666666599</v>
      </c>
      <c r="B1548" s="1">
        <f ca="1">IFERROR(__xludf.DUMMYFUNCTION("""COMPUTED_VALUE"""),3.13)</f>
        <v>3.13</v>
      </c>
      <c r="C1548" s="1">
        <f ca="1">IFERROR(__xludf.DUMMYFUNCTION("""COMPUTED_VALUE"""),3.2)</f>
        <v>3.2</v>
      </c>
      <c r="D1548" s="1">
        <f ca="1">IFERROR(__xludf.DUMMYFUNCTION("""COMPUTED_VALUE"""),3.09)</f>
        <v>3.09</v>
      </c>
      <c r="E1548" s="1">
        <f ca="1">IFERROR(__xludf.DUMMYFUNCTION("""COMPUTED_VALUE"""),3.13)</f>
        <v>3.13</v>
      </c>
      <c r="F1548" s="1">
        <f ca="1">IFERROR(__xludf.DUMMYFUNCTION("""COMPUTED_VALUE"""),1567300)</f>
        <v>1567300</v>
      </c>
      <c r="I1548" s="1"/>
    </row>
    <row r="1549" spans="1:9">
      <c r="A1549" s="3">
        <f ca="1">IFERROR(__xludf.DUMMYFUNCTION("""COMPUTED_VALUE"""),31456.6666666666)</f>
        <v>31456.666666666599</v>
      </c>
      <c r="B1549" s="1">
        <f ca="1">IFERROR(__xludf.DUMMYFUNCTION("""COMPUTED_VALUE"""),3.23)</f>
        <v>3.23</v>
      </c>
      <c r="C1549" s="1">
        <f ca="1">IFERROR(__xludf.DUMMYFUNCTION("""COMPUTED_VALUE"""),3.29)</f>
        <v>3.29</v>
      </c>
      <c r="D1549" s="1">
        <f ca="1">IFERROR(__xludf.DUMMYFUNCTION("""COMPUTED_VALUE"""),3.13)</f>
        <v>3.13</v>
      </c>
      <c r="E1549" s="1">
        <f ca="1">IFERROR(__xludf.DUMMYFUNCTION("""COMPUTED_VALUE"""),3.23)</f>
        <v>3.23</v>
      </c>
      <c r="F1549" s="1">
        <f ca="1">IFERROR(__xludf.DUMMYFUNCTION("""COMPUTED_VALUE"""),2016300)</f>
        <v>2016300</v>
      </c>
      <c r="I1549" s="1"/>
    </row>
    <row r="1550" spans="1:9">
      <c r="A1550" s="3">
        <f ca="1">IFERROR(__xludf.DUMMYFUNCTION("""COMPUTED_VALUE"""),31457.6666666666)</f>
        <v>31457.666666666599</v>
      </c>
      <c r="B1550" s="1">
        <f ca="1">IFERROR(__xludf.DUMMYFUNCTION("""COMPUTED_VALUE"""),2.98)</f>
        <v>2.98</v>
      </c>
      <c r="C1550" s="1">
        <f ca="1">IFERROR(__xludf.DUMMYFUNCTION("""COMPUTED_VALUE"""),3.06)</f>
        <v>3.06</v>
      </c>
      <c r="D1550" s="1">
        <f ca="1">IFERROR(__xludf.DUMMYFUNCTION("""COMPUTED_VALUE"""),2.86)</f>
        <v>2.86</v>
      </c>
      <c r="E1550" s="1">
        <f ca="1">IFERROR(__xludf.DUMMYFUNCTION("""COMPUTED_VALUE"""),2.98)</f>
        <v>2.98</v>
      </c>
      <c r="F1550" s="1">
        <f ca="1">IFERROR(__xludf.DUMMYFUNCTION("""COMPUTED_VALUE"""),9038900)</f>
        <v>9038900</v>
      </c>
      <c r="I1550" s="1"/>
    </row>
    <row r="1551" spans="1:9">
      <c r="A1551" s="3">
        <f ca="1">IFERROR(__xludf.DUMMYFUNCTION("""COMPUTED_VALUE"""),31461.6666666666)</f>
        <v>31461.666666666599</v>
      </c>
      <c r="B1551" s="1">
        <f ca="1">IFERROR(__xludf.DUMMYFUNCTION("""COMPUTED_VALUE"""),3.07)</f>
        <v>3.07</v>
      </c>
      <c r="C1551" s="1">
        <f ca="1">IFERROR(__xludf.DUMMYFUNCTION("""COMPUTED_VALUE"""),3.09)</f>
        <v>3.09</v>
      </c>
      <c r="D1551" s="1">
        <f ca="1">IFERROR(__xludf.DUMMYFUNCTION("""COMPUTED_VALUE"""),2.95)</f>
        <v>2.95</v>
      </c>
      <c r="E1551" s="1">
        <f ca="1">IFERROR(__xludf.DUMMYFUNCTION("""COMPUTED_VALUE"""),3.07)</f>
        <v>3.07</v>
      </c>
      <c r="F1551" s="1">
        <f ca="1">IFERROR(__xludf.DUMMYFUNCTION("""COMPUTED_VALUE"""),4779300)</f>
        <v>4779300</v>
      </c>
      <c r="I1551" s="1"/>
    </row>
    <row r="1552" spans="1:9">
      <c r="A1552" s="3">
        <f ca="1">IFERROR(__xludf.DUMMYFUNCTION("""COMPUTED_VALUE"""),31462.6666666666)</f>
        <v>31462.666666666599</v>
      </c>
      <c r="B1552" s="1">
        <f ca="1">IFERROR(__xludf.DUMMYFUNCTION("""COMPUTED_VALUE"""),3)</f>
        <v>3</v>
      </c>
      <c r="C1552" s="1">
        <f ca="1">IFERROR(__xludf.DUMMYFUNCTION("""COMPUTED_VALUE"""),3.06)</f>
        <v>3.06</v>
      </c>
      <c r="D1552" s="1">
        <f ca="1">IFERROR(__xludf.DUMMYFUNCTION("""COMPUTED_VALUE"""),2.98)</f>
        <v>2.98</v>
      </c>
      <c r="E1552" s="1">
        <f ca="1">IFERROR(__xludf.DUMMYFUNCTION("""COMPUTED_VALUE"""),3)</f>
        <v>3</v>
      </c>
      <c r="F1552" s="1">
        <f ca="1">IFERROR(__xludf.DUMMYFUNCTION("""COMPUTED_VALUE"""),2136200)</f>
        <v>2136200</v>
      </c>
      <c r="I1552" s="1"/>
    </row>
    <row r="1553" spans="1:9">
      <c r="A1553" s="3">
        <f ca="1">IFERROR(__xludf.DUMMYFUNCTION("""COMPUTED_VALUE"""),31463.6666666666)</f>
        <v>31463.666666666599</v>
      </c>
      <c r="B1553" s="1">
        <f ca="1">IFERROR(__xludf.DUMMYFUNCTION("""COMPUTED_VALUE"""),3.01)</f>
        <v>3.01</v>
      </c>
      <c r="C1553" s="1">
        <f ca="1">IFERROR(__xludf.DUMMYFUNCTION("""COMPUTED_VALUE"""),3.02)</f>
        <v>3.02</v>
      </c>
      <c r="D1553" s="1">
        <f ca="1">IFERROR(__xludf.DUMMYFUNCTION("""COMPUTED_VALUE"""),2.98)</f>
        <v>2.98</v>
      </c>
      <c r="E1553" s="1">
        <f ca="1">IFERROR(__xludf.DUMMYFUNCTION("""COMPUTED_VALUE"""),3.01)</f>
        <v>3.01</v>
      </c>
      <c r="F1553" s="1">
        <f ca="1">IFERROR(__xludf.DUMMYFUNCTION("""COMPUTED_VALUE"""),1100100)</f>
        <v>1100100</v>
      </c>
      <c r="I1553" s="1"/>
    </row>
    <row r="1554" spans="1:9">
      <c r="A1554" s="3">
        <f ca="1">IFERROR(__xludf.DUMMYFUNCTION("""COMPUTED_VALUE"""),31464.6666666666)</f>
        <v>31464.666666666599</v>
      </c>
      <c r="B1554" s="1">
        <f ca="1">IFERROR(__xludf.DUMMYFUNCTION("""COMPUTED_VALUE"""),3.06)</f>
        <v>3.06</v>
      </c>
      <c r="C1554" s="1">
        <f ca="1">IFERROR(__xludf.DUMMYFUNCTION("""COMPUTED_VALUE"""),3.08)</f>
        <v>3.08</v>
      </c>
      <c r="D1554" s="1">
        <f ca="1">IFERROR(__xludf.DUMMYFUNCTION("""COMPUTED_VALUE"""),3)</f>
        <v>3</v>
      </c>
      <c r="E1554" s="1">
        <f ca="1">IFERROR(__xludf.DUMMYFUNCTION("""COMPUTED_VALUE"""),3.06)</f>
        <v>3.06</v>
      </c>
      <c r="F1554" s="1">
        <f ca="1">IFERROR(__xludf.DUMMYFUNCTION("""COMPUTED_VALUE"""),2188500)</f>
        <v>2188500</v>
      </c>
      <c r="I1554" s="1"/>
    </row>
    <row r="1555" spans="1:9">
      <c r="A1555" s="3">
        <f ca="1">IFERROR(__xludf.DUMMYFUNCTION("""COMPUTED_VALUE"""),31467.6666666666)</f>
        <v>31467.666666666599</v>
      </c>
      <c r="B1555" s="1">
        <f ca="1">IFERROR(__xludf.DUMMYFUNCTION("""COMPUTED_VALUE"""),3.11)</f>
        <v>3.11</v>
      </c>
      <c r="C1555" s="1">
        <f ca="1">IFERROR(__xludf.DUMMYFUNCTION("""COMPUTED_VALUE"""),3.13)</f>
        <v>3.13</v>
      </c>
      <c r="D1555" s="1">
        <f ca="1">IFERROR(__xludf.DUMMYFUNCTION("""COMPUTED_VALUE"""),3.04)</f>
        <v>3.04</v>
      </c>
      <c r="E1555" s="1">
        <f ca="1">IFERROR(__xludf.DUMMYFUNCTION("""COMPUTED_VALUE"""),3.11)</f>
        <v>3.11</v>
      </c>
      <c r="F1555" s="1">
        <f ca="1">IFERROR(__xludf.DUMMYFUNCTION("""COMPUTED_VALUE"""),1094600)</f>
        <v>1094600</v>
      </c>
      <c r="I1555" s="1"/>
    </row>
    <row r="1556" spans="1:9">
      <c r="A1556" s="3">
        <f ca="1">IFERROR(__xludf.DUMMYFUNCTION("""COMPUTED_VALUE"""),31468.6666666666)</f>
        <v>31468.666666666599</v>
      </c>
      <c r="B1556" s="1">
        <f ca="1">IFERROR(__xludf.DUMMYFUNCTION("""COMPUTED_VALUE"""),3.09)</f>
        <v>3.09</v>
      </c>
      <c r="C1556" s="1">
        <f ca="1">IFERROR(__xludf.DUMMYFUNCTION("""COMPUTED_VALUE"""),3.13)</f>
        <v>3.13</v>
      </c>
      <c r="D1556" s="1">
        <f ca="1">IFERROR(__xludf.DUMMYFUNCTION("""COMPUTED_VALUE"""),3.06)</f>
        <v>3.06</v>
      </c>
      <c r="E1556" s="1">
        <f ca="1">IFERROR(__xludf.DUMMYFUNCTION("""COMPUTED_VALUE"""),3.09)</f>
        <v>3.09</v>
      </c>
      <c r="F1556" s="1">
        <f ca="1">IFERROR(__xludf.DUMMYFUNCTION("""COMPUTED_VALUE"""),909500)</f>
        <v>909500</v>
      </c>
      <c r="I1556" s="1"/>
    </row>
    <row r="1557" spans="1:9">
      <c r="A1557" s="3">
        <f ca="1">IFERROR(__xludf.DUMMYFUNCTION("""COMPUTED_VALUE"""),31469.6666666666)</f>
        <v>31469.666666666599</v>
      </c>
      <c r="B1557" s="1">
        <f ca="1">IFERROR(__xludf.DUMMYFUNCTION("""COMPUTED_VALUE"""),3.03)</f>
        <v>3.03</v>
      </c>
      <c r="C1557" s="1">
        <f ca="1">IFERROR(__xludf.DUMMYFUNCTION("""COMPUTED_VALUE"""),3.05)</f>
        <v>3.05</v>
      </c>
      <c r="D1557" s="1">
        <f ca="1">IFERROR(__xludf.DUMMYFUNCTION("""COMPUTED_VALUE"""),2.99)</f>
        <v>2.99</v>
      </c>
      <c r="E1557" s="1">
        <f ca="1">IFERROR(__xludf.DUMMYFUNCTION("""COMPUTED_VALUE"""),3.03)</f>
        <v>3.03</v>
      </c>
      <c r="F1557" s="1">
        <f ca="1">IFERROR(__xludf.DUMMYFUNCTION("""COMPUTED_VALUE"""),1246300)</f>
        <v>1246300</v>
      </c>
      <c r="I1557" s="1"/>
    </row>
    <row r="1558" spans="1:9">
      <c r="A1558" s="3">
        <f ca="1">IFERROR(__xludf.DUMMYFUNCTION("""COMPUTED_VALUE"""),31470.6666666666)</f>
        <v>31470.666666666599</v>
      </c>
      <c r="B1558" s="1">
        <f ca="1">IFERROR(__xludf.DUMMYFUNCTION("""COMPUTED_VALUE"""),3.09)</f>
        <v>3.09</v>
      </c>
      <c r="C1558" s="1">
        <f ca="1">IFERROR(__xludf.DUMMYFUNCTION("""COMPUTED_VALUE"""),3.11)</f>
        <v>3.11</v>
      </c>
      <c r="D1558" s="1">
        <f ca="1">IFERROR(__xludf.DUMMYFUNCTION("""COMPUTED_VALUE"""),3.03)</f>
        <v>3.03</v>
      </c>
      <c r="E1558" s="1">
        <f ca="1">IFERROR(__xludf.DUMMYFUNCTION("""COMPUTED_VALUE"""),3.09)</f>
        <v>3.09</v>
      </c>
      <c r="F1558" s="1">
        <f ca="1">IFERROR(__xludf.DUMMYFUNCTION("""COMPUTED_VALUE"""),1209900)</f>
        <v>1209900</v>
      </c>
      <c r="I1558" s="1"/>
    </row>
    <row r="1559" spans="1:9">
      <c r="A1559" s="3">
        <f ca="1">IFERROR(__xludf.DUMMYFUNCTION("""COMPUTED_VALUE"""),31471.6666666666)</f>
        <v>31471.666666666599</v>
      </c>
      <c r="B1559" s="1">
        <f ca="1">IFERROR(__xludf.DUMMYFUNCTION("""COMPUTED_VALUE"""),3.11)</f>
        <v>3.11</v>
      </c>
      <c r="C1559" s="1">
        <f ca="1">IFERROR(__xludf.DUMMYFUNCTION("""COMPUTED_VALUE"""),3.16)</f>
        <v>3.16</v>
      </c>
      <c r="D1559" s="1">
        <f ca="1">IFERROR(__xludf.DUMMYFUNCTION("""COMPUTED_VALUE"""),3.09)</f>
        <v>3.09</v>
      </c>
      <c r="E1559" s="1">
        <f ca="1">IFERROR(__xludf.DUMMYFUNCTION("""COMPUTED_VALUE"""),3.11)</f>
        <v>3.11</v>
      </c>
      <c r="F1559" s="1">
        <f ca="1">IFERROR(__xludf.DUMMYFUNCTION("""COMPUTED_VALUE"""),1565000)</f>
        <v>1565000</v>
      </c>
      <c r="I1559" s="1"/>
    </row>
    <row r="1560" spans="1:9">
      <c r="A1560" s="3">
        <f ca="1">IFERROR(__xludf.DUMMYFUNCTION("""COMPUTED_VALUE"""),31474.6666666666)</f>
        <v>31474.666666666599</v>
      </c>
      <c r="B1560" s="1">
        <f ca="1">IFERROR(__xludf.DUMMYFUNCTION("""COMPUTED_VALUE"""),3.09)</f>
        <v>3.09</v>
      </c>
      <c r="C1560" s="1">
        <f ca="1">IFERROR(__xludf.DUMMYFUNCTION("""COMPUTED_VALUE"""),3.12)</f>
        <v>3.12</v>
      </c>
      <c r="D1560" s="1">
        <f ca="1">IFERROR(__xludf.DUMMYFUNCTION("""COMPUTED_VALUE"""),3.08)</f>
        <v>3.08</v>
      </c>
      <c r="E1560" s="1">
        <f ca="1">IFERROR(__xludf.DUMMYFUNCTION("""COMPUTED_VALUE"""),3.09)</f>
        <v>3.09</v>
      </c>
      <c r="F1560" s="1">
        <f ca="1">IFERROR(__xludf.DUMMYFUNCTION("""COMPUTED_VALUE"""),618800)</f>
        <v>618800</v>
      </c>
      <c r="I1560" s="1"/>
    </row>
    <row r="1561" spans="1:9">
      <c r="A1561" s="3">
        <f ca="1">IFERROR(__xludf.DUMMYFUNCTION("""COMPUTED_VALUE"""),31475.6666666666)</f>
        <v>31475.666666666599</v>
      </c>
      <c r="B1561" s="1">
        <f ca="1">IFERROR(__xludf.DUMMYFUNCTION("""COMPUTED_VALUE"""),3.09)</f>
        <v>3.09</v>
      </c>
      <c r="C1561" s="1">
        <f ca="1">IFERROR(__xludf.DUMMYFUNCTION("""COMPUTED_VALUE"""),3.13)</f>
        <v>3.13</v>
      </c>
      <c r="D1561" s="1">
        <f ca="1">IFERROR(__xludf.DUMMYFUNCTION("""COMPUTED_VALUE"""),3.08)</f>
        <v>3.08</v>
      </c>
      <c r="E1561" s="1">
        <f ca="1">IFERROR(__xludf.DUMMYFUNCTION("""COMPUTED_VALUE"""),3.09)</f>
        <v>3.09</v>
      </c>
      <c r="F1561" s="1">
        <f ca="1">IFERROR(__xludf.DUMMYFUNCTION("""COMPUTED_VALUE"""),921900)</f>
        <v>921900</v>
      </c>
      <c r="I1561" s="1"/>
    </row>
    <row r="1562" spans="1:9">
      <c r="A1562" s="3">
        <f ca="1">IFERROR(__xludf.DUMMYFUNCTION("""COMPUTED_VALUE"""),31476.6666666666)</f>
        <v>31476.666666666599</v>
      </c>
      <c r="B1562" s="1">
        <f ca="1">IFERROR(__xludf.DUMMYFUNCTION("""COMPUTED_VALUE"""),3.07)</f>
        <v>3.07</v>
      </c>
      <c r="C1562" s="1">
        <f ca="1">IFERROR(__xludf.DUMMYFUNCTION("""COMPUTED_VALUE"""),3.09)</f>
        <v>3.09</v>
      </c>
      <c r="D1562" s="1">
        <f ca="1">IFERROR(__xludf.DUMMYFUNCTION("""COMPUTED_VALUE"""),3.01)</f>
        <v>3.01</v>
      </c>
      <c r="E1562" s="1">
        <f ca="1">IFERROR(__xludf.DUMMYFUNCTION("""COMPUTED_VALUE"""),3.07)</f>
        <v>3.07</v>
      </c>
      <c r="F1562" s="1">
        <f ca="1">IFERROR(__xludf.DUMMYFUNCTION("""COMPUTED_VALUE"""),754900)</f>
        <v>754900</v>
      </c>
      <c r="I1562" s="1"/>
    </row>
    <row r="1563" spans="1:9">
      <c r="A1563" s="3">
        <f ca="1">IFERROR(__xludf.DUMMYFUNCTION("""COMPUTED_VALUE"""),31477.6666666666)</f>
        <v>31477.666666666599</v>
      </c>
      <c r="B1563" s="1">
        <f ca="1">IFERROR(__xludf.DUMMYFUNCTION("""COMPUTED_VALUE"""),3.07)</f>
        <v>3.07</v>
      </c>
      <c r="C1563" s="1">
        <f ca="1">IFERROR(__xludf.DUMMYFUNCTION("""COMPUTED_VALUE"""),3.1)</f>
        <v>3.1</v>
      </c>
      <c r="D1563" s="1">
        <f ca="1">IFERROR(__xludf.DUMMYFUNCTION("""COMPUTED_VALUE"""),3.05)</f>
        <v>3.05</v>
      </c>
      <c r="E1563" s="1">
        <f ca="1">IFERROR(__xludf.DUMMYFUNCTION("""COMPUTED_VALUE"""),3.07)</f>
        <v>3.07</v>
      </c>
      <c r="F1563" s="1">
        <f ca="1">IFERROR(__xludf.DUMMYFUNCTION("""COMPUTED_VALUE"""),573600)</f>
        <v>573600</v>
      </c>
      <c r="I1563" s="1"/>
    </row>
    <row r="1564" spans="1:9">
      <c r="A1564" s="3">
        <f ca="1">IFERROR(__xludf.DUMMYFUNCTION("""COMPUTED_VALUE"""),31478.6666666666)</f>
        <v>31478.666666666599</v>
      </c>
      <c r="B1564" s="1">
        <f ca="1">IFERROR(__xludf.DUMMYFUNCTION("""COMPUTED_VALUE"""),3.1)</f>
        <v>3.1</v>
      </c>
      <c r="C1564" s="1">
        <f ca="1">IFERROR(__xludf.DUMMYFUNCTION("""COMPUTED_VALUE"""),3.12)</f>
        <v>3.12</v>
      </c>
      <c r="D1564" s="1">
        <f ca="1">IFERROR(__xludf.DUMMYFUNCTION("""COMPUTED_VALUE"""),3.05)</f>
        <v>3.05</v>
      </c>
      <c r="E1564" s="1">
        <f ca="1">IFERROR(__xludf.DUMMYFUNCTION("""COMPUTED_VALUE"""),3.1)</f>
        <v>3.1</v>
      </c>
      <c r="F1564" s="1">
        <f ca="1">IFERROR(__xludf.DUMMYFUNCTION("""COMPUTED_VALUE"""),1004100)</f>
        <v>1004100</v>
      </c>
      <c r="I1564" s="1"/>
    </row>
    <row r="1565" spans="1:9">
      <c r="A1565" s="3">
        <f ca="1">IFERROR(__xludf.DUMMYFUNCTION("""COMPUTED_VALUE"""),31481.6666666666)</f>
        <v>31481.666666666599</v>
      </c>
      <c r="B1565" s="1">
        <f ca="1">IFERROR(__xludf.DUMMYFUNCTION("""COMPUTED_VALUE"""),3.14)</f>
        <v>3.14</v>
      </c>
      <c r="C1565" s="1">
        <f ca="1">IFERROR(__xludf.DUMMYFUNCTION("""COMPUTED_VALUE"""),3.16)</f>
        <v>3.16</v>
      </c>
      <c r="D1565" s="1">
        <f ca="1">IFERROR(__xludf.DUMMYFUNCTION("""COMPUTED_VALUE"""),3.09)</f>
        <v>3.09</v>
      </c>
      <c r="E1565" s="1">
        <f ca="1">IFERROR(__xludf.DUMMYFUNCTION("""COMPUTED_VALUE"""),3.14)</f>
        <v>3.14</v>
      </c>
      <c r="F1565" s="1">
        <f ca="1">IFERROR(__xludf.DUMMYFUNCTION("""COMPUTED_VALUE"""),753600)</f>
        <v>753600</v>
      </c>
      <c r="I1565" s="1"/>
    </row>
    <row r="1566" spans="1:9">
      <c r="A1566" s="3">
        <f ca="1">IFERROR(__xludf.DUMMYFUNCTION("""COMPUTED_VALUE"""),31482.6666666666)</f>
        <v>31482.666666666599</v>
      </c>
      <c r="B1566" s="1">
        <f ca="1">IFERROR(__xludf.DUMMYFUNCTION("""COMPUTED_VALUE"""),3.23)</f>
        <v>3.23</v>
      </c>
      <c r="C1566" s="1">
        <f ca="1">IFERROR(__xludf.DUMMYFUNCTION("""COMPUTED_VALUE"""),3.25)</f>
        <v>3.25</v>
      </c>
      <c r="D1566" s="1">
        <f ca="1">IFERROR(__xludf.DUMMYFUNCTION("""COMPUTED_VALUE"""),3.14)</f>
        <v>3.14</v>
      </c>
      <c r="E1566" s="1">
        <f ca="1">IFERROR(__xludf.DUMMYFUNCTION("""COMPUTED_VALUE"""),3.23)</f>
        <v>3.23</v>
      </c>
      <c r="F1566" s="1">
        <f ca="1">IFERROR(__xludf.DUMMYFUNCTION("""COMPUTED_VALUE"""),896600)</f>
        <v>896600</v>
      </c>
      <c r="I1566" s="1"/>
    </row>
    <row r="1567" spans="1:9">
      <c r="A1567" s="3">
        <f ca="1">IFERROR(__xludf.DUMMYFUNCTION("""COMPUTED_VALUE"""),31483.6666666666)</f>
        <v>31483.666666666599</v>
      </c>
      <c r="B1567" s="1">
        <f ca="1">IFERROR(__xludf.DUMMYFUNCTION("""COMPUTED_VALUE"""),3.22)</f>
        <v>3.22</v>
      </c>
      <c r="C1567" s="1">
        <f ca="1">IFERROR(__xludf.DUMMYFUNCTION("""COMPUTED_VALUE"""),3.27)</f>
        <v>3.27</v>
      </c>
      <c r="D1567" s="1">
        <f ca="1">IFERROR(__xludf.DUMMYFUNCTION("""COMPUTED_VALUE"""),3.21)</f>
        <v>3.21</v>
      </c>
      <c r="E1567" s="1">
        <f ca="1">IFERROR(__xludf.DUMMYFUNCTION("""COMPUTED_VALUE"""),3.22)</f>
        <v>3.22</v>
      </c>
      <c r="F1567" s="1">
        <f ca="1">IFERROR(__xludf.DUMMYFUNCTION("""COMPUTED_VALUE"""),711500)</f>
        <v>711500</v>
      </c>
      <c r="I1567" s="1"/>
    </row>
    <row r="1568" spans="1:9">
      <c r="A1568" s="3">
        <f ca="1">IFERROR(__xludf.DUMMYFUNCTION("""COMPUTED_VALUE"""),31484.6666666666)</f>
        <v>31484.666666666599</v>
      </c>
      <c r="B1568" s="1">
        <f ca="1">IFERROR(__xludf.DUMMYFUNCTION("""COMPUTED_VALUE"""),3.28)</f>
        <v>3.28</v>
      </c>
      <c r="C1568" s="1">
        <f ca="1">IFERROR(__xludf.DUMMYFUNCTION("""COMPUTED_VALUE"""),3.31)</f>
        <v>3.31</v>
      </c>
      <c r="D1568" s="1">
        <f ca="1">IFERROR(__xludf.DUMMYFUNCTION("""COMPUTED_VALUE"""),3.19)</f>
        <v>3.19</v>
      </c>
      <c r="E1568" s="1">
        <f ca="1">IFERROR(__xludf.DUMMYFUNCTION("""COMPUTED_VALUE"""),3.28)</f>
        <v>3.28</v>
      </c>
      <c r="F1568" s="1">
        <f ca="1">IFERROR(__xludf.DUMMYFUNCTION("""COMPUTED_VALUE"""),921900)</f>
        <v>921900</v>
      </c>
      <c r="I1568" s="1"/>
    </row>
    <row r="1569" spans="1:9">
      <c r="A1569" s="3">
        <f ca="1">IFERROR(__xludf.DUMMYFUNCTION("""COMPUTED_VALUE"""),31485.6666666666)</f>
        <v>31485.666666666599</v>
      </c>
      <c r="B1569" s="1">
        <f ca="1">IFERROR(__xludf.DUMMYFUNCTION("""COMPUTED_VALUE"""),3.38)</f>
        <v>3.38</v>
      </c>
      <c r="C1569" s="1">
        <f ca="1">IFERROR(__xludf.DUMMYFUNCTION("""COMPUTED_VALUE"""),3.38)</f>
        <v>3.38</v>
      </c>
      <c r="D1569" s="1">
        <f ca="1">IFERROR(__xludf.DUMMYFUNCTION("""COMPUTED_VALUE"""),3.27)</f>
        <v>3.27</v>
      </c>
      <c r="E1569" s="1">
        <f ca="1">IFERROR(__xludf.DUMMYFUNCTION("""COMPUTED_VALUE"""),3.38)</f>
        <v>3.38</v>
      </c>
      <c r="F1569" s="1">
        <f ca="1">IFERROR(__xludf.DUMMYFUNCTION("""COMPUTED_VALUE"""),1141500)</f>
        <v>1141500</v>
      </c>
      <c r="I1569" s="1"/>
    </row>
    <row r="1570" spans="1:9">
      <c r="A1570" s="3">
        <f ca="1">IFERROR(__xludf.DUMMYFUNCTION("""COMPUTED_VALUE"""),31488.6666666666)</f>
        <v>31488.666666666599</v>
      </c>
      <c r="B1570" s="1">
        <f ca="1">IFERROR(__xludf.DUMMYFUNCTION("""COMPUTED_VALUE"""),3.34)</f>
        <v>3.34</v>
      </c>
      <c r="C1570" s="1">
        <f ca="1">IFERROR(__xludf.DUMMYFUNCTION("""COMPUTED_VALUE"""),3.38)</f>
        <v>3.38</v>
      </c>
      <c r="D1570" s="1">
        <f ca="1">IFERROR(__xludf.DUMMYFUNCTION("""COMPUTED_VALUE"""),3.3)</f>
        <v>3.3</v>
      </c>
      <c r="E1570" s="1">
        <f ca="1">IFERROR(__xludf.DUMMYFUNCTION("""COMPUTED_VALUE"""),3.34)</f>
        <v>3.34</v>
      </c>
      <c r="F1570" s="1">
        <f ca="1">IFERROR(__xludf.DUMMYFUNCTION("""COMPUTED_VALUE"""),562100)</f>
        <v>562100</v>
      </c>
      <c r="I1570" s="1"/>
    </row>
    <row r="1571" spans="1:9">
      <c r="A1571" s="3">
        <f ca="1">IFERROR(__xludf.DUMMYFUNCTION("""COMPUTED_VALUE"""),31489.6666666666)</f>
        <v>31489.666666666599</v>
      </c>
      <c r="B1571" s="1">
        <f ca="1">IFERROR(__xludf.DUMMYFUNCTION("""COMPUTED_VALUE"""),3.31)</f>
        <v>3.31</v>
      </c>
      <c r="C1571" s="1">
        <f ca="1">IFERROR(__xludf.DUMMYFUNCTION("""COMPUTED_VALUE"""),3.34)</f>
        <v>3.34</v>
      </c>
      <c r="D1571" s="1">
        <f ca="1">IFERROR(__xludf.DUMMYFUNCTION("""COMPUTED_VALUE"""),3.3)</f>
        <v>3.3</v>
      </c>
      <c r="E1571" s="1">
        <f ca="1">IFERROR(__xludf.DUMMYFUNCTION("""COMPUTED_VALUE"""),3.31)</f>
        <v>3.31</v>
      </c>
      <c r="F1571" s="1">
        <f ca="1">IFERROR(__xludf.DUMMYFUNCTION("""COMPUTED_VALUE"""),571500)</f>
        <v>571500</v>
      </c>
      <c r="I1571" s="1"/>
    </row>
    <row r="1572" spans="1:9">
      <c r="A1572" s="3">
        <f ca="1">IFERROR(__xludf.DUMMYFUNCTION("""COMPUTED_VALUE"""),31490.6666666666)</f>
        <v>31490.666666666599</v>
      </c>
      <c r="B1572" s="1">
        <f ca="1">IFERROR(__xludf.DUMMYFUNCTION("""COMPUTED_VALUE"""),3.33)</f>
        <v>3.33</v>
      </c>
      <c r="C1572" s="1">
        <f ca="1">IFERROR(__xludf.DUMMYFUNCTION("""COMPUTED_VALUE"""),3.34)</f>
        <v>3.34</v>
      </c>
      <c r="D1572" s="1">
        <f ca="1">IFERROR(__xludf.DUMMYFUNCTION("""COMPUTED_VALUE"""),3.31)</f>
        <v>3.31</v>
      </c>
      <c r="E1572" s="1">
        <f ca="1">IFERROR(__xludf.DUMMYFUNCTION("""COMPUTED_VALUE"""),3.33)</f>
        <v>3.33</v>
      </c>
      <c r="F1572" s="1">
        <f ca="1">IFERROR(__xludf.DUMMYFUNCTION("""COMPUTED_VALUE"""),515000)</f>
        <v>515000</v>
      </c>
      <c r="I1572" s="1"/>
    </row>
    <row r="1573" spans="1:9">
      <c r="A1573" s="3">
        <f ca="1">IFERROR(__xludf.DUMMYFUNCTION("""COMPUTED_VALUE"""),31491.6666666666)</f>
        <v>31491.666666666599</v>
      </c>
      <c r="B1573" s="1">
        <f ca="1">IFERROR(__xludf.DUMMYFUNCTION("""COMPUTED_VALUE"""),3.38)</f>
        <v>3.38</v>
      </c>
      <c r="C1573" s="1">
        <f ca="1">IFERROR(__xludf.DUMMYFUNCTION("""COMPUTED_VALUE"""),3.38)</f>
        <v>3.38</v>
      </c>
      <c r="D1573" s="1">
        <f ca="1">IFERROR(__xludf.DUMMYFUNCTION("""COMPUTED_VALUE"""),3.34)</f>
        <v>3.34</v>
      </c>
      <c r="E1573" s="1">
        <f ca="1">IFERROR(__xludf.DUMMYFUNCTION("""COMPUTED_VALUE"""),3.38)</f>
        <v>3.38</v>
      </c>
      <c r="F1573" s="1">
        <f ca="1">IFERROR(__xludf.DUMMYFUNCTION("""COMPUTED_VALUE"""),612600)</f>
        <v>612600</v>
      </c>
      <c r="I1573" s="1"/>
    </row>
    <row r="1574" spans="1:9">
      <c r="A1574" s="3">
        <f ca="1">IFERROR(__xludf.DUMMYFUNCTION("""COMPUTED_VALUE"""),31492.6666666666)</f>
        <v>31492.666666666599</v>
      </c>
      <c r="B1574" s="1">
        <f ca="1">IFERROR(__xludf.DUMMYFUNCTION("""COMPUTED_VALUE"""),3.39)</f>
        <v>3.39</v>
      </c>
      <c r="C1574" s="1">
        <f ca="1">IFERROR(__xludf.DUMMYFUNCTION("""COMPUTED_VALUE"""),3.47)</f>
        <v>3.47</v>
      </c>
      <c r="D1574" s="1">
        <f ca="1">IFERROR(__xludf.DUMMYFUNCTION("""COMPUTED_VALUE"""),3.38)</f>
        <v>3.38</v>
      </c>
      <c r="E1574" s="1">
        <f ca="1">IFERROR(__xludf.DUMMYFUNCTION("""COMPUTED_VALUE"""),3.39)</f>
        <v>3.39</v>
      </c>
      <c r="F1574" s="1">
        <f ca="1">IFERROR(__xludf.DUMMYFUNCTION("""COMPUTED_VALUE"""),2223300)</f>
        <v>2223300</v>
      </c>
      <c r="I1574" s="1"/>
    </row>
    <row r="1575" spans="1:9">
      <c r="A1575" s="3">
        <f ca="1">IFERROR(__xludf.DUMMYFUNCTION("""COMPUTED_VALUE"""),31495.6666666666)</f>
        <v>31495.666666666599</v>
      </c>
      <c r="B1575" s="1">
        <f ca="1">IFERROR(__xludf.DUMMYFUNCTION("""COMPUTED_VALUE"""),3.45)</f>
        <v>3.45</v>
      </c>
      <c r="C1575" s="1">
        <f ca="1">IFERROR(__xludf.DUMMYFUNCTION("""COMPUTED_VALUE"""),3.45)</f>
        <v>3.45</v>
      </c>
      <c r="D1575" s="1">
        <f ca="1">IFERROR(__xludf.DUMMYFUNCTION("""COMPUTED_VALUE"""),3.41)</f>
        <v>3.41</v>
      </c>
      <c r="E1575" s="1">
        <f ca="1">IFERROR(__xludf.DUMMYFUNCTION("""COMPUTED_VALUE"""),3.45)</f>
        <v>3.45</v>
      </c>
      <c r="F1575" s="1">
        <f ca="1">IFERROR(__xludf.DUMMYFUNCTION("""COMPUTED_VALUE"""),744500)</f>
        <v>744500</v>
      </c>
      <c r="I1575" s="1"/>
    </row>
    <row r="1576" spans="1:9">
      <c r="A1576" s="3">
        <f ca="1">IFERROR(__xludf.DUMMYFUNCTION("""COMPUTED_VALUE"""),31496.6666666666)</f>
        <v>31496.666666666599</v>
      </c>
      <c r="B1576" s="1">
        <f ca="1">IFERROR(__xludf.DUMMYFUNCTION("""COMPUTED_VALUE"""),3.5)</f>
        <v>3.5</v>
      </c>
      <c r="C1576" s="1">
        <f ca="1">IFERROR(__xludf.DUMMYFUNCTION("""COMPUTED_VALUE"""),3.51)</f>
        <v>3.51</v>
      </c>
      <c r="D1576" s="1">
        <f ca="1">IFERROR(__xludf.DUMMYFUNCTION("""COMPUTED_VALUE"""),3.43)</f>
        <v>3.43</v>
      </c>
      <c r="E1576" s="1">
        <f ca="1">IFERROR(__xludf.DUMMYFUNCTION("""COMPUTED_VALUE"""),3.5)</f>
        <v>3.5</v>
      </c>
      <c r="F1576" s="1">
        <f ca="1">IFERROR(__xludf.DUMMYFUNCTION("""COMPUTED_VALUE"""),1254300)</f>
        <v>1254300</v>
      </c>
      <c r="I1576" s="1"/>
    </row>
    <row r="1577" spans="1:9">
      <c r="A1577" s="3">
        <f ca="1">IFERROR(__xludf.DUMMYFUNCTION("""COMPUTED_VALUE"""),31497.6666666666)</f>
        <v>31497.666666666599</v>
      </c>
      <c r="B1577" s="1">
        <f ca="1">IFERROR(__xludf.DUMMYFUNCTION("""COMPUTED_VALUE"""),3.56)</f>
        <v>3.56</v>
      </c>
      <c r="C1577" s="1">
        <f ca="1">IFERROR(__xludf.DUMMYFUNCTION("""COMPUTED_VALUE"""),3.56)</f>
        <v>3.56</v>
      </c>
      <c r="D1577" s="1">
        <f ca="1">IFERROR(__xludf.DUMMYFUNCTION("""COMPUTED_VALUE"""),3.48)</f>
        <v>3.48</v>
      </c>
      <c r="E1577" s="1">
        <f ca="1">IFERROR(__xludf.DUMMYFUNCTION("""COMPUTED_VALUE"""),3.56)</f>
        <v>3.56</v>
      </c>
      <c r="F1577" s="1">
        <f ca="1">IFERROR(__xludf.DUMMYFUNCTION("""COMPUTED_VALUE"""),799000)</f>
        <v>799000</v>
      </c>
      <c r="I1577" s="1"/>
    </row>
    <row r="1578" spans="1:9">
      <c r="A1578" s="3">
        <f ca="1">IFERROR(__xludf.DUMMYFUNCTION("""COMPUTED_VALUE"""),31498.6666666666)</f>
        <v>31498.666666666599</v>
      </c>
      <c r="B1578" s="1">
        <f ca="1">IFERROR(__xludf.DUMMYFUNCTION("""COMPUTED_VALUE"""),3.58)</f>
        <v>3.58</v>
      </c>
      <c r="C1578" s="1">
        <f ca="1">IFERROR(__xludf.DUMMYFUNCTION("""COMPUTED_VALUE"""),3.66)</f>
        <v>3.66</v>
      </c>
      <c r="D1578" s="1">
        <f ca="1">IFERROR(__xludf.DUMMYFUNCTION("""COMPUTED_VALUE"""),3.58)</f>
        <v>3.58</v>
      </c>
      <c r="E1578" s="1">
        <f ca="1">IFERROR(__xludf.DUMMYFUNCTION("""COMPUTED_VALUE"""),3.58)</f>
        <v>3.58</v>
      </c>
      <c r="F1578" s="1">
        <f ca="1">IFERROR(__xludf.DUMMYFUNCTION("""COMPUTED_VALUE"""),979200)</f>
        <v>979200</v>
      </c>
      <c r="I1578" s="1"/>
    </row>
    <row r="1579" spans="1:9">
      <c r="A1579" s="3">
        <f ca="1">IFERROR(__xludf.DUMMYFUNCTION("""COMPUTED_VALUE"""),31502.6666666666)</f>
        <v>31502.666666666599</v>
      </c>
      <c r="B1579" s="1">
        <f ca="1">IFERROR(__xludf.DUMMYFUNCTION("""COMPUTED_VALUE"""),3.59)</f>
        <v>3.59</v>
      </c>
      <c r="C1579" s="1">
        <f ca="1">IFERROR(__xludf.DUMMYFUNCTION("""COMPUTED_VALUE"""),3.62)</f>
        <v>3.62</v>
      </c>
      <c r="D1579" s="1">
        <f ca="1">IFERROR(__xludf.DUMMYFUNCTION("""COMPUTED_VALUE"""),3.57)</f>
        <v>3.57</v>
      </c>
      <c r="E1579" s="1">
        <f ca="1">IFERROR(__xludf.DUMMYFUNCTION("""COMPUTED_VALUE"""),3.59)</f>
        <v>3.59</v>
      </c>
      <c r="F1579" s="1">
        <f ca="1">IFERROR(__xludf.DUMMYFUNCTION("""COMPUTED_VALUE"""),624500)</f>
        <v>624500</v>
      </c>
      <c r="I1579" s="1"/>
    </row>
    <row r="1580" spans="1:9">
      <c r="A1580" s="3">
        <f ca="1">IFERROR(__xludf.DUMMYFUNCTION("""COMPUTED_VALUE"""),31503.6666666666)</f>
        <v>31503.666666666599</v>
      </c>
      <c r="B1580" s="1">
        <f ca="1">IFERROR(__xludf.DUMMYFUNCTION("""COMPUTED_VALUE"""),3.48)</f>
        <v>3.48</v>
      </c>
      <c r="C1580" s="1">
        <f ca="1">IFERROR(__xludf.DUMMYFUNCTION("""COMPUTED_VALUE"""),3.63)</f>
        <v>3.63</v>
      </c>
      <c r="D1580" s="1">
        <f ca="1">IFERROR(__xludf.DUMMYFUNCTION("""COMPUTED_VALUE"""),3.48)</f>
        <v>3.48</v>
      </c>
      <c r="E1580" s="1">
        <f ca="1">IFERROR(__xludf.DUMMYFUNCTION("""COMPUTED_VALUE"""),3.48)</f>
        <v>3.48</v>
      </c>
      <c r="F1580" s="1">
        <f ca="1">IFERROR(__xludf.DUMMYFUNCTION("""COMPUTED_VALUE"""),715700)</f>
        <v>715700</v>
      </c>
      <c r="I1580" s="1"/>
    </row>
    <row r="1581" spans="1:9">
      <c r="A1581" s="3">
        <f ca="1">IFERROR(__xludf.DUMMYFUNCTION("""COMPUTED_VALUE"""),31504.6666666666)</f>
        <v>31504.666666666599</v>
      </c>
      <c r="B1581" s="1">
        <f ca="1">IFERROR(__xludf.DUMMYFUNCTION("""COMPUTED_VALUE"""),3.53)</f>
        <v>3.53</v>
      </c>
      <c r="C1581" s="1">
        <f ca="1">IFERROR(__xludf.DUMMYFUNCTION("""COMPUTED_VALUE"""),3.53)</f>
        <v>3.53</v>
      </c>
      <c r="D1581" s="1">
        <f ca="1">IFERROR(__xludf.DUMMYFUNCTION("""COMPUTED_VALUE"""),3.47)</f>
        <v>3.47</v>
      </c>
      <c r="E1581" s="1">
        <f ca="1">IFERROR(__xludf.DUMMYFUNCTION("""COMPUTED_VALUE"""),3.53)</f>
        <v>3.53</v>
      </c>
      <c r="F1581" s="1">
        <f ca="1">IFERROR(__xludf.DUMMYFUNCTION("""COMPUTED_VALUE"""),644100)</f>
        <v>644100</v>
      </c>
      <c r="I1581" s="1"/>
    </row>
    <row r="1582" spans="1:9">
      <c r="A1582" s="3">
        <f ca="1">IFERROR(__xludf.DUMMYFUNCTION("""COMPUTED_VALUE"""),31505.6666666666)</f>
        <v>31505.666666666599</v>
      </c>
      <c r="B1582" s="1">
        <f ca="1">IFERROR(__xludf.DUMMYFUNCTION("""COMPUTED_VALUE"""),3.49)</f>
        <v>3.49</v>
      </c>
      <c r="C1582" s="1">
        <f ca="1">IFERROR(__xludf.DUMMYFUNCTION("""COMPUTED_VALUE"""),3.54)</f>
        <v>3.54</v>
      </c>
      <c r="D1582" s="1">
        <f ca="1">IFERROR(__xludf.DUMMYFUNCTION("""COMPUTED_VALUE"""),3.45)</f>
        <v>3.45</v>
      </c>
      <c r="E1582" s="1">
        <f ca="1">IFERROR(__xludf.DUMMYFUNCTION("""COMPUTED_VALUE"""),3.49)</f>
        <v>3.49</v>
      </c>
      <c r="F1582" s="1">
        <f ca="1">IFERROR(__xludf.DUMMYFUNCTION("""COMPUTED_VALUE"""),549000)</f>
        <v>549000</v>
      </c>
      <c r="I1582" s="1"/>
    </row>
    <row r="1583" spans="1:9">
      <c r="A1583" s="3">
        <f ca="1">IFERROR(__xludf.DUMMYFUNCTION("""COMPUTED_VALUE"""),31506.6666666666)</f>
        <v>31506.666666666599</v>
      </c>
      <c r="B1583" s="1">
        <f ca="1">IFERROR(__xludf.DUMMYFUNCTION("""COMPUTED_VALUE"""),3.34)</f>
        <v>3.34</v>
      </c>
      <c r="C1583" s="1">
        <f ca="1">IFERROR(__xludf.DUMMYFUNCTION("""COMPUTED_VALUE"""),3.49)</f>
        <v>3.49</v>
      </c>
      <c r="D1583" s="1">
        <f ca="1">IFERROR(__xludf.DUMMYFUNCTION("""COMPUTED_VALUE"""),3.31)</f>
        <v>3.31</v>
      </c>
      <c r="E1583" s="1">
        <f ca="1">IFERROR(__xludf.DUMMYFUNCTION("""COMPUTED_VALUE"""),3.34)</f>
        <v>3.34</v>
      </c>
      <c r="F1583" s="1">
        <f ca="1">IFERROR(__xludf.DUMMYFUNCTION("""COMPUTED_VALUE"""),716400)</f>
        <v>716400</v>
      </c>
      <c r="I1583" s="1"/>
    </row>
    <row r="1584" spans="1:9">
      <c r="A1584" s="3">
        <f ca="1">IFERROR(__xludf.DUMMYFUNCTION("""COMPUTED_VALUE"""),31509.6666666666)</f>
        <v>31509.666666666599</v>
      </c>
      <c r="B1584" s="1">
        <f ca="1">IFERROR(__xludf.DUMMYFUNCTION("""COMPUTED_VALUE"""),3.37)</f>
        <v>3.37</v>
      </c>
      <c r="C1584" s="1">
        <f ca="1">IFERROR(__xludf.DUMMYFUNCTION("""COMPUTED_VALUE"""),3.39)</f>
        <v>3.39</v>
      </c>
      <c r="D1584" s="1">
        <f ca="1">IFERROR(__xludf.DUMMYFUNCTION("""COMPUTED_VALUE"""),3.3)</f>
        <v>3.3</v>
      </c>
      <c r="E1584" s="1">
        <f ca="1">IFERROR(__xludf.DUMMYFUNCTION("""COMPUTED_VALUE"""),3.37)</f>
        <v>3.37</v>
      </c>
      <c r="F1584" s="1">
        <f ca="1">IFERROR(__xludf.DUMMYFUNCTION("""COMPUTED_VALUE"""),467300)</f>
        <v>467300</v>
      </c>
      <c r="I1584" s="1"/>
    </row>
    <row r="1585" spans="1:9">
      <c r="A1585" s="3">
        <f ca="1">IFERROR(__xludf.DUMMYFUNCTION("""COMPUTED_VALUE"""),31510.6666666666)</f>
        <v>31510.666666666599</v>
      </c>
      <c r="B1585" s="1">
        <f ca="1">IFERROR(__xludf.DUMMYFUNCTION("""COMPUTED_VALUE"""),3.48)</f>
        <v>3.48</v>
      </c>
      <c r="C1585" s="1">
        <f ca="1">IFERROR(__xludf.DUMMYFUNCTION("""COMPUTED_VALUE"""),3.51)</f>
        <v>3.51</v>
      </c>
      <c r="D1585" s="1">
        <f ca="1">IFERROR(__xludf.DUMMYFUNCTION("""COMPUTED_VALUE"""),3.42)</f>
        <v>3.42</v>
      </c>
      <c r="E1585" s="1">
        <f ca="1">IFERROR(__xludf.DUMMYFUNCTION("""COMPUTED_VALUE"""),3.48)</f>
        <v>3.48</v>
      </c>
      <c r="F1585" s="1">
        <f ca="1">IFERROR(__xludf.DUMMYFUNCTION("""COMPUTED_VALUE"""),792300)</f>
        <v>792300</v>
      </c>
      <c r="I1585" s="1"/>
    </row>
    <row r="1586" spans="1:9">
      <c r="A1586" s="3">
        <f ca="1">IFERROR(__xludf.DUMMYFUNCTION("""COMPUTED_VALUE"""),31511.6666666666)</f>
        <v>31511.666666666599</v>
      </c>
      <c r="B1586" s="1">
        <f ca="1">IFERROR(__xludf.DUMMYFUNCTION("""COMPUTED_VALUE"""),3.65)</f>
        <v>3.65</v>
      </c>
      <c r="C1586" s="1">
        <f ca="1">IFERROR(__xludf.DUMMYFUNCTION("""COMPUTED_VALUE"""),3.75)</f>
        <v>3.75</v>
      </c>
      <c r="D1586" s="1">
        <f ca="1">IFERROR(__xludf.DUMMYFUNCTION("""COMPUTED_VALUE"""),3.62)</f>
        <v>3.62</v>
      </c>
      <c r="E1586" s="1">
        <f ca="1">IFERROR(__xludf.DUMMYFUNCTION("""COMPUTED_VALUE"""),3.65)</f>
        <v>3.65</v>
      </c>
      <c r="F1586" s="1">
        <f ca="1">IFERROR(__xludf.DUMMYFUNCTION("""COMPUTED_VALUE"""),2288600)</f>
        <v>2288600</v>
      </c>
      <c r="I1586" s="1"/>
    </row>
    <row r="1587" spans="1:9">
      <c r="A1587" s="3">
        <f ca="1">IFERROR(__xludf.DUMMYFUNCTION("""COMPUTED_VALUE"""),31512.6666666666)</f>
        <v>31512.666666666599</v>
      </c>
      <c r="B1587" s="1">
        <f ca="1">IFERROR(__xludf.DUMMYFUNCTION("""COMPUTED_VALUE"""),3.84)</f>
        <v>3.84</v>
      </c>
      <c r="C1587" s="1">
        <f ca="1">IFERROR(__xludf.DUMMYFUNCTION("""COMPUTED_VALUE"""),3.88)</f>
        <v>3.88</v>
      </c>
      <c r="D1587" s="1">
        <f ca="1">IFERROR(__xludf.DUMMYFUNCTION("""COMPUTED_VALUE"""),3.73)</f>
        <v>3.73</v>
      </c>
      <c r="E1587" s="1">
        <f ca="1">IFERROR(__xludf.DUMMYFUNCTION("""COMPUTED_VALUE"""),3.84)</f>
        <v>3.84</v>
      </c>
      <c r="F1587" s="1">
        <f ca="1">IFERROR(__xludf.DUMMYFUNCTION("""COMPUTED_VALUE"""),2343400)</f>
        <v>2343400</v>
      </c>
      <c r="I1587" s="1"/>
    </row>
    <row r="1588" spans="1:9">
      <c r="A1588" s="3">
        <f ca="1">IFERROR(__xludf.DUMMYFUNCTION("""COMPUTED_VALUE"""),31513.6666666666)</f>
        <v>31513.666666666599</v>
      </c>
      <c r="B1588" s="1">
        <f ca="1">IFERROR(__xludf.DUMMYFUNCTION("""COMPUTED_VALUE"""),3.88)</f>
        <v>3.88</v>
      </c>
      <c r="C1588" s="1">
        <f ca="1">IFERROR(__xludf.DUMMYFUNCTION("""COMPUTED_VALUE"""),3.97)</f>
        <v>3.97</v>
      </c>
      <c r="D1588" s="1">
        <f ca="1">IFERROR(__xludf.DUMMYFUNCTION("""COMPUTED_VALUE"""),3.84)</f>
        <v>3.84</v>
      </c>
      <c r="E1588" s="1">
        <f ca="1">IFERROR(__xludf.DUMMYFUNCTION("""COMPUTED_VALUE"""),3.88)</f>
        <v>3.88</v>
      </c>
      <c r="F1588" s="1">
        <f ca="1">IFERROR(__xludf.DUMMYFUNCTION("""COMPUTED_VALUE"""),1689400)</f>
        <v>1689400</v>
      </c>
      <c r="I1588" s="1"/>
    </row>
    <row r="1589" spans="1:9">
      <c r="A1589" s="3">
        <f ca="1">IFERROR(__xludf.DUMMYFUNCTION("""COMPUTED_VALUE"""),31516.6666666666)</f>
        <v>31516.666666666599</v>
      </c>
      <c r="B1589" s="1">
        <f ca="1">IFERROR(__xludf.DUMMYFUNCTION("""COMPUTED_VALUE"""),3.84)</f>
        <v>3.84</v>
      </c>
      <c r="C1589" s="1">
        <f ca="1">IFERROR(__xludf.DUMMYFUNCTION("""COMPUTED_VALUE"""),3.9)</f>
        <v>3.9</v>
      </c>
      <c r="D1589" s="1">
        <f ca="1">IFERROR(__xludf.DUMMYFUNCTION("""COMPUTED_VALUE"""),3.84)</f>
        <v>3.84</v>
      </c>
      <c r="E1589" s="1">
        <f ca="1">IFERROR(__xludf.DUMMYFUNCTION("""COMPUTED_VALUE"""),3.84)</f>
        <v>3.84</v>
      </c>
      <c r="F1589" s="1">
        <f ca="1">IFERROR(__xludf.DUMMYFUNCTION("""COMPUTED_VALUE"""),667700)</f>
        <v>667700</v>
      </c>
      <c r="I1589" s="1"/>
    </row>
    <row r="1590" spans="1:9">
      <c r="A1590" s="3">
        <f ca="1">IFERROR(__xludf.DUMMYFUNCTION("""COMPUTED_VALUE"""),31517.6666666666)</f>
        <v>31517.666666666599</v>
      </c>
      <c r="B1590" s="1">
        <f ca="1">IFERROR(__xludf.DUMMYFUNCTION("""COMPUTED_VALUE"""),3.82)</f>
        <v>3.82</v>
      </c>
      <c r="C1590" s="1">
        <f ca="1">IFERROR(__xludf.DUMMYFUNCTION("""COMPUTED_VALUE"""),3.84)</f>
        <v>3.84</v>
      </c>
      <c r="D1590" s="1">
        <f ca="1">IFERROR(__xludf.DUMMYFUNCTION("""COMPUTED_VALUE"""),3.8)</f>
        <v>3.8</v>
      </c>
      <c r="E1590" s="1">
        <f ca="1">IFERROR(__xludf.DUMMYFUNCTION("""COMPUTED_VALUE"""),3.82)</f>
        <v>3.82</v>
      </c>
      <c r="F1590" s="1">
        <f ca="1">IFERROR(__xludf.DUMMYFUNCTION("""COMPUTED_VALUE"""),633400)</f>
        <v>633400</v>
      </c>
      <c r="I1590" s="1"/>
    </row>
    <row r="1591" spans="1:9">
      <c r="A1591" s="3">
        <f ca="1">IFERROR(__xludf.DUMMYFUNCTION("""COMPUTED_VALUE"""),31518.6666666666)</f>
        <v>31518.666666666599</v>
      </c>
      <c r="B1591" s="1">
        <f ca="1">IFERROR(__xludf.DUMMYFUNCTION("""COMPUTED_VALUE"""),3.91)</f>
        <v>3.91</v>
      </c>
      <c r="C1591" s="1">
        <f ca="1">IFERROR(__xludf.DUMMYFUNCTION("""COMPUTED_VALUE"""),3.94)</f>
        <v>3.94</v>
      </c>
      <c r="D1591" s="1">
        <f ca="1">IFERROR(__xludf.DUMMYFUNCTION("""COMPUTED_VALUE"""),3.85)</f>
        <v>3.85</v>
      </c>
      <c r="E1591" s="1">
        <f ca="1">IFERROR(__xludf.DUMMYFUNCTION("""COMPUTED_VALUE"""),3.91)</f>
        <v>3.91</v>
      </c>
      <c r="F1591" s="1">
        <f ca="1">IFERROR(__xludf.DUMMYFUNCTION("""COMPUTED_VALUE"""),1097500)</f>
        <v>1097500</v>
      </c>
      <c r="I1591" s="1"/>
    </row>
    <row r="1592" spans="1:9">
      <c r="A1592" s="3">
        <f ca="1">IFERROR(__xludf.DUMMYFUNCTION("""COMPUTED_VALUE"""),31519.6666666666)</f>
        <v>31519.666666666599</v>
      </c>
      <c r="B1592" s="1">
        <f ca="1">IFERROR(__xludf.DUMMYFUNCTION("""COMPUTED_VALUE"""),4.03)</f>
        <v>4.03</v>
      </c>
      <c r="C1592" s="1">
        <f ca="1">IFERROR(__xludf.DUMMYFUNCTION("""COMPUTED_VALUE"""),4.09)</f>
        <v>4.09</v>
      </c>
      <c r="D1592" s="1">
        <f ca="1">IFERROR(__xludf.DUMMYFUNCTION("""COMPUTED_VALUE"""),3.95)</f>
        <v>3.95</v>
      </c>
      <c r="E1592" s="1">
        <f ca="1">IFERROR(__xludf.DUMMYFUNCTION("""COMPUTED_VALUE"""),4.03)</f>
        <v>4.03</v>
      </c>
      <c r="F1592" s="1">
        <f ca="1">IFERROR(__xludf.DUMMYFUNCTION("""COMPUTED_VALUE"""),1224700)</f>
        <v>1224700</v>
      </c>
      <c r="I1592" s="1"/>
    </row>
    <row r="1593" spans="1:9">
      <c r="A1593" s="3">
        <f ca="1">IFERROR(__xludf.DUMMYFUNCTION("""COMPUTED_VALUE"""),31520.6666666666)</f>
        <v>31520.666666666599</v>
      </c>
      <c r="B1593" s="1">
        <f ca="1">IFERROR(__xludf.DUMMYFUNCTION("""COMPUTED_VALUE"""),4.1)</f>
        <v>4.0999999999999996</v>
      </c>
      <c r="C1593" s="1">
        <f ca="1">IFERROR(__xludf.DUMMYFUNCTION("""COMPUTED_VALUE"""),4.16)</f>
        <v>4.16</v>
      </c>
      <c r="D1593" s="1">
        <f ca="1">IFERROR(__xludf.DUMMYFUNCTION("""COMPUTED_VALUE"""),4.03)</f>
        <v>4.03</v>
      </c>
      <c r="E1593" s="1">
        <f ca="1">IFERROR(__xludf.DUMMYFUNCTION("""COMPUTED_VALUE"""),4.1)</f>
        <v>4.0999999999999996</v>
      </c>
      <c r="F1593" s="1">
        <f ca="1">IFERROR(__xludf.DUMMYFUNCTION("""COMPUTED_VALUE"""),1226000)</f>
        <v>1226000</v>
      </c>
      <c r="I1593" s="1"/>
    </row>
    <row r="1594" spans="1:9">
      <c r="A1594" s="3">
        <f ca="1">IFERROR(__xludf.DUMMYFUNCTION("""COMPUTED_VALUE"""),31523.6666666666)</f>
        <v>31523.666666666599</v>
      </c>
      <c r="B1594" s="1">
        <f ca="1">IFERROR(__xludf.DUMMYFUNCTION("""COMPUTED_VALUE"""),4.17)</f>
        <v>4.17</v>
      </c>
      <c r="C1594" s="1">
        <f ca="1">IFERROR(__xludf.DUMMYFUNCTION("""COMPUTED_VALUE"""),4.17)</f>
        <v>4.17</v>
      </c>
      <c r="D1594" s="1">
        <f ca="1">IFERROR(__xludf.DUMMYFUNCTION("""COMPUTED_VALUE"""),4.06)</f>
        <v>4.0599999999999996</v>
      </c>
      <c r="E1594" s="1">
        <f ca="1">IFERROR(__xludf.DUMMYFUNCTION("""COMPUTED_VALUE"""),4.17)</f>
        <v>4.17</v>
      </c>
      <c r="F1594" s="1">
        <f ca="1">IFERROR(__xludf.DUMMYFUNCTION("""COMPUTED_VALUE"""),534600)</f>
        <v>534600</v>
      </c>
      <c r="I1594" s="1"/>
    </row>
    <row r="1595" spans="1:9">
      <c r="A1595" s="3">
        <f ca="1">IFERROR(__xludf.DUMMYFUNCTION("""COMPUTED_VALUE"""),31524.6666666666)</f>
        <v>31524.666666666599</v>
      </c>
      <c r="B1595" s="1">
        <f ca="1">IFERROR(__xludf.DUMMYFUNCTION("""COMPUTED_VALUE"""),4.22)</f>
        <v>4.22</v>
      </c>
      <c r="C1595" s="1">
        <f ca="1">IFERROR(__xludf.DUMMYFUNCTION("""COMPUTED_VALUE"""),4.27)</f>
        <v>4.2699999999999996</v>
      </c>
      <c r="D1595" s="1">
        <f ca="1">IFERROR(__xludf.DUMMYFUNCTION("""COMPUTED_VALUE"""),4.19)</f>
        <v>4.1900000000000004</v>
      </c>
      <c r="E1595" s="1">
        <f ca="1">IFERROR(__xludf.DUMMYFUNCTION("""COMPUTED_VALUE"""),4.22)</f>
        <v>4.22</v>
      </c>
      <c r="F1595" s="1">
        <f ca="1">IFERROR(__xludf.DUMMYFUNCTION("""COMPUTED_VALUE"""),605400)</f>
        <v>605400</v>
      </c>
      <c r="I1595" s="1"/>
    </row>
    <row r="1596" spans="1:9">
      <c r="A1596" s="3">
        <f ca="1">IFERROR(__xludf.DUMMYFUNCTION("""COMPUTED_VALUE"""),31525.6666666666)</f>
        <v>31525.666666666599</v>
      </c>
      <c r="B1596" s="1">
        <f ca="1">IFERROR(__xludf.DUMMYFUNCTION("""COMPUTED_VALUE"""),4.16)</f>
        <v>4.16</v>
      </c>
      <c r="C1596" s="1">
        <f ca="1">IFERROR(__xludf.DUMMYFUNCTION("""COMPUTED_VALUE"""),4.19)</f>
        <v>4.1900000000000004</v>
      </c>
      <c r="D1596" s="1">
        <f ca="1">IFERROR(__xludf.DUMMYFUNCTION("""COMPUTED_VALUE"""),4.11)</f>
        <v>4.1100000000000003</v>
      </c>
      <c r="E1596" s="1">
        <f ca="1">IFERROR(__xludf.DUMMYFUNCTION("""COMPUTED_VALUE"""),4.16)</f>
        <v>4.16</v>
      </c>
      <c r="F1596" s="1">
        <f ca="1">IFERROR(__xludf.DUMMYFUNCTION("""COMPUTED_VALUE"""),694400)</f>
        <v>694400</v>
      </c>
      <c r="I1596" s="1"/>
    </row>
    <row r="1597" spans="1:9">
      <c r="A1597" s="3">
        <f ca="1">IFERROR(__xludf.DUMMYFUNCTION("""COMPUTED_VALUE"""),31526.6666666666)</f>
        <v>31526.666666666599</v>
      </c>
      <c r="B1597" s="1">
        <f ca="1">IFERROR(__xludf.DUMMYFUNCTION("""COMPUTED_VALUE"""),4.27)</f>
        <v>4.2699999999999996</v>
      </c>
      <c r="C1597" s="1">
        <f ca="1">IFERROR(__xludf.DUMMYFUNCTION("""COMPUTED_VALUE"""),4.3)</f>
        <v>4.3</v>
      </c>
      <c r="D1597" s="1">
        <f ca="1">IFERROR(__xludf.DUMMYFUNCTION("""COMPUTED_VALUE"""),4.13)</f>
        <v>4.13</v>
      </c>
      <c r="E1597" s="1">
        <f ca="1">IFERROR(__xludf.DUMMYFUNCTION("""COMPUTED_VALUE"""),4.27)</f>
        <v>4.2699999999999996</v>
      </c>
      <c r="F1597" s="1">
        <f ca="1">IFERROR(__xludf.DUMMYFUNCTION("""COMPUTED_VALUE"""),963200)</f>
        <v>963200</v>
      </c>
      <c r="I1597" s="1"/>
    </row>
    <row r="1598" spans="1:9">
      <c r="A1598" s="3">
        <f ca="1">IFERROR(__xludf.DUMMYFUNCTION("""COMPUTED_VALUE"""),31527.6666666666)</f>
        <v>31527.666666666599</v>
      </c>
      <c r="B1598" s="1">
        <f ca="1">IFERROR(__xludf.DUMMYFUNCTION("""COMPUTED_VALUE"""),4.29)</f>
        <v>4.29</v>
      </c>
      <c r="C1598" s="1">
        <f ca="1">IFERROR(__xludf.DUMMYFUNCTION("""COMPUTED_VALUE"""),4.34)</f>
        <v>4.34</v>
      </c>
      <c r="D1598" s="1">
        <f ca="1">IFERROR(__xludf.DUMMYFUNCTION("""COMPUTED_VALUE"""),4.25)</f>
        <v>4.25</v>
      </c>
      <c r="E1598" s="1">
        <f ca="1">IFERROR(__xludf.DUMMYFUNCTION("""COMPUTED_VALUE"""),4.29)</f>
        <v>4.29</v>
      </c>
      <c r="F1598" s="1">
        <f ca="1">IFERROR(__xludf.DUMMYFUNCTION("""COMPUTED_VALUE"""),540400)</f>
        <v>540400</v>
      </c>
      <c r="I1598" s="1"/>
    </row>
    <row r="1599" spans="1:9">
      <c r="A1599" s="3">
        <f ca="1">IFERROR(__xludf.DUMMYFUNCTION("""COMPUTED_VALUE"""),31530.6666666666)</f>
        <v>31530.666666666599</v>
      </c>
      <c r="B1599" s="1">
        <f ca="1">IFERROR(__xludf.DUMMYFUNCTION("""COMPUTED_VALUE"""),4.27)</f>
        <v>4.2699999999999996</v>
      </c>
      <c r="C1599" s="1">
        <f ca="1">IFERROR(__xludf.DUMMYFUNCTION("""COMPUTED_VALUE"""),4.3)</f>
        <v>4.3</v>
      </c>
      <c r="D1599" s="1">
        <f ca="1">IFERROR(__xludf.DUMMYFUNCTION("""COMPUTED_VALUE"""),4.24)</f>
        <v>4.24</v>
      </c>
      <c r="E1599" s="1">
        <f ca="1">IFERROR(__xludf.DUMMYFUNCTION("""COMPUTED_VALUE"""),4.27)</f>
        <v>4.2699999999999996</v>
      </c>
      <c r="F1599" s="1">
        <f ca="1">IFERROR(__xludf.DUMMYFUNCTION("""COMPUTED_VALUE"""),453900)</f>
        <v>453900</v>
      </c>
      <c r="I1599" s="1"/>
    </row>
    <row r="1600" spans="1:9">
      <c r="A1600" s="3">
        <f ca="1">IFERROR(__xludf.DUMMYFUNCTION("""COMPUTED_VALUE"""),31531.6666666666)</f>
        <v>31531.666666666599</v>
      </c>
      <c r="B1600" s="1">
        <f ca="1">IFERROR(__xludf.DUMMYFUNCTION("""COMPUTED_VALUE"""),4.2)</f>
        <v>4.2</v>
      </c>
      <c r="C1600" s="1">
        <f ca="1">IFERROR(__xludf.DUMMYFUNCTION("""COMPUTED_VALUE"""),4.27)</f>
        <v>4.2699999999999996</v>
      </c>
      <c r="D1600" s="1">
        <f ca="1">IFERROR(__xludf.DUMMYFUNCTION("""COMPUTED_VALUE"""),4.16)</f>
        <v>4.16</v>
      </c>
      <c r="E1600" s="1">
        <f ca="1">IFERROR(__xludf.DUMMYFUNCTION("""COMPUTED_VALUE"""),4.2)</f>
        <v>4.2</v>
      </c>
      <c r="F1600" s="1">
        <f ca="1">IFERROR(__xludf.DUMMYFUNCTION("""COMPUTED_VALUE"""),614900)</f>
        <v>614900</v>
      </c>
      <c r="I1600" s="1"/>
    </row>
    <row r="1601" spans="1:9">
      <c r="A1601" s="3">
        <f ca="1">IFERROR(__xludf.DUMMYFUNCTION("""COMPUTED_VALUE"""),31532.6666666666)</f>
        <v>31532.666666666599</v>
      </c>
      <c r="B1601" s="1">
        <f ca="1">IFERROR(__xludf.DUMMYFUNCTION("""COMPUTED_VALUE"""),4.12)</f>
        <v>4.12</v>
      </c>
      <c r="C1601" s="1">
        <f ca="1">IFERROR(__xludf.DUMMYFUNCTION("""COMPUTED_VALUE"""),4.22)</f>
        <v>4.22</v>
      </c>
      <c r="D1601" s="1">
        <f ca="1">IFERROR(__xludf.DUMMYFUNCTION("""COMPUTED_VALUE"""),4.09)</f>
        <v>4.09</v>
      </c>
      <c r="E1601" s="1">
        <f ca="1">IFERROR(__xludf.DUMMYFUNCTION("""COMPUTED_VALUE"""),4.12)</f>
        <v>4.12</v>
      </c>
      <c r="F1601" s="1">
        <f ca="1">IFERROR(__xludf.DUMMYFUNCTION("""COMPUTED_VALUE"""),484600)</f>
        <v>484600</v>
      </c>
      <c r="I1601" s="1"/>
    </row>
    <row r="1602" spans="1:9">
      <c r="A1602" s="3">
        <f ca="1">IFERROR(__xludf.DUMMYFUNCTION("""COMPUTED_VALUE"""),31533.6666666666)</f>
        <v>31533.666666666599</v>
      </c>
      <c r="B1602" s="1">
        <f ca="1">IFERROR(__xludf.DUMMYFUNCTION("""COMPUTED_VALUE"""),4.05)</f>
        <v>4.05</v>
      </c>
      <c r="C1602" s="1">
        <f ca="1">IFERROR(__xludf.DUMMYFUNCTION("""COMPUTED_VALUE"""),4.09)</f>
        <v>4.09</v>
      </c>
      <c r="D1602" s="1">
        <f ca="1">IFERROR(__xludf.DUMMYFUNCTION("""COMPUTED_VALUE"""),4)</f>
        <v>4</v>
      </c>
      <c r="E1602" s="1">
        <f ca="1">IFERROR(__xludf.DUMMYFUNCTION("""COMPUTED_VALUE"""),4.05)</f>
        <v>4.05</v>
      </c>
      <c r="F1602" s="1">
        <f ca="1">IFERROR(__xludf.DUMMYFUNCTION("""COMPUTED_VALUE"""),948800)</f>
        <v>948800</v>
      </c>
      <c r="I1602" s="1"/>
    </row>
    <row r="1603" spans="1:9">
      <c r="A1603" s="3">
        <f ca="1">IFERROR(__xludf.DUMMYFUNCTION("""COMPUTED_VALUE"""),31534.6666666666)</f>
        <v>31534.666666666599</v>
      </c>
      <c r="B1603" s="1">
        <f ca="1">IFERROR(__xludf.DUMMYFUNCTION("""COMPUTED_VALUE"""),4.05)</f>
        <v>4.05</v>
      </c>
      <c r="C1603" s="1">
        <f ca="1">IFERROR(__xludf.DUMMYFUNCTION("""COMPUTED_VALUE"""),4.09)</f>
        <v>4.09</v>
      </c>
      <c r="D1603" s="1">
        <f ca="1">IFERROR(__xludf.DUMMYFUNCTION("""COMPUTED_VALUE"""),4.02)</f>
        <v>4.0199999999999996</v>
      </c>
      <c r="E1603" s="1">
        <f ca="1">IFERROR(__xludf.DUMMYFUNCTION("""COMPUTED_VALUE"""),4.05)</f>
        <v>4.05</v>
      </c>
      <c r="F1603" s="1">
        <f ca="1">IFERROR(__xludf.DUMMYFUNCTION("""COMPUTED_VALUE"""),575400)</f>
        <v>575400</v>
      </c>
      <c r="I1603" s="1"/>
    </row>
    <row r="1604" spans="1:9">
      <c r="A1604" s="3">
        <f ca="1">IFERROR(__xludf.DUMMYFUNCTION("""COMPUTED_VALUE"""),31537.6666666666)</f>
        <v>31537.666666666599</v>
      </c>
      <c r="B1604" s="1">
        <f ca="1">IFERROR(__xludf.DUMMYFUNCTION("""COMPUTED_VALUE"""),4.11)</f>
        <v>4.1100000000000003</v>
      </c>
      <c r="C1604" s="1">
        <f ca="1">IFERROR(__xludf.DUMMYFUNCTION("""COMPUTED_VALUE"""),4.12)</f>
        <v>4.12</v>
      </c>
      <c r="D1604" s="1">
        <f ca="1">IFERROR(__xludf.DUMMYFUNCTION("""COMPUTED_VALUE"""),4.02)</f>
        <v>4.0199999999999996</v>
      </c>
      <c r="E1604" s="1">
        <f ca="1">IFERROR(__xludf.DUMMYFUNCTION("""COMPUTED_VALUE"""),4.11)</f>
        <v>4.1100000000000003</v>
      </c>
      <c r="F1604" s="1">
        <f ca="1">IFERROR(__xludf.DUMMYFUNCTION("""COMPUTED_VALUE"""),463400)</f>
        <v>463400</v>
      </c>
      <c r="I1604" s="1"/>
    </row>
    <row r="1605" spans="1:9">
      <c r="A1605" s="3">
        <f ca="1">IFERROR(__xludf.DUMMYFUNCTION("""COMPUTED_VALUE"""),31538.6666666666)</f>
        <v>31538.666666666599</v>
      </c>
      <c r="B1605" s="1">
        <f ca="1">IFERROR(__xludf.DUMMYFUNCTION("""COMPUTED_VALUE"""),4.1)</f>
        <v>4.0999999999999996</v>
      </c>
      <c r="C1605" s="1">
        <f ca="1">IFERROR(__xludf.DUMMYFUNCTION("""COMPUTED_VALUE"""),4.12)</f>
        <v>4.12</v>
      </c>
      <c r="D1605" s="1">
        <f ca="1">IFERROR(__xludf.DUMMYFUNCTION("""COMPUTED_VALUE"""),4.06)</f>
        <v>4.0599999999999996</v>
      </c>
      <c r="E1605" s="1">
        <f ca="1">IFERROR(__xludf.DUMMYFUNCTION("""COMPUTED_VALUE"""),4.1)</f>
        <v>4.0999999999999996</v>
      </c>
      <c r="F1605" s="1">
        <f ca="1">IFERROR(__xludf.DUMMYFUNCTION("""COMPUTED_VALUE"""),422800)</f>
        <v>422800</v>
      </c>
      <c r="I1605" s="1"/>
    </row>
    <row r="1606" spans="1:9">
      <c r="A1606" s="3">
        <f ca="1">IFERROR(__xludf.DUMMYFUNCTION("""COMPUTED_VALUE"""),31539.6666666666)</f>
        <v>31539.666666666599</v>
      </c>
      <c r="B1606" s="1">
        <f ca="1">IFERROR(__xludf.DUMMYFUNCTION("""COMPUTED_VALUE"""),4.09)</f>
        <v>4.09</v>
      </c>
      <c r="C1606" s="1">
        <f ca="1">IFERROR(__xludf.DUMMYFUNCTION("""COMPUTED_VALUE"""),4.09)</f>
        <v>4.09</v>
      </c>
      <c r="D1606" s="1">
        <f ca="1">IFERROR(__xludf.DUMMYFUNCTION("""COMPUTED_VALUE"""),4.05)</f>
        <v>4.05</v>
      </c>
      <c r="E1606" s="1">
        <f ca="1">IFERROR(__xludf.DUMMYFUNCTION("""COMPUTED_VALUE"""),4.09)</f>
        <v>4.09</v>
      </c>
      <c r="F1606" s="1">
        <f ca="1">IFERROR(__xludf.DUMMYFUNCTION("""COMPUTED_VALUE"""),506200)</f>
        <v>506200</v>
      </c>
      <c r="I1606" s="1"/>
    </row>
    <row r="1607" spans="1:9">
      <c r="A1607" s="3">
        <f ca="1">IFERROR(__xludf.DUMMYFUNCTION("""COMPUTED_VALUE"""),31540.6666666666)</f>
        <v>31540.666666666599</v>
      </c>
      <c r="B1607" s="1">
        <f ca="1">IFERROR(__xludf.DUMMYFUNCTION("""COMPUTED_VALUE"""),4.06)</f>
        <v>4.0599999999999996</v>
      </c>
      <c r="C1607" s="1">
        <f ca="1">IFERROR(__xludf.DUMMYFUNCTION("""COMPUTED_VALUE"""),4.12)</f>
        <v>4.12</v>
      </c>
      <c r="D1607" s="1">
        <f ca="1">IFERROR(__xludf.DUMMYFUNCTION("""COMPUTED_VALUE"""),4.05)</f>
        <v>4.05</v>
      </c>
      <c r="E1607" s="1">
        <f ca="1">IFERROR(__xludf.DUMMYFUNCTION("""COMPUTED_VALUE"""),4.06)</f>
        <v>4.0599999999999996</v>
      </c>
      <c r="F1607" s="1">
        <f ca="1">IFERROR(__xludf.DUMMYFUNCTION("""COMPUTED_VALUE"""),318600)</f>
        <v>318600</v>
      </c>
      <c r="I1607" s="1"/>
    </row>
    <row r="1608" spans="1:9">
      <c r="A1608" s="3">
        <f ca="1">IFERROR(__xludf.DUMMYFUNCTION("""COMPUTED_VALUE"""),31541.6666666666)</f>
        <v>31541.666666666599</v>
      </c>
      <c r="B1608" s="1">
        <f ca="1">IFERROR(__xludf.DUMMYFUNCTION("""COMPUTED_VALUE"""),4.05)</f>
        <v>4.05</v>
      </c>
      <c r="C1608" s="1">
        <f ca="1">IFERROR(__xludf.DUMMYFUNCTION("""COMPUTED_VALUE"""),4.09)</f>
        <v>4.09</v>
      </c>
      <c r="D1608" s="1">
        <f ca="1">IFERROR(__xludf.DUMMYFUNCTION("""COMPUTED_VALUE"""),4.05)</f>
        <v>4.05</v>
      </c>
      <c r="E1608" s="1">
        <f ca="1">IFERROR(__xludf.DUMMYFUNCTION("""COMPUTED_VALUE"""),4.05)</f>
        <v>4.05</v>
      </c>
      <c r="F1608" s="1">
        <f ca="1">IFERROR(__xludf.DUMMYFUNCTION("""COMPUTED_VALUE"""),425100)</f>
        <v>425100</v>
      </c>
      <c r="I1608" s="1"/>
    </row>
    <row r="1609" spans="1:9">
      <c r="A1609" s="3">
        <f ca="1">IFERROR(__xludf.DUMMYFUNCTION("""COMPUTED_VALUE"""),31544.6666666666)</f>
        <v>31544.666666666599</v>
      </c>
      <c r="B1609" s="1">
        <f ca="1">IFERROR(__xludf.DUMMYFUNCTION("""COMPUTED_VALUE"""),4.02)</f>
        <v>4.0199999999999996</v>
      </c>
      <c r="C1609" s="1">
        <f ca="1">IFERROR(__xludf.DUMMYFUNCTION("""COMPUTED_VALUE"""),4.09)</f>
        <v>4.09</v>
      </c>
      <c r="D1609" s="1">
        <f ca="1">IFERROR(__xludf.DUMMYFUNCTION("""COMPUTED_VALUE"""),4.02)</f>
        <v>4.0199999999999996</v>
      </c>
      <c r="E1609" s="1">
        <f ca="1">IFERROR(__xludf.DUMMYFUNCTION("""COMPUTED_VALUE"""),4.02)</f>
        <v>4.0199999999999996</v>
      </c>
      <c r="F1609" s="1">
        <f ca="1">IFERROR(__xludf.DUMMYFUNCTION("""COMPUTED_VALUE"""),370500)</f>
        <v>370500</v>
      </c>
      <c r="I1609" s="1"/>
    </row>
    <row r="1610" spans="1:9">
      <c r="A1610" s="3">
        <f ca="1">IFERROR(__xludf.DUMMYFUNCTION("""COMPUTED_VALUE"""),31545.6666666666)</f>
        <v>31545.666666666599</v>
      </c>
      <c r="B1610" s="1">
        <f ca="1">IFERROR(__xludf.DUMMYFUNCTION("""COMPUTED_VALUE"""),4.03)</f>
        <v>4.03</v>
      </c>
      <c r="C1610" s="1">
        <f ca="1">IFERROR(__xludf.DUMMYFUNCTION("""COMPUTED_VALUE"""),4.05)</f>
        <v>4.05</v>
      </c>
      <c r="D1610" s="1">
        <f ca="1">IFERROR(__xludf.DUMMYFUNCTION("""COMPUTED_VALUE"""),4)</f>
        <v>4</v>
      </c>
      <c r="E1610" s="1">
        <f ca="1">IFERROR(__xludf.DUMMYFUNCTION("""COMPUTED_VALUE"""),4.03)</f>
        <v>4.03</v>
      </c>
      <c r="F1610" s="1">
        <f ca="1">IFERROR(__xludf.DUMMYFUNCTION("""COMPUTED_VALUE"""),393500)</f>
        <v>393500</v>
      </c>
      <c r="I1610" s="1"/>
    </row>
    <row r="1611" spans="1:9">
      <c r="A1611" s="3">
        <f ca="1">IFERROR(__xludf.DUMMYFUNCTION("""COMPUTED_VALUE"""),31546.6666666666)</f>
        <v>31546.666666666599</v>
      </c>
      <c r="B1611" s="1">
        <f ca="1">IFERROR(__xludf.DUMMYFUNCTION("""COMPUTED_VALUE"""),4.17)</f>
        <v>4.17</v>
      </c>
      <c r="C1611" s="1">
        <f ca="1">IFERROR(__xludf.DUMMYFUNCTION("""COMPUTED_VALUE"""),4.17)</f>
        <v>4.17</v>
      </c>
      <c r="D1611" s="1">
        <f ca="1">IFERROR(__xludf.DUMMYFUNCTION("""COMPUTED_VALUE"""),4.03)</f>
        <v>4.03</v>
      </c>
      <c r="E1611" s="1">
        <f ca="1">IFERROR(__xludf.DUMMYFUNCTION("""COMPUTED_VALUE"""),4.17)</f>
        <v>4.17</v>
      </c>
      <c r="F1611" s="1">
        <f ca="1">IFERROR(__xludf.DUMMYFUNCTION("""COMPUTED_VALUE"""),541400)</f>
        <v>541400</v>
      </c>
      <c r="I1611" s="1"/>
    </row>
    <row r="1612" spans="1:9">
      <c r="A1612" s="3">
        <f ca="1">IFERROR(__xludf.DUMMYFUNCTION("""COMPUTED_VALUE"""),31547.6666666666)</f>
        <v>31547.666666666599</v>
      </c>
      <c r="B1612" s="1">
        <f ca="1">IFERROR(__xludf.DUMMYFUNCTION("""COMPUTED_VALUE"""),4.11)</f>
        <v>4.1100000000000003</v>
      </c>
      <c r="C1612" s="1">
        <f ca="1">IFERROR(__xludf.DUMMYFUNCTION("""COMPUTED_VALUE"""),4.17)</f>
        <v>4.17</v>
      </c>
      <c r="D1612" s="1">
        <f ca="1">IFERROR(__xludf.DUMMYFUNCTION("""COMPUTED_VALUE"""),4.1)</f>
        <v>4.0999999999999996</v>
      </c>
      <c r="E1612" s="1">
        <f ca="1">IFERROR(__xludf.DUMMYFUNCTION("""COMPUTED_VALUE"""),4.11)</f>
        <v>4.1100000000000003</v>
      </c>
      <c r="F1612" s="1">
        <f ca="1">IFERROR(__xludf.DUMMYFUNCTION("""COMPUTED_VALUE"""),407700)</f>
        <v>407700</v>
      </c>
      <c r="I1612" s="1"/>
    </row>
    <row r="1613" spans="1:9">
      <c r="A1613" s="3">
        <f ca="1">IFERROR(__xludf.DUMMYFUNCTION("""COMPUTED_VALUE"""),31548.6666666666)</f>
        <v>31548.666666666599</v>
      </c>
      <c r="B1613" s="1">
        <f ca="1">IFERROR(__xludf.DUMMYFUNCTION("""COMPUTED_VALUE"""),4.1)</f>
        <v>4.0999999999999996</v>
      </c>
      <c r="C1613" s="1">
        <f ca="1">IFERROR(__xludf.DUMMYFUNCTION("""COMPUTED_VALUE"""),4.14)</f>
        <v>4.1399999999999997</v>
      </c>
      <c r="D1613" s="1">
        <f ca="1">IFERROR(__xludf.DUMMYFUNCTION("""COMPUTED_VALUE"""),4.09)</f>
        <v>4.09</v>
      </c>
      <c r="E1613" s="1">
        <f ca="1">IFERROR(__xludf.DUMMYFUNCTION("""COMPUTED_VALUE"""),4.1)</f>
        <v>4.0999999999999996</v>
      </c>
      <c r="F1613" s="1">
        <f ca="1">IFERROR(__xludf.DUMMYFUNCTION("""COMPUTED_VALUE"""),502600)</f>
        <v>502600</v>
      </c>
      <c r="I1613" s="1"/>
    </row>
    <row r="1614" spans="1:9">
      <c r="A1614" s="3">
        <f ca="1">IFERROR(__xludf.DUMMYFUNCTION("""COMPUTED_VALUE"""),31551.6666666666)</f>
        <v>31551.666666666599</v>
      </c>
      <c r="B1614" s="1">
        <f ca="1">IFERROR(__xludf.DUMMYFUNCTION("""COMPUTED_VALUE"""),4.09)</f>
        <v>4.09</v>
      </c>
      <c r="C1614" s="1">
        <f ca="1">IFERROR(__xludf.DUMMYFUNCTION("""COMPUTED_VALUE"""),4.13)</f>
        <v>4.13</v>
      </c>
      <c r="D1614" s="1">
        <f ca="1">IFERROR(__xludf.DUMMYFUNCTION("""COMPUTED_VALUE"""),4.07)</f>
        <v>4.07</v>
      </c>
      <c r="E1614" s="1">
        <f ca="1">IFERROR(__xludf.DUMMYFUNCTION("""COMPUTED_VALUE"""),4.09)</f>
        <v>4.09</v>
      </c>
      <c r="F1614" s="1">
        <f ca="1">IFERROR(__xludf.DUMMYFUNCTION("""COMPUTED_VALUE"""),254800)</f>
        <v>254800</v>
      </c>
      <c r="I1614" s="1"/>
    </row>
    <row r="1615" spans="1:9">
      <c r="A1615" s="3">
        <f ca="1">IFERROR(__xludf.DUMMYFUNCTION("""COMPUTED_VALUE"""),31552.6666666666)</f>
        <v>31552.666666666599</v>
      </c>
      <c r="B1615" s="1">
        <f ca="1">IFERROR(__xludf.DUMMYFUNCTION("""COMPUTED_VALUE"""),4.15)</f>
        <v>4.1500000000000004</v>
      </c>
      <c r="C1615" s="1">
        <f ca="1">IFERROR(__xludf.DUMMYFUNCTION("""COMPUTED_VALUE"""),4.15)</f>
        <v>4.1500000000000004</v>
      </c>
      <c r="D1615" s="1">
        <f ca="1">IFERROR(__xludf.DUMMYFUNCTION("""COMPUTED_VALUE"""),4.06)</f>
        <v>4.0599999999999996</v>
      </c>
      <c r="E1615" s="1">
        <f ca="1">IFERROR(__xludf.DUMMYFUNCTION("""COMPUTED_VALUE"""),4.15)</f>
        <v>4.1500000000000004</v>
      </c>
      <c r="F1615" s="1">
        <f ca="1">IFERROR(__xludf.DUMMYFUNCTION("""COMPUTED_VALUE"""),300100)</f>
        <v>300100</v>
      </c>
      <c r="I1615" s="1"/>
    </row>
    <row r="1616" spans="1:9">
      <c r="A1616" s="3">
        <f ca="1">IFERROR(__xludf.DUMMYFUNCTION("""COMPUTED_VALUE"""),31553.6666666666)</f>
        <v>31553.666666666599</v>
      </c>
      <c r="B1616" s="1">
        <f ca="1">IFERROR(__xludf.DUMMYFUNCTION("""COMPUTED_VALUE"""),4.22)</f>
        <v>4.22</v>
      </c>
      <c r="C1616" s="1">
        <f ca="1">IFERROR(__xludf.DUMMYFUNCTION("""COMPUTED_VALUE"""),4.27)</f>
        <v>4.2699999999999996</v>
      </c>
      <c r="D1616" s="1">
        <f ca="1">IFERROR(__xludf.DUMMYFUNCTION("""COMPUTED_VALUE"""),4.15)</f>
        <v>4.1500000000000004</v>
      </c>
      <c r="E1616" s="1">
        <f ca="1">IFERROR(__xludf.DUMMYFUNCTION("""COMPUTED_VALUE"""),4.22)</f>
        <v>4.22</v>
      </c>
      <c r="F1616" s="1">
        <f ca="1">IFERROR(__xludf.DUMMYFUNCTION("""COMPUTED_VALUE"""),680800)</f>
        <v>680800</v>
      </c>
      <c r="I1616" s="1"/>
    </row>
    <row r="1617" spans="1:9">
      <c r="A1617" s="3">
        <f ca="1">IFERROR(__xludf.DUMMYFUNCTION("""COMPUTED_VALUE"""),31554.6666666666)</f>
        <v>31554.666666666599</v>
      </c>
      <c r="B1617" s="1">
        <f ca="1">IFERROR(__xludf.DUMMYFUNCTION("""COMPUTED_VALUE"""),4.34)</f>
        <v>4.34</v>
      </c>
      <c r="C1617" s="1">
        <f ca="1">IFERROR(__xludf.DUMMYFUNCTION("""COMPUTED_VALUE"""),4.35)</f>
        <v>4.3499999999999996</v>
      </c>
      <c r="D1617" s="1">
        <f ca="1">IFERROR(__xludf.DUMMYFUNCTION("""COMPUTED_VALUE"""),4.25)</f>
        <v>4.25</v>
      </c>
      <c r="E1617" s="1">
        <f ca="1">IFERROR(__xludf.DUMMYFUNCTION("""COMPUTED_VALUE"""),4.34)</f>
        <v>4.34</v>
      </c>
      <c r="F1617" s="1">
        <f ca="1">IFERROR(__xludf.DUMMYFUNCTION("""COMPUTED_VALUE"""),623700)</f>
        <v>623700</v>
      </c>
      <c r="I1617" s="1"/>
    </row>
    <row r="1618" spans="1:9">
      <c r="A1618" s="3">
        <f ca="1">IFERROR(__xludf.DUMMYFUNCTION("""COMPUTED_VALUE"""),31555.6666666666)</f>
        <v>31555.666666666599</v>
      </c>
      <c r="B1618" s="1">
        <f ca="1">IFERROR(__xludf.DUMMYFUNCTION("""COMPUTED_VALUE"""),4.34)</f>
        <v>4.34</v>
      </c>
      <c r="C1618" s="1">
        <f ca="1">IFERROR(__xludf.DUMMYFUNCTION("""COMPUTED_VALUE"""),4.37)</f>
        <v>4.37</v>
      </c>
      <c r="D1618" s="1">
        <f ca="1">IFERROR(__xludf.DUMMYFUNCTION("""COMPUTED_VALUE"""),4.32)</f>
        <v>4.32</v>
      </c>
      <c r="E1618" s="1">
        <f ca="1">IFERROR(__xludf.DUMMYFUNCTION("""COMPUTED_VALUE"""),4.34)</f>
        <v>4.34</v>
      </c>
      <c r="F1618" s="1">
        <f ca="1">IFERROR(__xludf.DUMMYFUNCTION("""COMPUTED_VALUE"""),472700)</f>
        <v>472700</v>
      </c>
      <c r="I1618" s="1"/>
    </row>
    <row r="1619" spans="1:9">
      <c r="A1619" s="3">
        <f ca="1">IFERROR(__xludf.DUMMYFUNCTION("""COMPUTED_VALUE"""),31559.6666666666)</f>
        <v>31559.666666666599</v>
      </c>
      <c r="B1619" s="1">
        <f ca="1">IFERROR(__xludf.DUMMYFUNCTION("""COMPUTED_VALUE"""),4.38)</f>
        <v>4.38</v>
      </c>
      <c r="C1619" s="1">
        <f ca="1">IFERROR(__xludf.DUMMYFUNCTION("""COMPUTED_VALUE"""),4.39)</f>
        <v>4.3899999999999997</v>
      </c>
      <c r="D1619" s="1">
        <f ca="1">IFERROR(__xludf.DUMMYFUNCTION("""COMPUTED_VALUE"""),4.33)</f>
        <v>4.33</v>
      </c>
      <c r="E1619" s="1">
        <f ca="1">IFERROR(__xludf.DUMMYFUNCTION("""COMPUTED_VALUE"""),4.38)</f>
        <v>4.38</v>
      </c>
      <c r="F1619" s="1">
        <f ca="1">IFERROR(__xludf.DUMMYFUNCTION("""COMPUTED_VALUE"""),392800)</f>
        <v>392800</v>
      </c>
      <c r="I1619" s="1"/>
    </row>
    <row r="1620" spans="1:9">
      <c r="A1620" s="3">
        <f ca="1">IFERROR(__xludf.DUMMYFUNCTION("""COMPUTED_VALUE"""),31560.6666666666)</f>
        <v>31560.666666666599</v>
      </c>
      <c r="B1620" s="1">
        <f ca="1">IFERROR(__xludf.DUMMYFUNCTION("""COMPUTED_VALUE"""),4.38)</f>
        <v>4.38</v>
      </c>
      <c r="C1620" s="1">
        <f ca="1">IFERROR(__xludf.DUMMYFUNCTION("""COMPUTED_VALUE"""),4.41)</f>
        <v>4.41</v>
      </c>
      <c r="D1620" s="1">
        <f ca="1">IFERROR(__xludf.DUMMYFUNCTION("""COMPUTED_VALUE"""),4.33)</f>
        <v>4.33</v>
      </c>
      <c r="E1620" s="1">
        <f ca="1">IFERROR(__xludf.DUMMYFUNCTION("""COMPUTED_VALUE"""),4.38)</f>
        <v>4.38</v>
      </c>
      <c r="F1620" s="1">
        <f ca="1">IFERROR(__xludf.DUMMYFUNCTION("""COMPUTED_VALUE"""),800100)</f>
        <v>800100</v>
      </c>
      <c r="I1620" s="1"/>
    </row>
    <row r="1621" spans="1:9">
      <c r="A1621" s="3">
        <f ca="1">IFERROR(__xludf.DUMMYFUNCTION("""COMPUTED_VALUE"""),31561.6666666666)</f>
        <v>31561.666666666599</v>
      </c>
      <c r="B1621" s="1">
        <f ca="1">IFERROR(__xludf.DUMMYFUNCTION("""COMPUTED_VALUE"""),4.38)</f>
        <v>4.38</v>
      </c>
      <c r="C1621" s="1">
        <f ca="1">IFERROR(__xludf.DUMMYFUNCTION("""COMPUTED_VALUE"""),4.39)</f>
        <v>4.3899999999999997</v>
      </c>
      <c r="D1621" s="1">
        <f ca="1">IFERROR(__xludf.DUMMYFUNCTION("""COMPUTED_VALUE"""),4.3)</f>
        <v>4.3</v>
      </c>
      <c r="E1621" s="1">
        <f ca="1">IFERROR(__xludf.DUMMYFUNCTION("""COMPUTED_VALUE"""),4.38)</f>
        <v>4.38</v>
      </c>
      <c r="F1621" s="1">
        <f ca="1">IFERROR(__xludf.DUMMYFUNCTION("""COMPUTED_VALUE"""),377500)</f>
        <v>377500</v>
      </c>
      <c r="I1621" s="1"/>
    </row>
    <row r="1622" spans="1:9">
      <c r="A1622" s="3">
        <f ca="1">IFERROR(__xludf.DUMMYFUNCTION("""COMPUTED_VALUE"""),31562.6666666666)</f>
        <v>31562.666666666599</v>
      </c>
      <c r="B1622" s="1">
        <f ca="1">IFERROR(__xludf.DUMMYFUNCTION("""COMPUTED_VALUE"""),4.27)</f>
        <v>4.2699999999999996</v>
      </c>
      <c r="C1622" s="1">
        <f ca="1">IFERROR(__xludf.DUMMYFUNCTION("""COMPUTED_VALUE"""),4.37)</f>
        <v>4.37</v>
      </c>
      <c r="D1622" s="1">
        <f ca="1">IFERROR(__xludf.DUMMYFUNCTION("""COMPUTED_VALUE"""),4.27)</f>
        <v>4.2699999999999996</v>
      </c>
      <c r="E1622" s="1">
        <f ca="1">IFERROR(__xludf.DUMMYFUNCTION("""COMPUTED_VALUE"""),4.27)</f>
        <v>4.2699999999999996</v>
      </c>
      <c r="F1622" s="1">
        <f ca="1">IFERROR(__xludf.DUMMYFUNCTION("""COMPUTED_VALUE"""),296600)</f>
        <v>296600</v>
      </c>
      <c r="I1622" s="1"/>
    </row>
    <row r="1623" spans="1:9">
      <c r="A1623" s="3">
        <f ca="1">IFERROR(__xludf.DUMMYFUNCTION("""COMPUTED_VALUE"""),31565.6666666666)</f>
        <v>31565.666666666599</v>
      </c>
      <c r="B1623" s="1">
        <f ca="1">IFERROR(__xludf.DUMMYFUNCTION("""COMPUTED_VALUE"""),4.16)</f>
        <v>4.16</v>
      </c>
      <c r="C1623" s="1">
        <f ca="1">IFERROR(__xludf.DUMMYFUNCTION("""COMPUTED_VALUE"""),4.26)</f>
        <v>4.26</v>
      </c>
      <c r="D1623" s="1">
        <f ca="1">IFERROR(__xludf.DUMMYFUNCTION("""COMPUTED_VALUE"""),4.15)</f>
        <v>4.1500000000000004</v>
      </c>
      <c r="E1623" s="1">
        <f ca="1">IFERROR(__xludf.DUMMYFUNCTION("""COMPUTED_VALUE"""),4.16)</f>
        <v>4.16</v>
      </c>
      <c r="F1623" s="1">
        <f ca="1">IFERROR(__xludf.DUMMYFUNCTION("""COMPUTED_VALUE"""),277000)</f>
        <v>277000</v>
      </c>
      <c r="I1623" s="1"/>
    </row>
    <row r="1624" spans="1:9">
      <c r="A1624" s="3">
        <f ca="1">IFERROR(__xludf.DUMMYFUNCTION("""COMPUTED_VALUE"""),31566.6666666666)</f>
        <v>31566.666666666599</v>
      </c>
      <c r="B1624" s="1">
        <f ca="1">IFERROR(__xludf.DUMMYFUNCTION("""COMPUTED_VALUE"""),4.19)</f>
        <v>4.1900000000000004</v>
      </c>
      <c r="C1624" s="1">
        <f ca="1">IFERROR(__xludf.DUMMYFUNCTION("""COMPUTED_VALUE"""),4.19)</f>
        <v>4.1900000000000004</v>
      </c>
      <c r="D1624" s="1">
        <f ca="1">IFERROR(__xludf.DUMMYFUNCTION("""COMPUTED_VALUE"""),4.1)</f>
        <v>4.0999999999999996</v>
      </c>
      <c r="E1624" s="1">
        <f ca="1">IFERROR(__xludf.DUMMYFUNCTION("""COMPUTED_VALUE"""),4.19)</f>
        <v>4.1900000000000004</v>
      </c>
      <c r="F1624" s="1">
        <f ca="1">IFERROR(__xludf.DUMMYFUNCTION("""COMPUTED_VALUE"""),558600)</f>
        <v>558600</v>
      </c>
      <c r="I1624" s="1"/>
    </row>
    <row r="1625" spans="1:9">
      <c r="A1625" s="3">
        <f ca="1">IFERROR(__xludf.DUMMYFUNCTION("""COMPUTED_VALUE"""),31567.6666666666)</f>
        <v>31567.666666666599</v>
      </c>
      <c r="B1625" s="1">
        <f ca="1">IFERROR(__xludf.DUMMYFUNCTION("""COMPUTED_VALUE"""),4.24)</f>
        <v>4.24</v>
      </c>
      <c r="C1625" s="1">
        <f ca="1">IFERROR(__xludf.DUMMYFUNCTION("""COMPUTED_VALUE"""),4.27)</f>
        <v>4.2699999999999996</v>
      </c>
      <c r="D1625" s="1">
        <f ca="1">IFERROR(__xludf.DUMMYFUNCTION("""COMPUTED_VALUE"""),4.2)</f>
        <v>4.2</v>
      </c>
      <c r="E1625" s="1">
        <f ca="1">IFERROR(__xludf.DUMMYFUNCTION("""COMPUTED_VALUE"""),4.24)</f>
        <v>4.24</v>
      </c>
      <c r="F1625" s="1">
        <f ca="1">IFERROR(__xludf.DUMMYFUNCTION("""COMPUTED_VALUE"""),619100)</f>
        <v>619100</v>
      </c>
      <c r="I1625" s="1"/>
    </row>
    <row r="1626" spans="1:9">
      <c r="A1626" s="3">
        <f ca="1">IFERROR(__xludf.DUMMYFUNCTION("""COMPUTED_VALUE"""),31568.6666666666)</f>
        <v>31568.666666666599</v>
      </c>
      <c r="B1626" s="1">
        <f ca="1">IFERROR(__xludf.DUMMYFUNCTION("""COMPUTED_VALUE"""),4.34)</f>
        <v>4.34</v>
      </c>
      <c r="C1626" s="1">
        <f ca="1">IFERROR(__xludf.DUMMYFUNCTION("""COMPUTED_VALUE"""),4.34)</f>
        <v>4.34</v>
      </c>
      <c r="D1626" s="1">
        <f ca="1">IFERROR(__xludf.DUMMYFUNCTION("""COMPUTED_VALUE"""),4.24)</f>
        <v>4.24</v>
      </c>
      <c r="E1626" s="1">
        <f ca="1">IFERROR(__xludf.DUMMYFUNCTION("""COMPUTED_VALUE"""),4.34)</f>
        <v>4.34</v>
      </c>
      <c r="F1626" s="1">
        <f ca="1">IFERROR(__xludf.DUMMYFUNCTION("""COMPUTED_VALUE"""),485400)</f>
        <v>485400</v>
      </c>
      <c r="I1626" s="1"/>
    </row>
    <row r="1627" spans="1:9">
      <c r="A1627" s="3">
        <f ca="1">IFERROR(__xludf.DUMMYFUNCTION("""COMPUTED_VALUE"""),31569.6666666666)</f>
        <v>31569.666666666599</v>
      </c>
      <c r="B1627" s="1">
        <f ca="1">IFERROR(__xludf.DUMMYFUNCTION("""COMPUTED_VALUE"""),4.46)</f>
        <v>4.46</v>
      </c>
      <c r="C1627" s="1">
        <f ca="1">IFERROR(__xludf.DUMMYFUNCTION("""COMPUTED_VALUE"""),4.46)</f>
        <v>4.46</v>
      </c>
      <c r="D1627" s="1">
        <f ca="1">IFERROR(__xludf.DUMMYFUNCTION("""COMPUTED_VALUE"""),4.36)</f>
        <v>4.3600000000000003</v>
      </c>
      <c r="E1627" s="1">
        <f ca="1">IFERROR(__xludf.DUMMYFUNCTION("""COMPUTED_VALUE"""),4.46)</f>
        <v>4.46</v>
      </c>
      <c r="F1627" s="1">
        <f ca="1">IFERROR(__xludf.DUMMYFUNCTION("""COMPUTED_VALUE"""),714900)</f>
        <v>714900</v>
      </c>
      <c r="I1627" s="1"/>
    </row>
    <row r="1628" spans="1:9">
      <c r="A1628" s="3">
        <f ca="1">IFERROR(__xludf.DUMMYFUNCTION("""COMPUTED_VALUE"""),31572.6666666666)</f>
        <v>31572.666666666599</v>
      </c>
      <c r="B1628" s="1">
        <f ca="1">IFERROR(__xludf.DUMMYFUNCTION("""COMPUTED_VALUE"""),4.34)</f>
        <v>4.34</v>
      </c>
      <c r="C1628" s="1">
        <f ca="1">IFERROR(__xludf.DUMMYFUNCTION("""COMPUTED_VALUE"""),4.44)</f>
        <v>4.4400000000000004</v>
      </c>
      <c r="D1628" s="1">
        <f ca="1">IFERROR(__xludf.DUMMYFUNCTION("""COMPUTED_VALUE"""),4.33)</f>
        <v>4.33</v>
      </c>
      <c r="E1628" s="1">
        <f ca="1">IFERROR(__xludf.DUMMYFUNCTION("""COMPUTED_VALUE"""),4.34)</f>
        <v>4.34</v>
      </c>
      <c r="F1628" s="1">
        <f ca="1">IFERROR(__xludf.DUMMYFUNCTION("""COMPUTED_VALUE"""),470500)</f>
        <v>470500</v>
      </c>
      <c r="I1628" s="1"/>
    </row>
    <row r="1629" spans="1:9">
      <c r="A1629" s="3">
        <f ca="1">IFERROR(__xludf.DUMMYFUNCTION("""COMPUTED_VALUE"""),31573.6666666666)</f>
        <v>31573.666666666599</v>
      </c>
      <c r="B1629" s="1">
        <f ca="1">IFERROR(__xludf.DUMMYFUNCTION("""COMPUTED_VALUE"""),4.25)</f>
        <v>4.25</v>
      </c>
      <c r="C1629" s="1">
        <f ca="1">IFERROR(__xludf.DUMMYFUNCTION("""COMPUTED_VALUE"""),4.33)</f>
        <v>4.33</v>
      </c>
      <c r="D1629" s="1">
        <f ca="1">IFERROR(__xludf.DUMMYFUNCTION("""COMPUTED_VALUE"""),4.21)</f>
        <v>4.21</v>
      </c>
      <c r="E1629" s="1">
        <f ca="1">IFERROR(__xludf.DUMMYFUNCTION("""COMPUTED_VALUE"""),4.25)</f>
        <v>4.25</v>
      </c>
      <c r="F1629" s="1">
        <f ca="1">IFERROR(__xludf.DUMMYFUNCTION("""COMPUTED_VALUE"""),503000)</f>
        <v>503000</v>
      </c>
      <c r="I1629" s="1"/>
    </row>
    <row r="1630" spans="1:9">
      <c r="A1630" s="3">
        <f ca="1">IFERROR(__xludf.DUMMYFUNCTION("""COMPUTED_VALUE"""),31574.6666666666)</f>
        <v>31574.666666666599</v>
      </c>
      <c r="B1630" s="1">
        <f ca="1">IFERROR(__xludf.DUMMYFUNCTION("""COMPUTED_VALUE"""),4.25)</f>
        <v>4.25</v>
      </c>
      <c r="C1630" s="1">
        <f ca="1">IFERROR(__xludf.DUMMYFUNCTION("""COMPUTED_VALUE"""),4.27)</f>
        <v>4.2699999999999996</v>
      </c>
      <c r="D1630" s="1">
        <f ca="1">IFERROR(__xludf.DUMMYFUNCTION("""COMPUTED_VALUE"""),4.22)</f>
        <v>4.22</v>
      </c>
      <c r="E1630" s="1">
        <f ca="1">IFERROR(__xludf.DUMMYFUNCTION("""COMPUTED_VALUE"""),4.25)</f>
        <v>4.25</v>
      </c>
      <c r="F1630" s="1">
        <f ca="1">IFERROR(__xludf.DUMMYFUNCTION("""COMPUTED_VALUE"""),330100)</f>
        <v>330100</v>
      </c>
      <c r="I1630" s="1"/>
    </row>
    <row r="1631" spans="1:9">
      <c r="A1631" s="3">
        <f ca="1">IFERROR(__xludf.DUMMYFUNCTION("""COMPUTED_VALUE"""),31575.6666666666)</f>
        <v>31575.666666666599</v>
      </c>
      <c r="B1631" s="1">
        <f ca="1">IFERROR(__xludf.DUMMYFUNCTION("""COMPUTED_VALUE"""),4.26)</f>
        <v>4.26</v>
      </c>
      <c r="C1631" s="1">
        <f ca="1">IFERROR(__xludf.DUMMYFUNCTION("""COMPUTED_VALUE"""),4.3)</f>
        <v>4.3</v>
      </c>
      <c r="D1631" s="1">
        <f ca="1">IFERROR(__xludf.DUMMYFUNCTION("""COMPUTED_VALUE"""),4.24)</f>
        <v>4.24</v>
      </c>
      <c r="E1631" s="1">
        <f ca="1">IFERROR(__xludf.DUMMYFUNCTION("""COMPUTED_VALUE"""),4.26)</f>
        <v>4.26</v>
      </c>
      <c r="F1631" s="1">
        <f ca="1">IFERROR(__xludf.DUMMYFUNCTION("""COMPUTED_VALUE"""),325700)</f>
        <v>325700</v>
      </c>
      <c r="I1631" s="1"/>
    </row>
    <row r="1632" spans="1:9">
      <c r="A1632" s="3">
        <f ca="1">IFERROR(__xludf.DUMMYFUNCTION("""COMPUTED_VALUE"""),31576.6666666666)</f>
        <v>31576.666666666599</v>
      </c>
      <c r="B1632" s="1">
        <f ca="1">IFERROR(__xludf.DUMMYFUNCTION("""COMPUTED_VALUE"""),4.39)</f>
        <v>4.3899999999999997</v>
      </c>
      <c r="C1632" s="1">
        <f ca="1">IFERROR(__xludf.DUMMYFUNCTION("""COMPUTED_VALUE"""),4.41)</f>
        <v>4.41</v>
      </c>
      <c r="D1632" s="1">
        <f ca="1">IFERROR(__xludf.DUMMYFUNCTION("""COMPUTED_VALUE"""),4.27)</f>
        <v>4.2699999999999996</v>
      </c>
      <c r="E1632" s="1">
        <f ca="1">IFERROR(__xludf.DUMMYFUNCTION("""COMPUTED_VALUE"""),4.39)</f>
        <v>4.3899999999999997</v>
      </c>
      <c r="F1632" s="1">
        <f ca="1">IFERROR(__xludf.DUMMYFUNCTION("""COMPUTED_VALUE"""),421200)</f>
        <v>421200</v>
      </c>
      <c r="I1632" s="1"/>
    </row>
    <row r="1633" spans="1:9">
      <c r="A1633" s="3">
        <f ca="1">IFERROR(__xludf.DUMMYFUNCTION("""COMPUTED_VALUE"""),31579.6666666666)</f>
        <v>31579.666666666599</v>
      </c>
      <c r="B1633" s="1">
        <f ca="1">IFERROR(__xludf.DUMMYFUNCTION("""COMPUTED_VALUE"""),4.38)</f>
        <v>4.38</v>
      </c>
      <c r="C1633" s="1">
        <f ca="1">IFERROR(__xludf.DUMMYFUNCTION("""COMPUTED_VALUE"""),4.41)</f>
        <v>4.41</v>
      </c>
      <c r="D1633" s="1">
        <f ca="1">IFERROR(__xludf.DUMMYFUNCTION("""COMPUTED_VALUE"""),4.35)</f>
        <v>4.3499999999999996</v>
      </c>
      <c r="E1633" s="1">
        <f ca="1">IFERROR(__xludf.DUMMYFUNCTION("""COMPUTED_VALUE"""),4.38)</f>
        <v>4.38</v>
      </c>
      <c r="F1633" s="1">
        <f ca="1">IFERROR(__xludf.DUMMYFUNCTION("""COMPUTED_VALUE"""),303100)</f>
        <v>303100</v>
      </c>
      <c r="I1633" s="1"/>
    </row>
    <row r="1634" spans="1:9">
      <c r="A1634" s="3">
        <f ca="1">IFERROR(__xludf.DUMMYFUNCTION("""COMPUTED_VALUE"""),31580.6666666666)</f>
        <v>31580.666666666599</v>
      </c>
      <c r="B1634" s="1">
        <f ca="1">IFERROR(__xludf.DUMMYFUNCTION("""COMPUTED_VALUE"""),4.34)</f>
        <v>4.34</v>
      </c>
      <c r="C1634" s="1">
        <f ca="1">IFERROR(__xludf.DUMMYFUNCTION("""COMPUTED_VALUE"""),4.41)</f>
        <v>4.41</v>
      </c>
      <c r="D1634" s="1">
        <f ca="1">IFERROR(__xludf.DUMMYFUNCTION("""COMPUTED_VALUE"""),4.31)</f>
        <v>4.3099999999999996</v>
      </c>
      <c r="E1634" s="1">
        <f ca="1">IFERROR(__xludf.DUMMYFUNCTION("""COMPUTED_VALUE"""),4.34)</f>
        <v>4.34</v>
      </c>
      <c r="F1634" s="1">
        <f ca="1">IFERROR(__xludf.DUMMYFUNCTION("""COMPUTED_VALUE"""),265600)</f>
        <v>265600</v>
      </c>
      <c r="I1634" s="1"/>
    </row>
    <row r="1635" spans="1:9">
      <c r="A1635" s="3">
        <f ca="1">IFERROR(__xludf.DUMMYFUNCTION("""COMPUTED_VALUE"""),31581.6666666666)</f>
        <v>31581.666666666599</v>
      </c>
      <c r="B1635" s="1">
        <f ca="1">IFERROR(__xludf.DUMMYFUNCTION("""COMPUTED_VALUE"""),4.37)</f>
        <v>4.37</v>
      </c>
      <c r="C1635" s="1">
        <f ca="1">IFERROR(__xludf.DUMMYFUNCTION("""COMPUTED_VALUE"""),4.38)</f>
        <v>4.38</v>
      </c>
      <c r="D1635" s="1">
        <f ca="1">IFERROR(__xludf.DUMMYFUNCTION("""COMPUTED_VALUE"""),4.29)</f>
        <v>4.29</v>
      </c>
      <c r="E1635" s="1">
        <f ca="1">IFERROR(__xludf.DUMMYFUNCTION("""COMPUTED_VALUE"""),4.37)</f>
        <v>4.37</v>
      </c>
      <c r="F1635" s="1">
        <f ca="1">IFERROR(__xludf.DUMMYFUNCTION("""COMPUTED_VALUE"""),351200)</f>
        <v>351200</v>
      </c>
      <c r="I1635" s="1"/>
    </row>
    <row r="1636" spans="1:9">
      <c r="A1636" s="3">
        <f ca="1">IFERROR(__xludf.DUMMYFUNCTION("""COMPUTED_VALUE"""),31582.6666666666)</f>
        <v>31582.666666666599</v>
      </c>
      <c r="B1636" s="1">
        <f ca="1">IFERROR(__xludf.DUMMYFUNCTION("""COMPUTED_VALUE"""),4.28)</f>
        <v>4.28</v>
      </c>
      <c r="C1636" s="1">
        <f ca="1">IFERROR(__xludf.DUMMYFUNCTION("""COMPUTED_VALUE"""),4.36)</f>
        <v>4.3600000000000003</v>
      </c>
      <c r="D1636" s="1">
        <f ca="1">IFERROR(__xludf.DUMMYFUNCTION("""COMPUTED_VALUE"""),4.28)</f>
        <v>4.28</v>
      </c>
      <c r="E1636" s="1">
        <f ca="1">IFERROR(__xludf.DUMMYFUNCTION("""COMPUTED_VALUE"""),4.28)</f>
        <v>4.28</v>
      </c>
      <c r="F1636" s="1">
        <f ca="1">IFERROR(__xludf.DUMMYFUNCTION("""COMPUTED_VALUE"""),355400)</f>
        <v>355400</v>
      </c>
      <c r="I1636" s="1"/>
    </row>
    <row r="1637" spans="1:9">
      <c r="A1637" s="3">
        <f ca="1">IFERROR(__xludf.DUMMYFUNCTION("""COMPUTED_VALUE"""),31583.6666666666)</f>
        <v>31583.666666666599</v>
      </c>
      <c r="B1637" s="1">
        <f ca="1">IFERROR(__xludf.DUMMYFUNCTION("""COMPUTED_VALUE"""),4.41)</f>
        <v>4.41</v>
      </c>
      <c r="C1637" s="1">
        <f ca="1">IFERROR(__xludf.DUMMYFUNCTION("""COMPUTED_VALUE"""),4.42)</f>
        <v>4.42</v>
      </c>
      <c r="D1637" s="1">
        <f ca="1">IFERROR(__xludf.DUMMYFUNCTION("""COMPUTED_VALUE"""),4.31)</f>
        <v>4.3099999999999996</v>
      </c>
      <c r="E1637" s="1">
        <f ca="1">IFERROR(__xludf.DUMMYFUNCTION("""COMPUTED_VALUE"""),4.41)</f>
        <v>4.41</v>
      </c>
      <c r="F1637" s="1">
        <f ca="1">IFERROR(__xludf.DUMMYFUNCTION("""COMPUTED_VALUE"""),564700)</f>
        <v>564700</v>
      </c>
      <c r="I1637" s="1"/>
    </row>
    <row r="1638" spans="1:9">
      <c r="A1638" s="3">
        <f ca="1">IFERROR(__xludf.DUMMYFUNCTION("""COMPUTED_VALUE"""),31586.6666666666)</f>
        <v>31586.666666666599</v>
      </c>
      <c r="B1638" s="1">
        <f ca="1">IFERROR(__xludf.DUMMYFUNCTION("""COMPUTED_VALUE"""),4.44)</f>
        <v>4.4400000000000004</v>
      </c>
      <c r="C1638" s="1">
        <f ca="1">IFERROR(__xludf.DUMMYFUNCTION("""COMPUTED_VALUE"""),4.49)</f>
        <v>4.49</v>
      </c>
      <c r="D1638" s="1">
        <f ca="1">IFERROR(__xludf.DUMMYFUNCTION("""COMPUTED_VALUE"""),4.41)</f>
        <v>4.41</v>
      </c>
      <c r="E1638" s="1">
        <f ca="1">IFERROR(__xludf.DUMMYFUNCTION("""COMPUTED_VALUE"""),4.44)</f>
        <v>4.4400000000000004</v>
      </c>
      <c r="F1638" s="1">
        <f ca="1">IFERROR(__xludf.DUMMYFUNCTION("""COMPUTED_VALUE"""),402500)</f>
        <v>402500</v>
      </c>
      <c r="I1638" s="1"/>
    </row>
    <row r="1639" spans="1:9">
      <c r="A1639" s="3">
        <f ca="1">IFERROR(__xludf.DUMMYFUNCTION("""COMPUTED_VALUE"""),31587.6666666666)</f>
        <v>31587.666666666599</v>
      </c>
      <c r="B1639" s="1">
        <f ca="1">IFERROR(__xludf.DUMMYFUNCTION("""COMPUTED_VALUE"""),4.52)</f>
        <v>4.5199999999999996</v>
      </c>
      <c r="C1639" s="1">
        <f ca="1">IFERROR(__xludf.DUMMYFUNCTION("""COMPUTED_VALUE"""),4.52)</f>
        <v>4.5199999999999996</v>
      </c>
      <c r="D1639" s="1">
        <f ca="1">IFERROR(__xludf.DUMMYFUNCTION("""COMPUTED_VALUE"""),4.42)</f>
        <v>4.42</v>
      </c>
      <c r="E1639" s="1">
        <f ca="1">IFERROR(__xludf.DUMMYFUNCTION("""COMPUTED_VALUE"""),4.52)</f>
        <v>4.5199999999999996</v>
      </c>
      <c r="F1639" s="1">
        <f ca="1">IFERROR(__xludf.DUMMYFUNCTION("""COMPUTED_VALUE"""),555100)</f>
        <v>555100</v>
      </c>
      <c r="I1639" s="1"/>
    </row>
    <row r="1640" spans="1:9">
      <c r="A1640" s="3">
        <f ca="1">IFERROR(__xludf.DUMMYFUNCTION("""COMPUTED_VALUE"""),31588.6666666666)</f>
        <v>31588.666666666599</v>
      </c>
      <c r="B1640" s="1">
        <f ca="1">IFERROR(__xludf.DUMMYFUNCTION("""COMPUTED_VALUE"""),4.54)</f>
        <v>4.54</v>
      </c>
      <c r="C1640" s="1">
        <f ca="1">IFERROR(__xludf.DUMMYFUNCTION("""COMPUTED_VALUE"""),4.58)</f>
        <v>4.58</v>
      </c>
      <c r="D1640" s="1">
        <f ca="1">IFERROR(__xludf.DUMMYFUNCTION("""COMPUTED_VALUE"""),4.52)</f>
        <v>4.5199999999999996</v>
      </c>
      <c r="E1640" s="1">
        <f ca="1">IFERROR(__xludf.DUMMYFUNCTION("""COMPUTED_VALUE"""),4.54)</f>
        <v>4.54</v>
      </c>
      <c r="F1640" s="1">
        <f ca="1">IFERROR(__xludf.DUMMYFUNCTION("""COMPUTED_VALUE"""),508700)</f>
        <v>508700</v>
      </c>
      <c r="I1640" s="1"/>
    </row>
    <row r="1641" spans="1:9">
      <c r="A1641" s="3">
        <f ca="1">IFERROR(__xludf.DUMMYFUNCTION("""COMPUTED_VALUE"""),31589.6666666666)</f>
        <v>31589.666666666599</v>
      </c>
      <c r="B1641" s="1">
        <f ca="1">IFERROR(__xludf.DUMMYFUNCTION("""COMPUTED_VALUE"""),4.55)</f>
        <v>4.55</v>
      </c>
      <c r="C1641" s="1">
        <f ca="1">IFERROR(__xludf.DUMMYFUNCTION("""COMPUTED_VALUE"""),4.58)</f>
        <v>4.58</v>
      </c>
      <c r="D1641" s="1">
        <f ca="1">IFERROR(__xludf.DUMMYFUNCTION("""COMPUTED_VALUE"""),4.51)</f>
        <v>4.51</v>
      </c>
      <c r="E1641" s="1">
        <f ca="1">IFERROR(__xludf.DUMMYFUNCTION("""COMPUTED_VALUE"""),4.55)</f>
        <v>4.55</v>
      </c>
      <c r="F1641" s="1">
        <f ca="1">IFERROR(__xludf.DUMMYFUNCTION("""COMPUTED_VALUE"""),446800)</f>
        <v>446800</v>
      </c>
      <c r="I1641" s="1"/>
    </row>
    <row r="1642" spans="1:9">
      <c r="A1642" s="3">
        <f ca="1">IFERROR(__xludf.DUMMYFUNCTION("""COMPUTED_VALUE"""),31590.6666666666)</f>
        <v>31590.666666666599</v>
      </c>
      <c r="B1642" s="1">
        <f ca="1">IFERROR(__xludf.DUMMYFUNCTION("""COMPUTED_VALUE"""),4.54)</f>
        <v>4.54</v>
      </c>
      <c r="C1642" s="1">
        <f ca="1">IFERROR(__xludf.DUMMYFUNCTION("""COMPUTED_VALUE"""),4.56)</f>
        <v>4.5599999999999996</v>
      </c>
      <c r="D1642" s="1">
        <f ca="1">IFERROR(__xludf.DUMMYFUNCTION("""COMPUTED_VALUE"""),4.52)</f>
        <v>4.5199999999999996</v>
      </c>
      <c r="E1642" s="1">
        <f ca="1">IFERROR(__xludf.DUMMYFUNCTION("""COMPUTED_VALUE"""),4.54)</f>
        <v>4.54</v>
      </c>
      <c r="F1642" s="1">
        <f ca="1">IFERROR(__xludf.DUMMYFUNCTION("""COMPUTED_VALUE"""),218700)</f>
        <v>218700</v>
      </c>
      <c r="I1642" s="1"/>
    </row>
    <row r="1643" spans="1:9">
      <c r="A1643" s="3">
        <f ca="1">IFERROR(__xludf.DUMMYFUNCTION("""COMPUTED_VALUE"""),31593.6666666666)</f>
        <v>31593.666666666599</v>
      </c>
      <c r="B1643" s="1">
        <f ca="1">IFERROR(__xludf.DUMMYFUNCTION("""COMPUTED_VALUE"""),4.54)</f>
        <v>4.54</v>
      </c>
      <c r="C1643" s="1">
        <f ca="1">IFERROR(__xludf.DUMMYFUNCTION("""COMPUTED_VALUE"""),4.61)</f>
        <v>4.6100000000000003</v>
      </c>
      <c r="D1643" s="1">
        <f ca="1">IFERROR(__xludf.DUMMYFUNCTION("""COMPUTED_VALUE"""),4.54)</f>
        <v>4.54</v>
      </c>
      <c r="E1643" s="1">
        <f ca="1">IFERROR(__xludf.DUMMYFUNCTION("""COMPUTED_VALUE"""),4.54)</f>
        <v>4.54</v>
      </c>
      <c r="F1643" s="1">
        <f ca="1">IFERROR(__xludf.DUMMYFUNCTION("""COMPUTED_VALUE"""),286700)</f>
        <v>286700</v>
      </c>
      <c r="I1643" s="1"/>
    </row>
    <row r="1644" spans="1:9">
      <c r="A1644" s="3">
        <f ca="1">IFERROR(__xludf.DUMMYFUNCTION("""COMPUTED_VALUE"""),31594.6666666666)</f>
        <v>31594.666666666599</v>
      </c>
      <c r="B1644" s="1">
        <f ca="1">IFERROR(__xludf.DUMMYFUNCTION("""COMPUTED_VALUE"""),4.52)</f>
        <v>4.5199999999999996</v>
      </c>
      <c r="C1644" s="1">
        <f ca="1">IFERROR(__xludf.DUMMYFUNCTION("""COMPUTED_VALUE"""),4.54)</f>
        <v>4.54</v>
      </c>
      <c r="D1644" s="1">
        <f ca="1">IFERROR(__xludf.DUMMYFUNCTION("""COMPUTED_VALUE"""),4.47)</f>
        <v>4.47</v>
      </c>
      <c r="E1644" s="1">
        <f ca="1">IFERROR(__xludf.DUMMYFUNCTION("""COMPUTED_VALUE"""),4.52)</f>
        <v>4.5199999999999996</v>
      </c>
      <c r="F1644" s="1">
        <f ca="1">IFERROR(__xludf.DUMMYFUNCTION("""COMPUTED_VALUE"""),314700)</f>
        <v>314700</v>
      </c>
      <c r="I1644" s="1"/>
    </row>
    <row r="1645" spans="1:9">
      <c r="A1645" s="3">
        <f ca="1">IFERROR(__xludf.DUMMYFUNCTION("""COMPUTED_VALUE"""),31595.6666666666)</f>
        <v>31595.666666666599</v>
      </c>
      <c r="B1645" s="1">
        <f ca="1">IFERROR(__xludf.DUMMYFUNCTION("""COMPUTED_VALUE"""),4.55)</f>
        <v>4.55</v>
      </c>
      <c r="C1645" s="1">
        <f ca="1">IFERROR(__xludf.DUMMYFUNCTION("""COMPUTED_VALUE"""),4.55)</f>
        <v>4.55</v>
      </c>
      <c r="D1645" s="1">
        <f ca="1">IFERROR(__xludf.DUMMYFUNCTION("""COMPUTED_VALUE"""),4.5)</f>
        <v>4.5</v>
      </c>
      <c r="E1645" s="1">
        <f ca="1">IFERROR(__xludf.DUMMYFUNCTION("""COMPUTED_VALUE"""),4.55)</f>
        <v>4.55</v>
      </c>
      <c r="F1645" s="1">
        <f ca="1">IFERROR(__xludf.DUMMYFUNCTION("""COMPUTED_VALUE"""),511500)</f>
        <v>511500</v>
      </c>
      <c r="I1645" s="1"/>
    </row>
    <row r="1646" spans="1:9">
      <c r="A1646" s="3">
        <f ca="1">IFERROR(__xludf.DUMMYFUNCTION("""COMPUTED_VALUE"""),31596.6666666666)</f>
        <v>31596.666666666599</v>
      </c>
      <c r="B1646" s="1">
        <f ca="1">IFERROR(__xludf.DUMMYFUNCTION("""COMPUTED_VALUE"""),4.49)</f>
        <v>4.49</v>
      </c>
      <c r="C1646" s="1">
        <f ca="1">IFERROR(__xludf.DUMMYFUNCTION("""COMPUTED_VALUE"""),4.55)</f>
        <v>4.55</v>
      </c>
      <c r="D1646" s="1">
        <f ca="1">IFERROR(__xludf.DUMMYFUNCTION("""COMPUTED_VALUE"""),4.47)</f>
        <v>4.47</v>
      </c>
      <c r="E1646" s="1">
        <f ca="1">IFERROR(__xludf.DUMMYFUNCTION("""COMPUTED_VALUE"""),4.49)</f>
        <v>4.49</v>
      </c>
      <c r="F1646" s="1">
        <f ca="1">IFERROR(__xludf.DUMMYFUNCTION("""COMPUTED_VALUE"""),183700)</f>
        <v>183700</v>
      </c>
      <c r="I1646" s="1"/>
    </row>
    <row r="1647" spans="1:9">
      <c r="A1647" s="3">
        <f ca="1">IFERROR(__xludf.DUMMYFUNCTION("""COMPUTED_VALUE"""),31600.6666666666)</f>
        <v>31600.666666666599</v>
      </c>
      <c r="B1647" s="1">
        <f ca="1">IFERROR(__xludf.DUMMYFUNCTION("""COMPUTED_VALUE"""),4.27)</f>
        <v>4.2699999999999996</v>
      </c>
      <c r="C1647" s="1">
        <f ca="1">IFERROR(__xludf.DUMMYFUNCTION("""COMPUTED_VALUE"""),4.49)</f>
        <v>4.49</v>
      </c>
      <c r="D1647" s="1">
        <f ca="1">IFERROR(__xludf.DUMMYFUNCTION("""COMPUTED_VALUE"""),4.24)</f>
        <v>4.24</v>
      </c>
      <c r="E1647" s="1">
        <f ca="1">IFERROR(__xludf.DUMMYFUNCTION("""COMPUTED_VALUE"""),4.27)</f>
        <v>4.2699999999999996</v>
      </c>
      <c r="F1647" s="1">
        <f ca="1">IFERROR(__xludf.DUMMYFUNCTION("""COMPUTED_VALUE"""),492300)</f>
        <v>492300</v>
      </c>
      <c r="I1647" s="1"/>
    </row>
    <row r="1648" spans="1:9">
      <c r="A1648" s="3">
        <f ca="1">IFERROR(__xludf.DUMMYFUNCTION("""COMPUTED_VALUE"""),31601.6666666666)</f>
        <v>31601.666666666599</v>
      </c>
      <c r="B1648" s="1">
        <f ca="1">IFERROR(__xludf.DUMMYFUNCTION("""COMPUTED_VALUE"""),4.14)</f>
        <v>4.1399999999999997</v>
      </c>
      <c r="C1648" s="1">
        <f ca="1">IFERROR(__xludf.DUMMYFUNCTION("""COMPUTED_VALUE"""),4.2)</f>
        <v>4.2</v>
      </c>
      <c r="D1648" s="1">
        <f ca="1">IFERROR(__xludf.DUMMYFUNCTION("""COMPUTED_VALUE"""),4.09)</f>
        <v>4.09</v>
      </c>
      <c r="E1648" s="1">
        <f ca="1">IFERROR(__xludf.DUMMYFUNCTION("""COMPUTED_VALUE"""),4.14)</f>
        <v>4.1399999999999997</v>
      </c>
      <c r="F1648" s="1">
        <f ca="1">IFERROR(__xludf.DUMMYFUNCTION("""COMPUTED_VALUE"""),700900)</f>
        <v>700900</v>
      </c>
      <c r="I1648" s="1"/>
    </row>
    <row r="1649" spans="1:9">
      <c r="A1649" s="3">
        <f ca="1">IFERROR(__xludf.DUMMYFUNCTION("""COMPUTED_VALUE"""),31602.6666666666)</f>
        <v>31602.666666666599</v>
      </c>
      <c r="B1649" s="1">
        <f ca="1">IFERROR(__xludf.DUMMYFUNCTION("""COMPUTED_VALUE"""),4.18)</f>
        <v>4.18</v>
      </c>
      <c r="C1649" s="1">
        <f ca="1">IFERROR(__xludf.DUMMYFUNCTION("""COMPUTED_VALUE"""),4.21)</f>
        <v>4.21</v>
      </c>
      <c r="D1649" s="1">
        <f ca="1">IFERROR(__xludf.DUMMYFUNCTION("""COMPUTED_VALUE"""),4.13)</f>
        <v>4.13</v>
      </c>
      <c r="E1649" s="1">
        <f ca="1">IFERROR(__xludf.DUMMYFUNCTION("""COMPUTED_VALUE"""),4.18)</f>
        <v>4.18</v>
      </c>
      <c r="F1649" s="1">
        <f ca="1">IFERROR(__xludf.DUMMYFUNCTION("""COMPUTED_VALUE"""),532400)</f>
        <v>532400</v>
      </c>
      <c r="I1649" s="1"/>
    </row>
    <row r="1650" spans="1:9">
      <c r="A1650" s="3">
        <f ca="1">IFERROR(__xludf.DUMMYFUNCTION("""COMPUTED_VALUE"""),31603.6666666666)</f>
        <v>31603.666666666599</v>
      </c>
      <c r="B1650" s="1">
        <f ca="1">IFERROR(__xludf.DUMMYFUNCTION("""COMPUTED_VALUE"""),4.2)</f>
        <v>4.2</v>
      </c>
      <c r="C1650" s="1">
        <f ca="1">IFERROR(__xludf.DUMMYFUNCTION("""COMPUTED_VALUE"""),4.2)</f>
        <v>4.2</v>
      </c>
      <c r="D1650" s="1">
        <f ca="1">IFERROR(__xludf.DUMMYFUNCTION("""COMPUTED_VALUE"""),4.13)</f>
        <v>4.13</v>
      </c>
      <c r="E1650" s="1">
        <f ca="1">IFERROR(__xludf.DUMMYFUNCTION("""COMPUTED_VALUE"""),4.2)</f>
        <v>4.2</v>
      </c>
      <c r="F1650" s="1">
        <f ca="1">IFERROR(__xludf.DUMMYFUNCTION("""COMPUTED_VALUE"""),525500)</f>
        <v>525500</v>
      </c>
      <c r="I1650" s="1"/>
    </row>
    <row r="1651" spans="1:9">
      <c r="A1651" s="3">
        <f ca="1">IFERROR(__xludf.DUMMYFUNCTION("""COMPUTED_VALUE"""),31604.6666666666)</f>
        <v>31604.666666666599</v>
      </c>
      <c r="B1651" s="1">
        <f ca="1">IFERROR(__xludf.DUMMYFUNCTION("""COMPUTED_VALUE"""),4.17)</f>
        <v>4.17</v>
      </c>
      <c r="C1651" s="1">
        <f ca="1">IFERROR(__xludf.DUMMYFUNCTION("""COMPUTED_VALUE"""),4.2)</f>
        <v>4.2</v>
      </c>
      <c r="D1651" s="1">
        <f ca="1">IFERROR(__xludf.DUMMYFUNCTION("""COMPUTED_VALUE"""),4.16)</f>
        <v>4.16</v>
      </c>
      <c r="E1651" s="1">
        <f ca="1">IFERROR(__xludf.DUMMYFUNCTION("""COMPUTED_VALUE"""),4.17)</f>
        <v>4.17</v>
      </c>
      <c r="F1651" s="1">
        <f ca="1">IFERROR(__xludf.DUMMYFUNCTION("""COMPUTED_VALUE"""),355900)</f>
        <v>355900</v>
      </c>
      <c r="I1651" s="1"/>
    </row>
    <row r="1652" spans="1:9">
      <c r="A1652" s="3">
        <f ca="1">IFERROR(__xludf.DUMMYFUNCTION("""COMPUTED_VALUE"""),31607.6666666666)</f>
        <v>31607.666666666599</v>
      </c>
      <c r="B1652" s="1">
        <f ca="1">IFERROR(__xludf.DUMMYFUNCTION("""COMPUTED_VALUE"""),4.12)</f>
        <v>4.12</v>
      </c>
      <c r="C1652" s="1">
        <f ca="1">IFERROR(__xludf.DUMMYFUNCTION("""COMPUTED_VALUE"""),4.16)</f>
        <v>4.16</v>
      </c>
      <c r="D1652" s="1">
        <f ca="1">IFERROR(__xludf.DUMMYFUNCTION("""COMPUTED_VALUE"""),4.1)</f>
        <v>4.0999999999999996</v>
      </c>
      <c r="E1652" s="1">
        <f ca="1">IFERROR(__xludf.DUMMYFUNCTION("""COMPUTED_VALUE"""),4.12)</f>
        <v>4.12</v>
      </c>
      <c r="F1652" s="1">
        <f ca="1">IFERROR(__xludf.DUMMYFUNCTION("""COMPUTED_VALUE"""),400300)</f>
        <v>400300</v>
      </c>
      <c r="I1652" s="1"/>
    </row>
    <row r="1653" spans="1:9">
      <c r="A1653" s="3">
        <f ca="1">IFERROR(__xludf.DUMMYFUNCTION("""COMPUTED_VALUE"""),31608.6666666666)</f>
        <v>31608.666666666599</v>
      </c>
      <c r="B1653" s="1">
        <f ca="1">IFERROR(__xludf.DUMMYFUNCTION("""COMPUTED_VALUE"""),4.14)</f>
        <v>4.1399999999999997</v>
      </c>
      <c r="C1653" s="1">
        <f ca="1">IFERROR(__xludf.DUMMYFUNCTION("""COMPUTED_VALUE"""),4.16)</f>
        <v>4.16</v>
      </c>
      <c r="D1653" s="1">
        <f ca="1">IFERROR(__xludf.DUMMYFUNCTION("""COMPUTED_VALUE"""),4.02)</f>
        <v>4.0199999999999996</v>
      </c>
      <c r="E1653" s="1">
        <f ca="1">IFERROR(__xludf.DUMMYFUNCTION("""COMPUTED_VALUE"""),4.14)</f>
        <v>4.1399999999999997</v>
      </c>
      <c r="F1653" s="1">
        <f ca="1">IFERROR(__xludf.DUMMYFUNCTION("""COMPUTED_VALUE"""),908800)</f>
        <v>908800</v>
      </c>
      <c r="I1653" s="1"/>
    </row>
    <row r="1654" spans="1:9">
      <c r="A1654" s="3">
        <f ca="1">IFERROR(__xludf.DUMMYFUNCTION("""COMPUTED_VALUE"""),31609.6666666666)</f>
        <v>31609.666666666599</v>
      </c>
      <c r="B1654" s="1">
        <f ca="1">IFERROR(__xludf.DUMMYFUNCTION("""COMPUTED_VALUE"""),4.15)</f>
        <v>4.1500000000000004</v>
      </c>
      <c r="C1654" s="1">
        <f ca="1">IFERROR(__xludf.DUMMYFUNCTION("""COMPUTED_VALUE"""),4.17)</f>
        <v>4.17</v>
      </c>
      <c r="D1654" s="1">
        <f ca="1">IFERROR(__xludf.DUMMYFUNCTION("""COMPUTED_VALUE"""),4.11)</f>
        <v>4.1100000000000003</v>
      </c>
      <c r="E1654" s="1">
        <f ca="1">IFERROR(__xludf.DUMMYFUNCTION("""COMPUTED_VALUE"""),4.15)</f>
        <v>4.1500000000000004</v>
      </c>
      <c r="F1654" s="1">
        <f ca="1">IFERROR(__xludf.DUMMYFUNCTION("""COMPUTED_VALUE"""),549900)</f>
        <v>549900</v>
      </c>
      <c r="I1654" s="1"/>
    </row>
    <row r="1655" spans="1:9">
      <c r="A1655" s="3">
        <f ca="1">IFERROR(__xludf.DUMMYFUNCTION("""COMPUTED_VALUE"""),31610.6666666666)</f>
        <v>31610.666666666599</v>
      </c>
      <c r="B1655" s="1">
        <f ca="1">IFERROR(__xludf.DUMMYFUNCTION("""COMPUTED_VALUE"""),4.2)</f>
        <v>4.2</v>
      </c>
      <c r="C1655" s="1">
        <f ca="1">IFERROR(__xludf.DUMMYFUNCTION("""COMPUTED_VALUE"""),4.2)</f>
        <v>4.2</v>
      </c>
      <c r="D1655" s="1">
        <f ca="1">IFERROR(__xludf.DUMMYFUNCTION("""COMPUTED_VALUE"""),4.16)</f>
        <v>4.16</v>
      </c>
      <c r="E1655" s="1">
        <f ca="1">IFERROR(__xludf.DUMMYFUNCTION("""COMPUTED_VALUE"""),4.2)</f>
        <v>4.2</v>
      </c>
      <c r="F1655" s="1">
        <f ca="1">IFERROR(__xludf.DUMMYFUNCTION("""COMPUTED_VALUE"""),541900)</f>
        <v>541900</v>
      </c>
      <c r="I1655" s="1"/>
    </row>
    <row r="1656" spans="1:9">
      <c r="A1656" s="3">
        <f ca="1">IFERROR(__xludf.DUMMYFUNCTION("""COMPUTED_VALUE"""),31611.6666666666)</f>
        <v>31611.666666666599</v>
      </c>
      <c r="B1656" s="1">
        <f ca="1">IFERROR(__xludf.DUMMYFUNCTION("""COMPUTED_VALUE"""),4.22)</f>
        <v>4.22</v>
      </c>
      <c r="C1656" s="1">
        <f ca="1">IFERROR(__xludf.DUMMYFUNCTION("""COMPUTED_VALUE"""),4.27)</f>
        <v>4.2699999999999996</v>
      </c>
      <c r="D1656" s="1">
        <f ca="1">IFERROR(__xludf.DUMMYFUNCTION("""COMPUTED_VALUE"""),4.18)</f>
        <v>4.18</v>
      </c>
      <c r="E1656" s="1">
        <f ca="1">IFERROR(__xludf.DUMMYFUNCTION("""COMPUTED_VALUE"""),4.22)</f>
        <v>4.22</v>
      </c>
      <c r="F1656" s="1">
        <f ca="1">IFERROR(__xludf.DUMMYFUNCTION("""COMPUTED_VALUE"""),1008600)</f>
        <v>1008600</v>
      </c>
      <c r="I1656" s="1"/>
    </row>
    <row r="1657" spans="1:9">
      <c r="A1657" s="3">
        <f ca="1">IFERROR(__xludf.DUMMYFUNCTION("""COMPUTED_VALUE"""),31614.6666666666)</f>
        <v>31614.666666666599</v>
      </c>
      <c r="B1657" s="1">
        <f ca="1">IFERROR(__xludf.DUMMYFUNCTION("""COMPUTED_VALUE"""),4.21)</f>
        <v>4.21</v>
      </c>
      <c r="C1657" s="1">
        <f ca="1">IFERROR(__xludf.DUMMYFUNCTION("""COMPUTED_VALUE"""),4.22)</f>
        <v>4.22</v>
      </c>
      <c r="D1657" s="1">
        <f ca="1">IFERROR(__xludf.DUMMYFUNCTION("""COMPUTED_VALUE"""),4.16)</f>
        <v>4.16</v>
      </c>
      <c r="E1657" s="1">
        <f ca="1">IFERROR(__xludf.DUMMYFUNCTION("""COMPUTED_VALUE"""),4.21)</f>
        <v>4.21</v>
      </c>
      <c r="F1657" s="1">
        <f ca="1">IFERROR(__xludf.DUMMYFUNCTION("""COMPUTED_VALUE"""),422100)</f>
        <v>422100</v>
      </c>
      <c r="I1657" s="1"/>
    </row>
    <row r="1658" spans="1:9">
      <c r="A1658" s="3">
        <f ca="1">IFERROR(__xludf.DUMMYFUNCTION("""COMPUTED_VALUE"""),31615.6666666666)</f>
        <v>31615.666666666599</v>
      </c>
      <c r="B1658" s="1">
        <f ca="1">IFERROR(__xludf.DUMMYFUNCTION("""COMPUTED_VALUE"""),4.32)</f>
        <v>4.32</v>
      </c>
      <c r="C1658" s="1">
        <f ca="1">IFERROR(__xludf.DUMMYFUNCTION("""COMPUTED_VALUE"""),4.32)</f>
        <v>4.32</v>
      </c>
      <c r="D1658" s="1">
        <f ca="1">IFERROR(__xludf.DUMMYFUNCTION("""COMPUTED_VALUE"""),4.16)</f>
        <v>4.16</v>
      </c>
      <c r="E1658" s="1">
        <f ca="1">IFERROR(__xludf.DUMMYFUNCTION("""COMPUTED_VALUE"""),4.32)</f>
        <v>4.32</v>
      </c>
      <c r="F1658" s="1">
        <f ca="1">IFERROR(__xludf.DUMMYFUNCTION("""COMPUTED_VALUE"""),453100)</f>
        <v>453100</v>
      </c>
      <c r="I1658" s="1"/>
    </row>
    <row r="1659" spans="1:9">
      <c r="A1659" s="3">
        <f ca="1">IFERROR(__xludf.DUMMYFUNCTION("""COMPUTED_VALUE"""),31616.6666666666)</f>
        <v>31616.666666666599</v>
      </c>
      <c r="B1659" s="1">
        <f ca="1">IFERROR(__xludf.DUMMYFUNCTION("""COMPUTED_VALUE"""),4.4)</f>
        <v>4.4000000000000004</v>
      </c>
      <c r="C1659" s="1">
        <f ca="1">IFERROR(__xludf.DUMMYFUNCTION("""COMPUTED_VALUE"""),4.45)</f>
        <v>4.45</v>
      </c>
      <c r="D1659" s="1">
        <f ca="1">IFERROR(__xludf.DUMMYFUNCTION("""COMPUTED_VALUE"""),4.29)</f>
        <v>4.29</v>
      </c>
      <c r="E1659" s="1">
        <f ca="1">IFERROR(__xludf.DUMMYFUNCTION("""COMPUTED_VALUE"""),4.4)</f>
        <v>4.4000000000000004</v>
      </c>
      <c r="F1659" s="1">
        <f ca="1">IFERROR(__xludf.DUMMYFUNCTION("""COMPUTED_VALUE"""),594800)</f>
        <v>594800</v>
      </c>
      <c r="I1659" s="1"/>
    </row>
    <row r="1660" spans="1:9">
      <c r="A1660" s="3">
        <f ca="1">IFERROR(__xludf.DUMMYFUNCTION("""COMPUTED_VALUE"""),31617.6666666666)</f>
        <v>31617.666666666599</v>
      </c>
      <c r="B1660" s="1">
        <f ca="1">IFERROR(__xludf.DUMMYFUNCTION("""COMPUTED_VALUE"""),4.33)</f>
        <v>4.33</v>
      </c>
      <c r="C1660" s="1">
        <f ca="1">IFERROR(__xludf.DUMMYFUNCTION("""COMPUTED_VALUE"""),4.4)</f>
        <v>4.4000000000000004</v>
      </c>
      <c r="D1660" s="1">
        <f ca="1">IFERROR(__xludf.DUMMYFUNCTION("""COMPUTED_VALUE"""),4.3)</f>
        <v>4.3</v>
      </c>
      <c r="E1660" s="1">
        <f ca="1">IFERROR(__xludf.DUMMYFUNCTION("""COMPUTED_VALUE"""),4.33)</f>
        <v>4.33</v>
      </c>
      <c r="F1660" s="1">
        <f ca="1">IFERROR(__xludf.DUMMYFUNCTION("""COMPUTED_VALUE"""),335400)</f>
        <v>335400</v>
      </c>
      <c r="I1660" s="1"/>
    </row>
    <row r="1661" spans="1:9">
      <c r="A1661" s="3">
        <f ca="1">IFERROR(__xludf.DUMMYFUNCTION("""COMPUTED_VALUE"""),31618.6666666666)</f>
        <v>31618.666666666599</v>
      </c>
      <c r="B1661" s="1">
        <f ca="1">IFERROR(__xludf.DUMMYFUNCTION("""COMPUTED_VALUE"""),4.36)</f>
        <v>4.3600000000000003</v>
      </c>
      <c r="C1661" s="1">
        <f ca="1">IFERROR(__xludf.DUMMYFUNCTION("""COMPUTED_VALUE"""),4.38)</f>
        <v>4.38</v>
      </c>
      <c r="D1661" s="1">
        <f ca="1">IFERROR(__xludf.DUMMYFUNCTION("""COMPUTED_VALUE"""),4.34)</f>
        <v>4.34</v>
      </c>
      <c r="E1661" s="1">
        <f ca="1">IFERROR(__xludf.DUMMYFUNCTION("""COMPUTED_VALUE"""),4.36)</f>
        <v>4.3600000000000003</v>
      </c>
      <c r="F1661" s="1">
        <f ca="1">IFERROR(__xludf.DUMMYFUNCTION("""COMPUTED_VALUE"""),447800)</f>
        <v>447800</v>
      </c>
      <c r="I1661" s="1"/>
    </row>
    <row r="1662" spans="1:9">
      <c r="A1662" s="3">
        <f ca="1">IFERROR(__xludf.DUMMYFUNCTION("""COMPUTED_VALUE"""),31621.6666666666)</f>
        <v>31621.666666666599</v>
      </c>
      <c r="B1662" s="1">
        <f ca="1">IFERROR(__xludf.DUMMYFUNCTION("""COMPUTED_VALUE"""),4.23)</f>
        <v>4.2300000000000004</v>
      </c>
      <c r="C1662" s="1">
        <f ca="1">IFERROR(__xludf.DUMMYFUNCTION("""COMPUTED_VALUE"""),4.35)</f>
        <v>4.3499999999999996</v>
      </c>
      <c r="D1662" s="1">
        <f ca="1">IFERROR(__xludf.DUMMYFUNCTION("""COMPUTED_VALUE"""),4.23)</f>
        <v>4.2300000000000004</v>
      </c>
      <c r="E1662" s="1">
        <f ca="1">IFERROR(__xludf.DUMMYFUNCTION("""COMPUTED_VALUE"""),4.23)</f>
        <v>4.2300000000000004</v>
      </c>
      <c r="F1662" s="1">
        <f ca="1">IFERROR(__xludf.DUMMYFUNCTION("""COMPUTED_VALUE"""),393700)</f>
        <v>393700</v>
      </c>
      <c r="I1662" s="1"/>
    </row>
    <row r="1663" spans="1:9">
      <c r="A1663" s="3">
        <f ca="1">IFERROR(__xludf.DUMMYFUNCTION("""COMPUTED_VALUE"""),31622.6666666666)</f>
        <v>31622.666666666599</v>
      </c>
      <c r="B1663" s="1">
        <f ca="1">IFERROR(__xludf.DUMMYFUNCTION("""COMPUTED_VALUE"""),4.21)</f>
        <v>4.21</v>
      </c>
      <c r="C1663" s="1">
        <f ca="1">IFERROR(__xludf.DUMMYFUNCTION("""COMPUTED_VALUE"""),4.24)</f>
        <v>4.24</v>
      </c>
      <c r="D1663" s="1">
        <f ca="1">IFERROR(__xludf.DUMMYFUNCTION("""COMPUTED_VALUE"""),4.2)</f>
        <v>4.2</v>
      </c>
      <c r="E1663" s="1">
        <f ca="1">IFERROR(__xludf.DUMMYFUNCTION("""COMPUTED_VALUE"""),4.21)</f>
        <v>4.21</v>
      </c>
      <c r="F1663" s="1">
        <f ca="1">IFERROR(__xludf.DUMMYFUNCTION("""COMPUTED_VALUE"""),372700)</f>
        <v>372700</v>
      </c>
      <c r="I1663" s="1"/>
    </row>
    <row r="1664" spans="1:9">
      <c r="A1664" s="3">
        <f ca="1">IFERROR(__xludf.DUMMYFUNCTION("""COMPUTED_VALUE"""),31623.6666666666)</f>
        <v>31623.666666666599</v>
      </c>
      <c r="B1664" s="1">
        <f ca="1">IFERROR(__xludf.DUMMYFUNCTION("""COMPUTED_VALUE"""),4.3)</f>
        <v>4.3</v>
      </c>
      <c r="C1664" s="1">
        <f ca="1">IFERROR(__xludf.DUMMYFUNCTION("""COMPUTED_VALUE"""),4.31)</f>
        <v>4.3099999999999996</v>
      </c>
      <c r="D1664" s="1">
        <f ca="1">IFERROR(__xludf.DUMMYFUNCTION("""COMPUTED_VALUE"""),4.2)</f>
        <v>4.2</v>
      </c>
      <c r="E1664" s="1">
        <f ca="1">IFERROR(__xludf.DUMMYFUNCTION("""COMPUTED_VALUE"""),4.3)</f>
        <v>4.3</v>
      </c>
      <c r="F1664" s="1">
        <f ca="1">IFERROR(__xludf.DUMMYFUNCTION("""COMPUTED_VALUE"""),635800)</f>
        <v>635800</v>
      </c>
      <c r="I1664" s="1"/>
    </row>
    <row r="1665" spans="1:9">
      <c r="A1665" s="3">
        <f ca="1">IFERROR(__xludf.DUMMYFUNCTION("""COMPUTED_VALUE"""),31624.6666666666)</f>
        <v>31624.666666666599</v>
      </c>
      <c r="B1665" s="1">
        <f ca="1">IFERROR(__xludf.DUMMYFUNCTION("""COMPUTED_VALUE"""),4.26)</f>
        <v>4.26</v>
      </c>
      <c r="C1665" s="1">
        <f ca="1">IFERROR(__xludf.DUMMYFUNCTION("""COMPUTED_VALUE"""),4.3)</f>
        <v>4.3</v>
      </c>
      <c r="D1665" s="1">
        <f ca="1">IFERROR(__xludf.DUMMYFUNCTION("""COMPUTED_VALUE"""),4.23)</f>
        <v>4.2300000000000004</v>
      </c>
      <c r="E1665" s="1">
        <f ca="1">IFERROR(__xludf.DUMMYFUNCTION("""COMPUTED_VALUE"""),4.26)</f>
        <v>4.26</v>
      </c>
      <c r="F1665" s="1">
        <f ca="1">IFERROR(__xludf.DUMMYFUNCTION("""COMPUTED_VALUE"""),237200)</f>
        <v>237200</v>
      </c>
      <c r="I1665" s="1"/>
    </row>
    <row r="1666" spans="1:9">
      <c r="A1666" s="3">
        <f ca="1">IFERROR(__xludf.DUMMYFUNCTION("""COMPUTED_VALUE"""),31625.6666666666)</f>
        <v>31625.666666666599</v>
      </c>
      <c r="B1666" s="1">
        <f ca="1">IFERROR(__xludf.DUMMYFUNCTION("""COMPUTED_VALUE"""),4.22)</f>
        <v>4.22</v>
      </c>
      <c r="C1666" s="1">
        <f ca="1">IFERROR(__xludf.DUMMYFUNCTION("""COMPUTED_VALUE"""),4.28)</f>
        <v>4.28</v>
      </c>
      <c r="D1666" s="1">
        <f ca="1">IFERROR(__xludf.DUMMYFUNCTION("""COMPUTED_VALUE"""),4.21)</f>
        <v>4.21</v>
      </c>
      <c r="E1666" s="1">
        <f ca="1">IFERROR(__xludf.DUMMYFUNCTION("""COMPUTED_VALUE"""),4.22)</f>
        <v>4.22</v>
      </c>
      <c r="F1666" s="1">
        <f ca="1">IFERROR(__xludf.DUMMYFUNCTION("""COMPUTED_VALUE"""),236700)</f>
        <v>236700</v>
      </c>
      <c r="I1666" s="1"/>
    </row>
    <row r="1667" spans="1:9">
      <c r="A1667" s="3">
        <f ca="1">IFERROR(__xludf.DUMMYFUNCTION("""COMPUTED_VALUE"""),31628.6666666666)</f>
        <v>31628.666666666599</v>
      </c>
      <c r="B1667" s="1">
        <f ca="1">IFERROR(__xludf.DUMMYFUNCTION("""COMPUTED_VALUE"""),4.27)</f>
        <v>4.2699999999999996</v>
      </c>
      <c r="C1667" s="1">
        <f ca="1">IFERROR(__xludf.DUMMYFUNCTION("""COMPUTED_VALUE"""),4.3)</f>
        <v>4.3</v>
      </c>
      <c r="D1667" s="1">
        <f ca="1">IFERROR(__xludf.DUMMYFUNCTION("""COMPUTED_VALUE"""),4.19)</f>
        <v>4.1900000000000004</v>
      </c>
      <c r="E1667" s="1">
        <f ca="1">IFERROR(__xludf.DUMMYFUNCTION("""COMPUTED_VALUE"""),4.27)</f>
        <v>4.2699999999999996</v>
      </c>
      <c r="F1667" s="1">
        <f ca="1">IFERROR(__xludf.DUMMYFUNCTION("""COMPUTED_VALUE"""),399700)</f>
        <v>399700</v>
      </c>
      <c r="I1667" s="1"/>
    </row>
    <row r="1668" spans="1:9">
      <c r="A1668" s="3">
        <f ca="1">IFERROR(__xludf.DUMMYFUNCTION("""COMPUTED_VALUE"""),31629.6666666666)</f>
        <v>31629.666666666599</v>
      </c>
      <c r="B1668" s="1">
        <f ca="1">IFERROR(__xludf.DUMMYFUNCTION("""COMPUTED_VALUE"""),4.21)</f>
        <v>4.21</v>
      </c>
      <c r="C1668" s="1">
        <f ca="1">IFERROR(__xludf.DUMMYFUNCTION("""COMPUTED_VALUE"""),4.27)</f>
        <v>4.2699999999999996</v>
      </c>
      <c r="D1668" s="1">
        <f ca="1">IFERROR(__xludf.DUMMYFUNCTION("""COMPUTED_VALUE"""),4.2)</f>
        <v>4.2</v>
      </c>
      <c r="E1668" s="1">
        <f ca="1">IFERROR(__xludf.DUMMYFUNCTION("""COMPUTED_VALUE"""),4.21)</f>
        <v>4.21</v>
      </c>
      <c r="F1668" s="1">
        <f ca="1">IFERROR(__xludf.DUMMYFUNCTION("""COMPUTED_VALUE"""),418400)</f>
        <v>418400</v>
      </c>
      <c r="I1668" s="1"/>
    </row>
    <row r="1669" spans="1:9">
      <c r="A1669" s="3">
        <f ca="1">IFERROR(__xludf.DUMMYFUNCTION("""COMPUTED_VALUE"""),31630.6666666666)</f>
        <v>31630.666666666599</v>
      </c>
      <c r="B1669" s="1">
        <f ca="1">IFERROR(__xludf.DUMMYFUNCTION("""COMPUTED_VALUE"""),4.23)</f>
        <v>4.2300000000000004</v>
      </c>
      <c r="C1669" s="1">
        <f ca="1">IFERROR(__xludf.DUMMYFUNCTION("""COMPUTED_VALUE"""),4.23)</f>
        <v>4.2300000000000004</v>
      </c>
      <c r="D1669" s="1">
        <f ca="1">IFERROR(__xludf.DUMMYFUNCTION("""COMPUTED_VALUE"""),4.19)</f>
        <v>4.1900000000000004</v>
      </c>
      <c r="E1669" s="1">
        <f ca="1">IFERROR(__xludf.DUMMYFUNCTION("""COMPUTED_VALUE"""),4.23)</f>
        <v>4.2300000000000004</v>
      </c>
      <c r="F1669" s="1">
        <f ca="1">IFERROR(__xludf.DUMMYFUNCTION("""COMPUTED_VALUE"""),422000)</f>
        <v>422000</v>
      </c>
      <c r="I1669" s="1"/>
    </row>
    <row r="1670" spans="1:9">
      <c r="A1670" s="3">
        <f ca="1">IFERROR(__xludf.DUMMYFUNCTION("""COMPUTED_VALUE"""),31631.6666666666)</f>
        <v>31631.666666666599</v>
      </c>
      <c r="B1670" s="1">
        <f ca="1">IFERROR(__xludf.DUMMYFUNCTION("""COMPUTED_VALUE"""),4.23)</f>
        <v>4.2300000000000004</v>
      </c>
      <c r="C1670" s="1">
        <f ca="1">IFERROR(__xludf.DUMMYFUNCTION("""COMPUTED_VALUE"""),4.27)</f>
        <v>4.2699999999999996</v>
      </c>
      <c r="D1670" s="1">
        <f ca="1">IFERROR(__xludf.DUMMYFUNCTION("""COMPUTED_VALUE"""),4.21)</f>
        <v>4.21</v>
      </c>
      <c r="E1670" s="1">
        <f ca="1">IFERROR(__xludf.DUMMYFUNCTION("""COMPUTED_VALUE"""),4.23)</f>
        <v>4.2300000000000004</v>
      </c>
      <c r="F1670" s="1">
        <f ca="1">IFERROR(__xludf.DUMMYFUNCTION("""COMPUTED_VALUE"""),375400)</f>
        <v>375400</v>
      </c>
      <c r="I1670" s="1"/>
    </row>
    <row r="1671" spans="1:9">
      <c r="A1671" s="3">
        <f ca="1">IFERROR(__xludf.DUMMYFUNCTION("""COMPUTED_VALUE"""),31632.6666666666)</f>
        <v>31632.666666666599</v>
      </c>
      <c r="B1671" s="1">
        <f ca="1">IFERROR(__xludf.DUMMYFUNCTION("""COMPUTED_VALUE"""),4.28)</f>
        <v>4.28</v>
      </c>
      <c r="C1671" s="1">
        <f ca="1">IFERROR(__xludf.DUMMYFUNCTION("""COMPUTED_VALUE"""),4.28)</f>
        <v>4.28</v>
      </c>
      <c r="D1671" s="1">
        <f ca="1">IFERROR(__xludf.DUMMYFUNCTION("""COMPUTED_VALUE"""),4.23)</f>
        <v>4.2300000000000004</v>
      </c>
      <c r="E1671" s="1">
        <f ca="1">IFERROR(__xludf.DUMMYFUNCTION("""COMPUTED_VALUE"""),4.28)</f>
        <v>4.28</v>
      </c>
      <c r="F1671" s="1">
        <f ca="1">IFERROR(__xludf.DUMMYFUNCTION("""COMPUTED_VALUE"""),247400)</f>
        <v>247400</v>
      </c>
      <c r="I1671" s="1"/>
    </row>
    <row r="1672" spans="1:9">
      <c r="A1672" s="3">
        <f ca="1">IFERROR(__xludf.DUMMYFUNCTION("""COMPUTED_VALUE"""),31635.6666666666)</f>
        <v>31635.666666666599</v>
      </c>
      <c r="B1672" s="1">
        <f ca="1">IFERROR(__xludf.DUMMYFUNCTION("""COMPUTED_VALUE"""),4.32)</f>
        <v>4.32</v>
      </c>
      <c r="C1672" s="1">
        <f ca="1">IFERROR(__xludf.DUMMYFUNCTION("""COMPUTED_VALUE"""),4.34)</f>
        <v>4.34</v>
      </c>
      <c r="D1672" s="1">
        <f ca="1">IFERROR(__xludf.DUMMYFUNCTION("""COMPUTED_VALUE"""),4.27)</f>
        <v>4.2699999999999996</v>
      </c>
      <c r="E1672" s="1">
        <f ca="1">IFERROR(__xludf.DUMMYFUNCTION("""COMPUTED_VALUE"""),4.32)</f>
        <v>4.32</v>
      </c>
      <c r="F1672" s="1">
        <f ca="1">IFERROR(__xludf.DUMMYFUNCTION("""COMPUTED_VALUE"""),507200)</f>
        <v>507200</v>
      </c>
      <c r="I1672" s="1"/>
    </row>
    <row r="1673" spans="1:9">
      <c r="A1673" s="3">
        <f ca="1">IFERROR(__xludf.DUMMYFUNCTION("""COMPUTED_VALUE"""),31636.6666666666)</f>
        <v>31636.666666666599</v>
      </c>
      <c r="B1673" s="1">
        <f ca="1">IFERROR(__xludf.DUMMYFUNCTION("""COMPUTED_VALUE"""),4.33)</f>
        <v>4.33</v>
      </c>
      <c r="C1673" s="1">
        <f ca="1">IFERROR(__xludf.DUMMYFUNCTION("""COMPUTED_VALUE"""),4.34)</f>
        <v>4.34</v>
      </c>
      <c r="D1673" s="1">
        <f ca="1">IFERROR(__xludf.DUMMYFUNCTION("""COMPUTED_VALUE"""),4.29)</f>
        <v>4.29</v>
      </c>
      <c r="E1673" s="1">
        <f ca="1">IFERROR(__xludf.DUMMYFUNCTION("""COMPUTED_VALUE"""),4.33)</f>
        <v>4.33</v>
      </c>
      <c r="F1673" s="1">
        <f ca="1">IFERROR(__xludf.DUMMYFUNCTION("""COMPUTED_VALUE"""),455000)</f>
        <v>455000</v>
      </c>
      <c r="I1673" s="1"/>
    </row>
    <row r="1674" spans="1:9">
      <c r="A1674" s="3">
        <f ca="1">IFERROR(__xludf.DUMMYFUNCTION("""COMPUTED_VALUE"""),31637.6666666666)</f>
        <v>31637.666666666599</v>
      </c>
      <c r="B1674" s="1">
        <f ca="1">IFERROR(__xludf.DUMMYFUNCTION("""COMPUTED_VALUE"""),4.43)</f>
        <v>4.43</v>
      </c>
      <c r="C1674" s="1">
        <f ca="1">IFERROR(__xludf.DUMMYFUNCTION("""COMPUTED_VALUE"""),4.44)</f>
        <v>4.4400000000000004</v>
      </c>
      <c r="D1674" s="1">
        <f ca="1">IFERROR(__xludf.DUMMYFUNCTION("""COMPUTED_VALUE"""),4.3)</f>
        <v>4.3</v>
      </c>
      <c r="E1674" s="1">
        <f ca="1">IFERROR(__xludf.DUMMYFUNCTION("""COMPUTED_VALUE"""),4.43)</f>
        <v>4.43</v>
      </c>
      <c r="F1674" s="1">
        <f ca="1">IFERROR(__xludf.DUMMYFUNCTION("""COMPUTED_VALUE"""),1037200)</f>
        <v>1037200</v>
      </c>
      <c r="I1674" s="1"/>
    </row>
    <row r="1675" spans="1:9">
      <c r="A1675" s="3">
        <f ca="1">IFERROR(__xludf.DUMMYFUNCTION("""COMPUTED_VALUE"""),31638.6666666666)</f>
        <v>31638.666666666599</v>
      </c>
      <c r="B1675" s="1">
        <f ca="1">IFERROR(__xludf.DUMMYFUNCTION("""COMPUTED_VALUE"""),4.53)</f>
        <v>4.53</v>
      </c>
      <c r="C1675" s="1">
        <f ca="1">IFERROR(__xludf.DUMMYFUNCTION("""COMPUTED_VALUE"""),4.56)</f>
        <v>4.5599999999999996</v>
      </c>
      <c r="D1675" s="1">
        <f ca="1">IFERROR(__xludf.DUMMYFUNCTION("""COMPUTED_VALUE"""),4.45)</f>
        <v>4.45</v>
      </c>
      <c r="E1675" s="1">
        <f ca="1">IFERROR(__xludf.DUMMYFUNCTION("""COMPUTED_VALUE"""),4.53)</f>
        <v>4.53</v>
      </c>
      <c r="F1675" s="1">
        <f ca="1">IFERROR(__xludf.DUMMYFUNCTION("""COMPUTED_VALUE"""),844500)</f>
        <v>844500</v>
      </c>
      <c r="I1675" s="1"/>
    </row>
    <row r="1676" spans="1:9">
      <c r="A1676" s="3">
        <f ca="1">IFERROR(__xludf.DUMMYFUNCTION("""COMPUTED_VALUE"""),31639.6666666666)</f>
        <v>31639.666666666599</v>
      </c>
      <c r="B1676" s="1">
        <f ca="1">IFERROR(__xludf.DUMMYFUNCTION("""COMPUTED_VALUE"""),4.55)</f>
        <v>4.55</v>
      </c>
      <c r="C1676" s="1">
        <f ca="1">IFERROR(__xludf.DUMMYFUNCTION("""COMPUTED_VALUE"""),4.55)</f>
        <v>4.55</v>
      </c>
      <c r="D1676" s="1">
        <f ca="1">IFERROR(__xludf.DUMMYFUNCTION("""COMPUTED_VALUE"""),4.48)</f>
        <v>4.4800000000000004</v>
      </c>
      <c r="E1676" s="1">
        <f ca="1">IFERROR(__xludf.DUMMYFUNCTION("""COMPUTED_VALUE"""),4.55)</f>
        <v>4.55</v>
      </c>
      <c r="F1676" s="1">
        <f ca="1">IFERROR(__xludf.DUMMYFUNCTION("""COMPUTED_VALUE"""),515000)</f>
        <v>515000</v>
      </c>
      <c r="I1676" s="1"/>
    </row>
    <row r="1677" spans="1:9">
      <c r="A1677" s="3">
        <f ca="1">IFERROR(__xludf.DUMMYFUNCTION("""COMPUTED_VALUE"""),31642.6666666666)</f>
        <v>31642.666666666599</v>
      </c>
      <c r="B1677" s="1">
        <f ca="1">IFERROR(__xludf.DUMMYFUNCTION("""COMPUTED_VALUE"""),4.5)</f>
        <v>4.5</v>
      </c>
      <c r="C1677" s="1">
        <f ca="1">IFERROR(__xludf.DUMMYFUNCTION("""COMPUTED_VALUE"""),4.54)</f>
        <v>4.54</v>
      </c>
      <c r="D1677" s="1">
        <f ca="1">IFERROR(__xludf.DUMMYFUNCTION("""COMPUTED_VALUE"""),4.48)</f>
        <v>4.4800000000000004</v>
      </c>
      <c r="E1677" s="1">
        <f ca="1">IFERROR(__xludf.DUMMYFUNCTION("""COMPUTED_VALUE"""),4.5)</f>
        <v>4.5</v>
      </c>
      <c r="F1677" s="1">
        <f ca="1">IFERROR(__xludf.DUMMYFUNCTION("""COMPUTED_VALUE"""),419500)</f>
        <v>419500</v>
      </c>
      <c r="I1677" s="1"/>
    </row>
    <row r="1678" spans="1:9">
      <c r="A1678" s="3">
        <f ca="1">IFERROR(__xludf.DUMMYFUNCTION("""COMPUTED_VALUE"""),31643.6666666666)</f>
        <v>31643.666666666599</v>
      </c>
      <c r="B1678" s="1">
        <f ca="1">IFERROR(__xludf.DUMMYFUNCTION("""COMPUTED_VALUE"""),4.43)</f>
        <v>4.43</v>
      </c>
      <c r="C1678" s="1">
        <f ca="1">IFERROR(__xludf.DUMMYFUNCTION("""COMPUTED_VALUE"""),4.5)</f>
        <v>4.5</v>
      </c>
      <c r="D1678" s="1">
        <f ca="1">IFERROR(__xludf.DUMMYFUNCTION("""COMPUTED_VALUE"""),4.41)</f>
        <v>4.41</v>
      </c>
      <c r="E1678" s="1">
        <f ca="1">IFERROR(__xludf.DUMMYFUNCTION("""COMPUTED_VALUE"""),4.43)</f>
        <v>4.43</v>
      </c>
      <c r="F1678" s="1">
        <f ca="1">IFERROR(__xludf.DUMMYFUNCTION("""COMPUTED_VALUE"""),252000)</f>
        <v>252000</v>
      </c>
      <c r="I1678" s="1"/>
    </row>
    <row r="1679" spans="1:9">
      <c r="A1679" s="3">
        <f ca="1">IFERROR(__xludf.DUMMYFUNCTION("""COMPUTED_VALUE"""),31644.6666666666)</f>
        <v>31644.666666666599</v>
      </c>
      <c r="B1679" s="1">
        <f ca="1">IFERROR(__xludf.DUMMYFUNCTION("""COMPUTED_VALUE"""),4.59)</f>
        <v>4.59</v>
      </c>
      <c r="C1679" s="1">
        <f ca="1">IFERROR(__xludf.DUMMYFUNCTION("""COMPUTED_VALUE"""),4.64)</f>
        <v>4.6399999999999997</v>
      </c>
      <c r="D1679" s="1">
        <f ca="1">IFERROR(__xludf.DUMMYFUNCTION("""COMPUTED_VALUE"""),4.45)</f>
        <v>4.45</v>
      </c>
      <c r="E1679" s="1">
        <f ca="1">IFERROR(__xludf.DUMMYFUNCTION("""COMPUTED_VALUE"""),4.59)</f>
        <v>4.59</v>
      </c>
      <c r="F1679" s="1">
        <f ca="1">IFERROR(__xludf.DUMMYFUNCTION("""COMPUTED_VALUE"""),692700)</f>
        <v>692700</v>
      </c>
      <c r="I1679" s="1"/>
    </row>
    <row r="1680" spans="1:9">
      <c r="A1680" s="3">
        <f ca="1">IFERROR(__xludf.DUMMYFUNCTION("""COMPUTED_VALUE"""),31645.6666666666)</f>
        <v>31645.666666666599</v>
      </c>
      <c r="B1680" s="1">
        <f ca="1">IFERROR(__xludf.DUMMYFUNCTION("""COMPUTED_VALUE"""),4.59)</f>
        <v>4.59</v>
      </c>
      <c r="C1680" s="1">
        <f ca="1">IFERROR(__xludf.DUMMYFUNCTION("""COMPUTED_VALUE"""),4.62)</f>
        <v>4.62</v>
      </c>
      <c r="D1680" s="1">
        <f ca="1">IFERROR(__xludf.DUMMYFUNCTION("""COMPUTED_VALUE"""),4.57)</f>
        <v>4.57</v>
      </c>
      <c r="E1680" s="1">
        <f ca="1">IFERROR(__xludf.DUMMYFUNCTION("""COMPUTED_VALUE"""),4.59)</f>
        <v>4.59</v>
      </c>
      <c r="F1680" s="1">
        <f ca="1">IFERROR(__xludf.DUMMYFUNCTION("""COMPUTED_VALUE"""),491600)</f>
        <v>491600</v>
      </c>
      <c r="I1680" s="1"/>
    </row>
    <row r="1681" spans="1:9">
      <c r="A1681" s="3">
        <f ca="1">IFERROR(__xludf.DUMMYFUNCTION("""COMPUTED_VALUE"""),31646.6666666666)</f>
        <v>31646.666666666599</v>
      </c>
      <c r="B1681" s="1">
        <f ca="1">IFERROR(__xludf.DUMMYFUNCTION("""COMPUTED_VALUE"""),4.59)</f>
        <v>4.59</v>
      </c>
      <c r="C1681" s="1">
        <f ca="1">IFERROR(__xludf.DUMMYFUNCTION("""COMPUTED_VALUE"""),4.61)</f>
        <v>4.6100000000000003</v>
      </c>
      <c r="D1681" s="1">
        <f ca="1">IFERROR(__xludf.DUMMYFUNCTION("""COMPUTED_VALUE"""),4.58)</f>
        <v>4.58</v>
      </c>
      <c r="E1681" s="1">
        <f ca="1">IFERROR(__xludf.DUMMYFUNCTION("""COMPUTED_VALUE"""),4.59)</f>
        <v>4.59</v>
      </c>
      <c r="F1681" s="1">
        <f ca="1">IFERROR(__xludf.DUMMYFUNCTION("""COMPUTED_VALUE"""),264700)</f>
        <v>264700</v>
      </c>
      <c r="I1681" s="1"/>
    </row>
    <row r="1682" spans="1:9">
      <c r="A1682" s="3">
        <f ca="1">IFERROR(__xludf.DUMMYFUNCTION("""COMPUTED_VALUE"""),31649.6666666666)</f>
        <v>31649.666666666599</v>
      </c>
      <c r="B1682" s="1">
        <f ca="1">IFERROR(__xludf.DUMMYFUNCTION("""COMPUTED_VALUE"""),4.53)</f>
        <v>4.53</v>
      </c>
      <c r="C1682" s="1">
        <f ca="1">IFERROR(__xludf.DUMMYFUNCTION("""COMPUTED_VALUE"""),4.6)</f>
        <v>4.5999999999999996</v>
      </c>
      <c r="D1682" s="1">
        <f ca="1">IFERROR(__xludf.DUMMYFUNCTION("""COMPUTED_VALUE"""),4.52)</f>
        <v>4.5199999999999996</v>
      </c>
      <c r="E1682" s="1">
        <f ca="1">IFERROR(__xludf.DUMMYFUNCTION("""COMPUTED_VALUE"""),4.53)</f>
        <v>4.53</v>
      </c>
      <c r="F1682" s="1">
        <f ca="1">IFERROR(__xludf.DUMMYFUNCTION("""COMPUTED_VALUE"""),261200)</f>
        <v>261200</v>
      </c>
      <c r="I1682" s="1"/>
    </row>
    <row r="1683" spans="1:9">
      <c r="A1683" s="3">
        <f ca="1">IFERROR(__xludf.DUMMYFUNCTION("""COMPUTED_VALUE"""),31650.6666666666)</f>
        <v>31650.666666666599</v>
      </c>
      <c r="B1683" s="1">
        <f ca="1">IFERROR(__xludf.DUMMYFUNCTION("""COMPUTED_VALUE"""),4.59)</f>
        <v>4.59</v>
      </c>
      <c r="C1683" s="1">
        <f ca="1">IFERROR(__xludf.DUMMYFUNCTION("""COMPUTED_VALUE"""),4.6)</f>
        <v>4.5999999999999996</v>
      </c>
      <c r="D1683" s="1">
        <f ca="1">IFERROR(__xludf.DUMMYFUNCTION("""COMPUTED_VALUE"""),4.47)</f>
        <v>4.47</v>
      </c>
      <c r="E1683" s="1">
        <f ca="1">IFERROR(__xludf.DUMMYFUNCTION("""COMPUTED_VALUE"""),4.59)</f>
        <v>4.59</v>
      </c>
      <c r="F1683" s="1">
        <f ca="1">IFERROR(__xludf.DUMMYFUNCTION("""COMPUTED_VALUE"""),387300)</f>
        <v>387300</v>
      </c>
      <c r="I1683" s="1"/>
    </row>
    <row r="1684" spans="1:9">
      <c r="A1684" s="3">
        <f ca="1">IFERROR(__xludf.DUMMYFUNCTION("""COMPUTED_VALUE"""),31651.6666666666)</f>
        <v>31651.666666666599</v>
      </c>
      <c r="B1684" s="1">
        <f ca="1">IFERROR(__xludf.DUMMYFUNCTION("""COMPUTED_VALUE"""),4.56)</f>
        <v>4.5599999999999996</v>
      </c>
      <c r="C1684" s="1">
        <f ca="1">IFERROR(__xludf.DUMMYFUNCTION("""COMPUTED_VALUE"""),4.59)</f>
        <v>4.59</v>
      </c>
      <c r="D1684" s="1">
        <f ca="1">IFERROR(__xludf.DUMMYFUNCTION("""COMPUTED_VALUE"""),4.54)</f>
        <v>4.54</v>
      </c>
      <c r="E1684" s="1">
        <f ca="1">IFERROR(__xludf.DUMMYFUNCTION("""COMPUTED_VALUE"""),4.56)</f>
        <v>4.5599999999999996</v>
      </c>
      <c r="F1684" s="1">
        <f ca="1">IFERROR(__xludf.DUMMYFUNCTION("""COMPUTED_VALUE"""),221700)</f>
        <v>221700</v>
      </c>
      <c r="I1684" s="1"/>
    </row>
    <row r="1685" spans="1:9">
      <c r="A1685" s="3">
        <f ca="1">IFERROR(__xludf.DUMMYFUNCTION("""COMPUTED_VALUE"""),31652.6666666666)</f>
        <v>31652.666666666599</v>
      </c>
      <c r="B1685" s="1">
        <f ca="1">IFERROR(__xludf.DUMMYFUNCTION("""COMPUTED_VALUE"""),4.57)</f>
        <v>4.57</v>
      </c>
      <c r="C1685" s="1">
        <f ca="1">IFERROR(__xludf.DUMMYFUNCTION("""COMPUTED_VALUE"""),4.59)</f>
        <v>4.59</v>
      </c>
      <c r="D1685" s="1">
        <f ca="1">IFERROR(__xludf.DUMMYFUNCTION("""COMPUTED_VALUE"""),4.53)</f>
        <v>4.53</v>
      </c>
      <c r="E1685" s="1">
        <f ca="1">IFERROR(__xludf.DUMMYFUNCTION("""COMPUTED_VALUE"""),4.57)</f>
        <v>4.57</v>
      </c>
      <c r="F1685" s="1">
        <f ca="1">IFERROR(__xludf.DUMMYFUNCTION("""COMPUTED_VALUE"""),237900)</f>
        <v>237900</v>
      </c>
      <c r="I1685" s="1"/>
    </row>
    <row r="1686" spans="1:9">
      <c r="A1686" s="3">
        <f ca="1">IFERROR(__xludf.DUMMYFUNCTION("""COMPUTED_VALUE"""),31653.6666666666)</f>
        <v>31653.666666666599</v>
      </c>
      <c r="B1686" s="1">
        <f ca="1">IFERROR(__xludf.DUMMYFUNCTION("""COMPUTED_VALUE"""),4.62)</f>
        <v>4.62</v>
      </c>
      <c r="C1686" s="1">
        <f ca="1">IFERROR(__xludf.DUMMYFUNCTION("""COMPUTED_VALUE"""),4.64)</f>
        <v>4.6399999999999997</v>
      </c>
      <c r="D1686" s="1">
        <f ca="1">IFERROR(__xludf.DUMMYFUNCTION("""COMPUTED_VALUE"""),4.56)</f>
        <v>4.5599999999999996</v>
      </c>
      <c r="E1686" s="1">
        <f ca="1">IFERROR(__xludf.DUMMYFUNCTION("""COMPUTED_VALUE"""),4.62)</f>
        <v>4.62</v>
      </c>
      <c r="F1686" s="1">
        <f ca="1">IFERROR(__xludf.DUMMYFUNCTION("""COMPUTED_VALUE"""),326100)</f>
        <v>326100</v>
      </c>
      <c r="I1686" s="1"/>
    </row>
    <row r="1687" spans="1:9">
      <c r="A1687" s="3">
        <f ca="1">IFERROR(__xludf.DUMMYFUNCTION("""COMPUTED_VALUE"""),31657.6666666666)</f>
        <v>31657.666666666599</v>
      </c>
      <c r="B1687" s="1">
        <f ca="1">IFERROR(__xludf.DUMMYFUNCTION("""COMPUTED_VALUE"""),4.44)</f>
        <v>4.4400000000000004</v>
      </c>
      <c r="C1687" s="1">
        <f ca="1">IFERROR(__xludf.DUMMYFUNCTION("""COMPUTED_VALUE"""),4.62)</f>
        <v>4.62</v>
      </c>
      <c r="D1687" s="1">
        <f ca="1">IFERROR(__xludf.DUMMYFUNCTION("""COMPUTED_VALUE"""),4.41)</f>
        <v>4.41</v>
      </c>
      <c r="E1687" s="1">
        <f ca="1">IFERROR(__xludf.DUMMYFUNCTION("""COMPUTED_VALUE"""),4.44)</f>
        <v>4.4400000000000004</v>
      </c>
      <c r="F1687" s="1">
        <f ca="1">IFERROR(__xludf.DUMMYFUNCTION("""COMPUTED_VALUE"""),485800)</f>
        <v>485800</v>
      </c>
      <c r="I1687" s="1"/>
    </row>
    <row r="1688" spans="1:9">
      <c r="A1688" s="3">
        <f ca="1">IFERROR(__xludf.DUMMYFUNCTION("""COMPUTED_VALUE"""),31658.6666666666)</f>
        <v>31658.666666666599</v>
      </c>
      <c r="B1688" s="1">
        <f ca="1">IFERROR(__xludf.DUMMYFUNCTION("""COMPUTED_VALUE"""),4.45)</f>
        <v>4.45</v>
      </c>
      <c r="C1688" s="1">
        <f ca="1">IFERROR(__xludf.DUMMYFUNCTION("""COMPUTED_VALUE"""),4.46)</f>
        <v>4.46</v>
      </c>
      <c r="D1688" s="1">
        <f ca="1">IFERROR(__xludf.DUMMYFUNCTION("""COMPUTED_VALUE"""),4.39)</f>
        <v>4.3899999999999997</v>
      </c>
      <c r="E1688" s="1">
        <f ca="1">IFERROR(__xludf.DUMMYFUNCTION("""COMPUTED_VALUE"""),4.45)</f>
        <v>4.45</v>
      </c>
      <c r="F1688" s="1">
        <f ca="1">IFERROR(__xludf.DUMMYFUNCTION("""COMPUTED_VALUE"""),465900)</f>
        <v>465900</v>
      </c>
      <c r="I1688" s="1"/>
    </row>
    <row r="1689" spans="1:9">
      <c r="A1689" s="3">
        <f ca="1">IFERROR(__xludf.DUMMYFUNCTION("""COMPUTED_VALUE"""),31659.6666666666)</f>
        <v>31659.666666666599</v>
      </c>
      <c r="B1689" s="1">
        <f ca="1">IFERROR(__xludf.DUMMYFUNCTION("""COMPUTED_VALUE"""),4.41)</f>
        <v>4.41</v>
      </c>
      <c r="C1689" s="1">
        <f ca="1">IFERROR(__xludf.DUMMYFUNCTION("""COMPUTED_VALUE"""),4.48)</f>
        <v>4.4800000000000004</v>
      </c>
      <c r="D1689" s="1">
        <f ca="1">IFERROR(__xludf.DUMMYFUNCTION("""COMPUTED_VALUE"""),4.35)</f>
        <v>4.3499999999999996</v>
      </c>
      <c r="E1689" s="1">
        <f ca="1">IFERROR(__xludf.DUMMYFUNCTION("""COMPUTED_VALUE"""),4.41)</f>
        <v>4.41</v>
      </c>
      <c r="F1689" s="1">
        <f ca="1">IFERROR(__xludf.DUMMYFUNCTION("""COMPUTED_VALUE"""),706200)</f>
        <v>706200</v>
      </c>
      <c r="I1689" s="1"/>
    </row>
    <row r="1690" spans="1:9">
      <c r="A1690" s="3">
        <f ca="1">IFERROR(__xludf.DUMMYFUNCTION("""COMPUTED_VALUE"""),31660.6666666666)</f>
        <v>31660.666666666599</v>
      </c>
      <c r="B1690" s="1">
        <f ca="1">IFERROR(__xludf.DUMMYFUNCTION("""COMPUTED_VALUE"""),4.33)</f>
        <v>4.33</v>
      </c>
      <c r="C1690" s="1">
        <f ca="1">IFERROR(__xludf.DUMMYFUNCTION("""COMPUTED_VALUE"""),4.39)</f>
        <v>4.3899999999999997</v>
      </c>
      <c r="D1690" s="1">
        <f ca="1">IFERROR(__xludf.DUMMYFUNCTION("""COMPUTED_VALUE"""),4.27)</f>
        <v>4.2699999999999996</v>
      </c>
      <c r="E1690" s="1">
        <f ca="1">IFERROR(__xludf.DUMMYFUNCTION("""COMPUTED_VALUE"""),4.33)</f>
        <v>4.33</v>
      </c>
      <c r="F1690" s="1">
        <f ca="1">IFERROR(__xludf.DUMMYFUNCTION("""COMPUTED_VALUE"""),526300)</f>
        <v>526300</v>
      </c>
      <c r="I1690" s="1"/>
    </row>
    <row r="1691" spans="1:9">
      <c r="A1691" s="3">
        <f ca="1">IFERROR(__xludf.DUMMYFUNCTION("""COMPUTED_VALUE"""),31663.6666666666)</f>
        <v>31663.666666666599</v>
      </c>
      <c r="B1691" s="1">
        <f ca="1">IFERROR(__xludf.DUMMYFUNCTION("""COMPUTED_VALUE"""),4.26)</f>
        <v>4.26</v>
      </c>
      <c r="C1691" s="1">
        <f ca="1">IFERROR(__xludf.DUMMYFUNCTION("""COMPUTED_VALUE"""),4.34)</f>
        <v>4.34</v>
      </c>
      <c r="D1691" s="1">
        <f ca="1">IFERROR(__xludf.DUMMYFUNCTION("""COMPUTED_VALUE"""),4.2)</f>
        <v>4.2</v>
      </c>
      <c r="E1691" s="1">
        <f ca="1">IFERROR(__xludf.DUMMYFUNCTION("""COMPUTED_VALUE"""),4.26)</f>
        <v>4.26</v>
      </c>
      <c r="F1691" s="1">
        <f ca="1">IFERROR(__xludf.DUMMYFUNCTION("""COMPUTED_VALUE"""),621400)</f>
        <v>621400</v>
      </c>
      <c r="I1691" s="1"/>
    </row>
    <row r="1692" spans="1:9">
      <c r="A1692" s="3">
        <f ca="1">IFERROR(__xludf.DUMMYFUNCTION("""COMPUTED_VALUE"""),31664.6666666666)</f>
        <v>31664.666666666599</v>
      </c>
      <c r="B1692" s="1">
        <f ca="1">IFERROR(__xludf.DUMMYFUNCTION("""COMPUTED_VALUE"""),4.2)</f>
        <v>4.2</v>
      </c>
      <c r="C1692" s="1">
        <f ca="1">IFERROR(__xludf.DUMMYFUNCTION("""COMPUTED_VALUE"""),4.31)</f>
        <v>4.3099999999999996</v>
      </c>
      <c r="D1692" s="1">
        <f ca="1">IFERROR(__xludf.DUMMYFUNCTION("""COMPUTED_VALUE"""),4.19)</f>
        <v>4.1900000000000004</v>
      </c>
      <c r="E1692" s="1">
        <f ca="1">IFERROR(__xludf.DUMMYFUNCTION("""COMPUTED_VALUE"""),4.2)</f>
        <v>4.2</v>
      </c>
      <c r="F1692" s="1">
        <f ca="1">IFERROR(__xludf.DUMMYFUNCTION("""COMPUTED_VALUE"""),655100)</f>
        <v>655100</v>
      </c>
      <c r="I1692" s="1"/>
    </row>
    <row r="1693" spans="1:9">
      <c r="A1693" s="3">
        <f ca="1">IFERROR(__xludf.DUMMYFUNCTION("""COMPUTED_VALUE"""),31665.6666666666)</f>
        <v>31665.666666666599</v>
      </c>
      <c r="B1693" s="1">
        <f ca="1">IFERROR(__xludf.DUMMYFUNCTION("""COMPUTED_VALUE"""),4.16)</f>
        <v>4.16</v>
      </c>
      <c r="C1693" s="1">
        <f ca="1">IFERROR(__xludf.DUMMYFUNCTION("""COMPUTED_VALUE"""),4.2)</f>
        <v>4.2</v>
      </c>
      <c r="D1693" s="1">
        <f ca="1">IFERROR(__xludf.DUMMYFUNCTION("""COMPUTED_VALUE"""),4.12)</f>
        <v>4.12</v>
      </c>
      <c r="E1693" s="1">
        <f ca="1">IFERROR(__xludf.DUMMYFUNCTION("""COMPUTED_VALUE"""),4.16)</f>
        <v>4.16</v>
      </c>
      <c r="F1693" s="1">
        <f ca="1">IFERROR(__xludf.DUMMYFUNCTION("""COMPUTED_VALUE"""),506400)</f>
        <v>506400</v>
      </c>
      <c r="I1693" s="1"/>
    </row>
    <row r="1694" spans="1:9">
      <c r="A1694" s="3">
        <f ca="1">IFERROR(__xludf.DUMMYFUNCTION("""COMPUTED_VALUE"""),31666.6666666666)</f>
        <v>31666.666666666599</v>
      </c>
      <c r="B1694" s="1">
        <f ca="1">IFERROR(__xludf.DUMMYFUNCTION("""COMPUTED_VALUE"""),4.03)</f>
        <v>4.03</v>
      </c>
      <c r="C1694" s="1">
        <f ca="1">IFERROR(__xludf.DUMMYFUNCTION("""COMPUTED_VALUE"""),4.14)</f>
        <v>4.1399999999999997</v>
      </c>
      <c r="D1694" s="1">
        <f ca="1">IFERROR(__xludf.DUMMYFUNCTION("""COMPUTED_VALUE"""),3.98)</f>
        <v>3.98</v>
      </c>
      <c r="E1694" s="1">
        <f ca="1">IFERROR(__xludf.DUMMYFUNCTION("""COMPUTED_VALUE"""),4.03)</f>
        <v>4.03</v>
      </c>
      <c r="F1694" s="1">
        <f ca="1">IFERROR(__xludf.DUMMYFUNCTION("""COMPUTED_VALUE"""),901200)</f>
        <v>901200</v>
      </c>
      <c r="I1694" s="1"/>
    </row>
    <row r="1695" spans="1:9">
      <c r="A1695" s="3">
        <f ca="1">IFERROR(__xludf.DUMMYFUNCTION("""COMPUTED_VALUE"""),31667.6666666666)</f>
        <v>31667.666666666599</v>
      </c>
      <c r="B1695" s="1">
        <f ca="1">IFERROR(__xludf.DUMMYFUNCTION("""COMPUTED_VALUE"""),3.92)</f>
        <v>3.92</v>
      </c>
      <c r="C1695" s="1">
        <f ca="1">IFERROR(__xludf.DUMMYFUNCTION("""COMPUTED_VALUE"""),4.08)</f>
        <v>4.08</v>
      </c>
      <c r="D1695" s="1">
        <f ca="1">IFERROR(__xludf.DUMMYFUNCTION("""COMPUTED_VALUE"""),3.91)</f>
        <v>3.91</v>
      </c>
      <c r="E1695" s="1">
        <f ca="1">IFERROR(__xludf.DUMMYFUNCTION("""COMPUTED_VALUE"""),3.92)</f>
        <v>3.92</v>
      </c>
      <c r="F1695" s="1">
        <f ca="1">IFERROR(__xludf.DUMMYFUNCTION("""COMPUTED_VALUE"""),925600)</f>
        <v>925600</v>
      </c>
      <c r="I1695" s="1"/>
    </row>
    <row r="1696" spans="1:9">
      <c r="A1696" s="3">
        <f ca="1">IFERROR(__xludf.DUMMYFUNCTION("""COMPUTED_VALUE"""),31670.6666666666)</f>
        <v>31670.666666666599</v>
      </c>
      <c r="B1696" s="1">
        <f ca="1">IFERROR(__xludf.DUMMYFUNCTION("""COMPUTED_VALUE"""),3.95)</f>
        <v>3.95</v>
      </c>
      <c r="C1696" s="1">
        <f ca="1">IFERROR(__xludf.DUMMYFUNCTION("""COMPUTED_VALUE"""),3.98)</f>
        <v>3.98</v>
      </c>
      <c r="D1696" s="1">
        <f ca="1">IFERROR(__xludf.DUMMYFUNCTION("""COMPUTED_VALUE"""),3.92)</f>
        <v>3.92</v>
      </c>
      <c r="E1696" s="1">
        <f ca="1">IFERROR(__xludf.DUMMYFUNCTION("""COMPUTED_VALUE"""),3.95)</f>
        <v>3.95</v>
      </c>
      <c r="F1696" s="1">
        <f ca="1">IFERROR(__xludf.DUMMYFUNCTION("""COMPUTED_VALUE"""),550400)</f>
        <v>550400</v>
      </c>
      <c r="I1696" s="1"/>
    </row>
    <row r="1697" spans="1:9">
      <c r="A1697" s="3">
        <f ca="1">IFERROR(__xludf.DUMMYFUNCTION("""COMPUTED_VALUE"""),31671.6666666666)</f>
        <v>31671.666666666599</v>
      </c>
      <c r="B1697" s="1">
        <f ca="1">IFERROR(__xludf.DUMMYFUNCTION("""COMPUTED_VALUE"""),3.95)</f>
        <v>3.95</v>
      </c>
      <c r="C1697" s="1">
        <f ca="1">IFERROR(__xludf.DUMMYFUNCTION("""COMPUTED_VALUE"""),3.95)</f>
        <v>3.95</v>
      </c>
      <c r="D1697" s="1">
        <f ca="1">IFERROR(__xludf.DUMMYFUNCTION("""COMPUTED_VALUE"""),3.86)</f>
        <v>3.86</v>
      </c>
      <c r="E1697" s="1">
        <f ca="1">IFERROR(__xludf.DUMMYFUNCTION("""COMPUTED_VALUE"""),3.95)</f>
        <v>3.95</v>
      </c>
      <c r="F1697" s="1">
        <f ca="1">IFERROR(__xludf.DUMMYFUNCTION("""COMPUTED_VALUE"""),481000)</f>
        <v>481000</v>
      </c>
      <c r="I1697" s="1"/>
    </row>
    <row r="1698" spans="1:9">
      <c r="A1698" s="3">
        <f ca="1">IFERROR(__xludf.DUMMYFUNCTION("""COMPUTED_VALUE"""),31672.6666666666)</f>
        <v>31672.666666666599</v>
      </c>
      <c r="B1698" s="1">
        <f ca="1">IFERROR(__xludf.DUMMYFUNCTION("""COMPUTED_VALUE"""),3.92)</f>
        <v>3.92</v>
      </c>
      <c r="C1698" s="1">
        <f ca="1">IFERROR(__xludf.DUMMYFUNCTION("""COMPUTED_VALUE"""),4)</f>
        <v>4</v>
      </c>
      <c r="D1698" s="1">
        <f ca="1">IFERROR(__xludf.DUMMYFUNCTION("""COMPUTED_VALUE"""),3.91)</f>
        <v>3.91</v>
      </c>
      <c r="E1698" s="1">
        <f ca="1">IFERROR(__xludf.DUMMYFUNCTION("""COMPUTED_VALUE"""),3.92)</f>
        <v>3.92</v>
      </c>
      <c r="F1698" s="1">
        <f ca="1">IFERROR(__xludf.DUMMYFUNCTION("""COMPUTED_VALUE"""),395100)</f>
        <v>395100</v>
      </c>
      <c r="I1698" s="1"/>
    </row>
    <row r="1699" spans="1:9">
      <c r="A1699" s="3">
        <f ca="1">IFERROR(__xludf.DUMMYFUNCTION("""COMPUTED_VALUE"""),31673.6666666666)</f>
        <v>31673.666666666599</v>
      </c>
      <c r="B1699" s="1">
        <f ca="1">IFERROR(__xludf.DUMMYFUNCTION("""COMPUTED_VALUE"""),3.89)</f>
        <v>3.89</v>
      </c>
      <c r="C1699" s="1">
        <f ca="1">IFERROR(__xludf.DUMMYFUNCTION("""COMPUTED_VALUE"""),3.91)</f>
        <v>3.91</v>
      </c>
      <c r="D1699" s="1">
        <f ca="1">IFERROR(__xludf.DUMMYFUNCTION("""COMPUTED_VALUE"""),3.81)</f>
        <v>3.81</v>
      </c>
      <c r="E1699" s="1">
        <f ca="1">IFERROR(__xludf.DUMMYFUNCTION("""COMPUTED_VALUE"""),3.89)</f>
        <v>3.89</v>
      </c>
      <c r="F1699" s="1">
        <f ca="1">IFERROR(__xludf.DUMMYFUNCTION("""COMPUTED_VALUE"""),712800)</f>
        <v>712800</v>
      </c>
      <c r="I1699" s="1"/>
    </row>
    <row r="1700" spans="1:9">
      <c r="A1700" s="3">
        <f ca="1">IFERROR(__xludf.DUMMYFUNCTION("""COMPUTED_VALUE"""),31674.6666666666)</f>
        <v>31674.666666666599</v>
      </c>
      <c r="B1700" s="1">
        <f ca="1">IFERROR(__xludf.DUMMYFUNCTION("""COMPUTED_VALUE"""),3.84)</f>
        <v>3.84</v>
      </c>
      <c r="C1700" s="1">
        <f ca="1">IFERROR(__xludf.DUMMYFUNCTION("""COMPUTED_VALUE"""),3.85)</f>
        <v>3.85</v>
      </c>
      <c r="D1700" s="1">
        <f ca="1">IFERROR(__xludf.DUMMYFUNCTION("""COMPUTED_VALUE"""),3.77)</f>
        <v>3.77</v>
      </c>
      <c r="E1700" s="1">
        <f ca="1">IFERROR(__xludf.DUMMYFUNCTION("""COMPUTED_VALUE"""),3.84)</f>
        <v>3.84</v>
      </c>
      <c r="F1700" s="1">
        <f ca="1">IFERROR(__xludf.DUMMYFUNCTION("""COMPUTED_VALUE"""),857400)</f>
        <v>857400</v>
      </c>
      <c r="I1700" s="1"/>
    </row>
    <row r="1701" spans="1:9">
      <c r="A1701" s="3">
        <f ca="1">IFERROR(__xludf.DUMMYFUNCTION("""COMPUTED_VALUE"""),31677.6666666666)</f>
        <v>31677.666666666599</v>
      </c>
      <c r="B1701" s="1">
        <f ca="1">IFERROR(__xludf.DUMMYFUNCTION("""COMPUTED_VALUE"""),3.84)</f>
        <v>3.84</v>
      </c>
      <c r="C1701" s="1">
        <f ca="1">IFERROR(__xludf.DUMMYFUNCTION("""COMPUTED_VALUE"""),3.84)</f>
        <v>3.84</v>
      </c>
      <c r="D1701" s="1">
        <f ca="1">IFERROR(__xludf.DUMMYFUNCTION("""COMPUTED_VALUE"""),3.78)</f>
        <v>3.78</v>
      </c>
      <c r="E1701" s="1">
        <f ca="1">IFERROR(__xludf.DUMMYFUNCTION("""COMPUTED_VALUE"""),3.84)</f>
        <v>3.84</v>
      </c>
      <c r="F1701" s="1">
        <f ca="1">IFERROR(__xludf.DUMMYFUNCTION("""COMPUTED_VALUE"""),590900)</f>
        <v>590900</v>
      </c>
      <c r="I1701" s="1"/>
    </row>
    <row r="1702" spans="1:9">
      <c r="A1702" s="3">
        <f ca="1">IFERROR(__xludf.DUMMYFUNCTION("""COMPUTED_VALUE"""),31678.6666666666)</f>
        <v>31678.666666666599</v>
      </c>
      <c r="B1702" s="1">
        <f ca="1">IFERROR(__xludf.DUMMYFUNCTION("""COMPUTED_VALUE"""),3.91)</f>
        <v>3.91</v>
      </c>
      <c r="C1702" s="1">
        <f ca="1">IFERROR(__xludf.DUMMYFUNCTION("""COMPUTED_VALUE"""),3.91)</f>
        <v>3.91</v>
      </c>
      <c r="D1702" s="1">
        <f ca="1">IFERROR(__xludf.DUMMYFUNCTION("""COMPUTED_VALUE"""),3.83)</f>
        <v>3.83</v>
      </c>
      <c r="E1702" s="1">
        <f ca="1">IFERROR(__xludf.DUMMYFUNCTION("""COMPUTED_VALUE"""),3.91)</f>
        <v>3.91</v>
      </c>
      <c r="F1702" s="1">
        <f ca="1">IFERROR(__xludf.DUMMYFUNCTION("""COMPUTED_VALUE"""),593100)</f>
        <v>593100</v>
      </c>
      <c r="I1702" s="1"/>
    </row>
    <row r="1703" spans="1:9">
      <c r="A1703" s="3">
        <f ca="1">IFERROR(__xludf.DUMMYFUNCTION("""COMPUTED_VALUE"""),31679.6666666666)</f>
        <v>31679.666666666599</v>
      </c>
      <c r="B1703" s="1">
        <f ca="1">IFERROR(__xludf.DUMMYFUNCTION("""COMPUTED_VALUE"""),4.01)</f>
        <v>4.01</v>
      </c>
      <c r="C1703" s="1">
        <f ca="1">IFERROR(__xludf.DUMMYFUNCTION("""COMPUTED_VALUE"""),4.06)</f>
        <v>4.0599999999999996</v>
      </c>
      <c r="D1703" s="1">
        <f ca="1">IFERROR(__xludf.DUMMYFUNCTION("""COMPUTED_VALUE"""),3.91)</f>
        <v>3.91</v>
      </c>
      <c r="E1703" s="1">
        <f ca="1">IFERROR(__xludf.DUMMYFUNCTION("""COMPUTED_VALUE"""),4.01)</f>
        <v>4.01</v>
      </c>
      <c r="F1703" s="1">
        <f ca="1">IFERROR(__xludf.DUMMYFUNCTION("""COMPUTED_VALUE"""),592100)</f>
        <v>592100</v>
      </c>
      <c r="I1703" s="1"/>
    </row>
    <row r="1704" spans="1:9">
      <c r="A1704" s="3">
        <f ca="1">IFERROR(__xludf.DUMMYFUNCTION("""COMPUTED_VALUE"""),31680.6666666666)</f>
        <v>31680.666666666599</v>
      </c>
      <c r="B1704" s="1">
        <f ca="1">IFERROR(__xludf.DUMMYFUNCTION("""COMPUTED_VALUE"""),3.91)</f>
        <v>3.91</v>
      </c>
      <c r="C1704" s="1">
        <f ca="1">IFERROR(__xludf.DUMMYFUNCTION("""COMPUTED_VALUE"""),4)</f>
        <v>4</v>
      </c>
      <c r="D1704" s="1">
        <f ca="1">IFERROR(__xludf.DUMMYFUNCTION("""COMPUTED_VALUE"""),3.86)</f>
        <v>3.86</v>
      </c>
      <c r="E1704" s="1">
        <f ca="1">IFERROR(__xludf.DUMMYFUNCTION("""COMPUTED_VALUE"""),3.91)</f>
        <v>3.91</v>
      </c>
      <c r="F1704" s="1">
        <f ca="1">IFERROR(__xludf.DUMMYFUNCTION("""COMPUTED_VALUE"""),543500)</f>
        <v>543500</v>
      </c>
      <c r="I1704" s="1"/>
    </row>
    <row r="1705" spans="1:9">
      <c r="A1705" s="3">
        <f ca="1">IFERROR(__xludf.DUMMYFUNCTION("""COMPUTED_VALUE"""),31681.6666666666)</f>
        <v>31681.666666666599</v>
      </c>
      <c r="B1705" s="1">
        <f ca="1">IFERROR(__xludf.DUMMYFUNCTION("""COMPUTED_VALUE"""),3.93)</f>
        <v>3.93</v>
      </c>
      <c r="C1705" s="1">
        <f ca="1">IFERROR(__xludf.DUMMYFUNCTION("""COMPUTED_VALUE"""),3.98)</f>
        <v>3.98</v>
      </c>
      <c r="D1705" s="1">
        <f ca="1">IFERROR(__xludf.DUMMYFUNCTION("""COMPUTED_VALUE"""),3.89)</f>
        <v>3.89</v>
      </c>
      <c r="E1705" s="1">
        <f ca="1">IFERROR(__xludf.DUMMYFUNCTION("""COMPUTED_VALUE"""),3.93)</f>
        <v>3.93</v>
      </c>
      <c r="F1705" s="1">
        <f ca="1">IFERROR(__xludf.DUMMYFUNCTION("""COMPUTED_VALUE"""),390800)</f>
        <v>390800</v>
      </c>
      <c r="I1705" s="1"/>
    </row>
    <row r="1706" spans="1:9">
      <c r="A1706" s="3">
        <f ca="1">IFERROR(__xludf.DUMMYFUNCTION("""COMPUTED_VALUE"""),31684.6666666666)</f>
        <v>31684.666666666599</v>
      </c>
      <c r="B1706" s="1">
        <f ca="1">IFERROR(__xludf.DUMMYFUNCTION("""COMPUTED_VALUE"""),3.95)</f>
        <v>3.95</v>
      </c>
      <c r="C1706" s="1">
        <f ca="1">IFERROR(__xludf.DUMMYFUNCTION("""COMPUTED_VALUE"""),3.97)</f>
        <v>3.97</v>
      </c>
      <c r="D1706" s="1">
        <f ca="1">IFERROR(__xludf.DUMMYFUNCTION("""COMPUTED_VALUE"""),3.84)</f>
        <v>3.84</v>
      </c>
      <c r="E1706" s="1">
        <f ca="1">IFERROR(__xludf.DUMMYFUNCTION("""COMPUTED_VALUE"""),3.95)</f>
        <v>3.95</v>
      </c>
      <c r="F1706" s="1">
        <f ca="1">IFERROR(__xludf.DUMMYFUNCTION("""COMPUTED_VALUE"""),387300)</f>
        <v>387300</v>
      </c>
      <c r="I1706" s="1"/>
    </row>
    <row r="1707" spans="1:9">
      <c r="A1707" s="3">
        <f ca="1">IFERROR(__xludf.DUMMYFUNCTION("""COMPUTED_VALUE"""),31685.6666666666)</f>
        <v>31685.666666666599</v>
      </c>
      <c r="B1707" s="1">
        <f ca="1">IFERROR(__xludf.DUMMYFUNCTION("""COMPUTED_VALUE"""),4)</f>
        <v>4</v>
      </c>
      <c r="C1707" s="1">
        <f ca="1">IFERROR(__xludf.DUMMYFUNCTION("""COMPUTED_VALUE"""),4.05)</f>
        <v>4.05</v>
      </c>
      <c r="D1707" s="1">
        <f ca="1">IFERROR(__xludf.DUMMYFUNCTION("""COMPUTED_VALUE"""),3.97)</f>
        <v>3.97</v>
      </c>
      <c r="E1707" s="1">
        <f ca="1">IFERROR(__xludf.DUMMYFUNCTION("""COMPUTED_VALUE"""),4)</f>
        <v>4</v>
      </c>
      <c r="F1707" s="1">
        <f ca="1">IFERROR(__xludf.DUMMYFUNCTION("""COMPUTED_VALUE"""),271600)</f>
        <v>271600</v>
      </c>
      <c r="I1707" s="1"/>
    </row>
    <row r="1708" spans="1:9">
      <c r="A1708" s="3">
        <f ca="1">IFERROR(__xludf.DUMMYFUNCTION("""COMPUTED_VALUE"""),31686.6666666666)</f>
        <v>31686.666666666599</v>
      </c>
      <c r="B1708" s="1">
        <f ca="1">IFERROR(__xludf.DUMMYFUNCTION("""COMPUTED_VALUE"""),4.03)</f>
        <v>4.03</v>
      </c>
      <c r="C1708" s="1">
        <f ca="1">IFERROR(__xludf.DUMMYFUNCTION("""COMPUTED_VALUE"""),4.11)</f>
        <v>4.1100000000000003</v>
      </c>
      <c r="D1708" s="1">
        <f ca="1">IFERROR(__xludf.DUMMYFUNCTION("""COMPUTED_VALUE"""),4)</f>
        <v>4</v>
      </c>
      <c r="E1708" s="1">
        <f ca="1">IFERROR(__xludf.DUMMYFUNCTION("""COMPUTED_VALUE"""),4.03)</f>
        <v>4.03</v>
      </c>
      <c r="F1708" s="1">
        <f ca="1">IFERROR(__xludf.DUMMYFUNCTION("""COMPUTED_VALUE"""),454900)</f>
        <v>454900</v>
      </c>
      <c r="I1708" s="1"/>
    </row>
    <row r="1709" spans="1:9">
      <c r="A1709" s="3">
        <f ca="1">IFERROR(__xludf.DUMMYFUNCTION("""COMPUTED_VALUE"""),31687.6666666666)</f>
        <v>31687.666666666599</v>
      </c>
      <c r="B1709" s="1">
        <f ca="1">IFERROR(__xludf.DUMMYFUNCTION("""COMPUTED_VALUE"""),4.04)</f>
        <v>4.04</v>
      </c>
      <c r="C1709" s="1">
        <f ca="1">IFERROR(__xludf.DUMMYFUNCTION("""COMPUTED_VALUE"""),4.05)</f>
        <v>4.05</v>
      </c>
      <c r="D1709" s="1">
        <f ca="1">IFERROR(__xludf.DUMMYFUNCTION("""COMPUTED_VALUE"""),3.98)</f>
        <v>3.98</v>
      </c>
      <c r="E1709" s="1">
        <f ca="1">IFERROR(__xludf.DUMMYFUNCTION("""COMPUTED_VALUE"""),4.04)</f>
        <v>4.04</v>
      </c>
      <c r="F1709" s="1">
        <f ca="1">IFERROR(__xludf.DUMMYFUNCTION("""COMPUTED_VALUE"""),237800)</f>
        <v>237800</v>
      </c>
      <c r="I1709" s="1"/>
    </row>
    <row r="1710" spans="1:9">
      <c r="A1710" s="3">
        <f ca="1">IFERROR(__xludf.DUMMYFUNCTION("""COMPUTED_VALUE"""),31688.6666666666)</f>
        <v>31688.666666666599</v>
      </c>
      <c r="B1710" s="1">
        <f ca="1">IFERROR(__xludf.DUMMYFUNCTION("""COMPUTED_VALUE"""),4.02)</f>
        <v>4.0199999999999996</v>
      </c>
      <c r="C1710" s="1">
        <f ca="1">IFERROR(__xludf.DUMMYFUNCTION("""COMPUTED_VALUE"""),4.08)</f>
        <v>4.08</v>
      </c>
      <c r="D1710" s="1">
        <f ca="1">IFERROR(__xludf.DUMMYFUNCTION("""COMPUTED_VALUE"""),4.01)</f>
        <v>4.01</v>
      </c>
      <c r="E1710" s="1">
        <f ca="1">IFERROR(__xludf.DUMMYFUNCTION("""COMPUTED_VALUE"""),4.02)</f>
        <v>4.0199999999999996</v>
      </c>
      <c r="F1710" s="1">
        <f ca="1">IFERROR(__xludf.DUMMYFUNCTION("""COMPUTED_VALUE"""),338800)</f>
        <v>338800</v>
      </c>
      <c r="I1710" s="1"/>
    </row>
    <row r="1711" spans="1:9">
      <c r="A1711" s="3">
        <f ca="1">IFERROR(__xludf.DUMMYFUNCTION("""COMPUTED_VALUE"""),31691.6666666666)</f>
        <v>31691.666666666599</v>
      </c>
      <c r="B1711" s="1">
        <f ca="1">IFERROR(__xludf.DUMMYFUNCTION("""COMPUTED_VALUE"""),3.98)</f>
        <v>3.98</v>
      </c>
      <c r="C1711" s="1">
        <f ca="1">IFERROR(__xludf.DUMMYFUNCTION("""COMPUTED_VALUE"""),4.08)</f>
        <v>4.08</v>
      </c>
      <c r="D1711" s="1">
        <f ca="1">IFERROR(__xludf.DUMMYFUNCTION("""COMPUTED_VALUE"""),3.98)</f>
        <v>3.98</v>
      </c>
      <c r="E1711" s="1">
        <f ca="1">IFERROR(__xludf.DUMMYFUNCTION("""COMPUTED_VALUE"""),3.98)</f>
        <v>3.98</v>
      </c>
      <c r="F1711" s="1">
        <f ca="1">IFERROR(__xludf.DUMMYFUNCTION("""COMPUTED_VALUE"""),148500)</f>
        <v>148500</v>
      </c>
      <c r="I1711" s="1"/>
    </row>
    <row r="1712" spans="1:9">
      <c r="A1712" s="3">
        <f ca="1">IFERROR(__xludf.DUMMYFUNCTION("""COMPUTED_VALUE"""),31692.6666666666)</f>
        <v>31692.666666666599</v>
      </c>
      <c r="B1712" s="1">
        <f ca="1">IFERROR(__xludf.DUMMYFUNCTION("""COMPUTED_VALUE"""),4.03)</f>
        <v>4.03</v>
      </c>
      <c r="C1712" s="1">
        <f ca="1">IFERROR(__xludf.DUMMYFUNCTION("""COMPUTED_VALUE"""),4.03)</f>
        <v>4.03</v>
      </c>
      <c r="D1712" s="1">
        <f ca="1">IFERROR(__xludf.DUMMYFUNCTION("""COMPUTED_VALUE"""),3.87)</f>
        <v>3.87</v>
      </c>
      <c r="E1712" s="1">
        <f ca="1">IFERROR(__xludf.DUMMYFUNCTION("""COMPUTED_VALUE"""),4.03)</f>
        <v>4.03</v>
      </c>
      <c r="F1712" s="1">
        <f ca="1">IFERROR(__xludf.DUMMYFUNCTION("""COMPUTED_VALUE"""),332300)</f>
        <v>332300</v>
      </c>
      <c r="I1712" s="1"/>
    </row>
    <row r="1713" spans="1:9">
      <c r="A1713" s="3">
        <f ca="1">IFERROR(__xludf.DUMMYFUNCTION("""COMPUTED_VALUE"""),31693.6666666666)</f>
        <v>31693.666666666599</v>
      </c>
      <c r="B1713" s="1">
        <f ca="1">IFERROR(__xludf.DUMMYFUNCTION("""COMPUTED_VALUE"""),4.12)</f>
        <v>4.12</v>
      </c>
      <c r="C1713" s="1">
        <f ca="1">IFERROR(__xludf.DUMMYFUNCTION("""COMPUTED_VALUE"""),4.12)</f>
        <v>4.12</v>
      </c>
      <c r="D1713" s="1">
        <f ca="1">IFERROR(__xludf.DUMMYFUNCTION("""COMPUTED_VALUE"""),4)</f>
        <v>4</v>
      </c>
      <c r="E1713" s="1">
        <f ca="1">IFERROR(__xludf.DUMMYFUNCTION("""COMPUTED_VALUE"""),4.12)</f>
        <v>4.12</v>
      </c>
      <c r="F1713" s="1">
        <f ca="1">IFERROR(__xludf.DUMMYFUNCTION("""COMPUTED_VALUE"""),372500)</f>
        <v>372500</v>
      </c>
      <c r="I1713" s="1"/>
    </row>
    <row r="1714" spans="1:9">
      <c r="A1714" s="3">
        <f ca="1">IFERROR(__xludf.DUMMYFUNCTION("""COMPUTED_VALUE"""),31694.6666666666)</f>
        <v>31694.666666666599</v>
      </c>
      <c r="B1714" s="1">
        <f ca="1">IFERROR(__xludf.DUMMYFUNCTION("""COMPUTED_VALUE"""),4.13)</f>
        <v>4.13</v>
      </c>
      <c r="C1714" s="1">
        <f ca="1">IFERROR(__xludf.DUMMYFUNCTION("""COMPUTED_VALUE"""),4.23)</f>
        <v>4.2300000000000004</v>
      </c>
      <c r="D1714" s="1">
        <f ca="1">IFERROR(__xludf.DUMMYFUNCTION("""COMPUTED_VALUE"""),4.11)</f>
        <v>4.1100000000000003</v>
      </c>
      <c r="E1714" s="1">
        <f ca="1">IFERROR(__xludf.DUMMYFUNCTION("""COMPUTED_VALUE"""),4.13)</f>
        <v>4.13</v>
      </c>
      <c r="F1714" s="1">
        <f ca="1">IFERROR(__xludf.DUMMYFUNCTION("""COMPUTED_VALUE"""),405800)</f>
        <v>405800</v>
      </c>
      <c r="I1714" s="1"/>
    </row>
    <row r="1715" spans="1:9">
      <c r="A1715" s="3">
        <f ca="1">IFERROR(__xludf.DUMMYFUNCTION("""COMPUTED_VALUE"""),31695.6666666666)</f>
        <v>31695.666666666599</v>
      </c>
      <c r="B1715" s="1">
        <f ca="1">IFERROR(__xludf.DUMMYFUNCTION("""COMPUTED_VALUE"""),4.1)</f>
        <v>4.0999999999999996</v>
      </c>
      <c r="C1715" s="1">
        <f ca="1">IFERROR(__xludf.DUMMYFUNCTION("""COMPUTED_VALUE"""),4.16)</f>
        <v>4.16</v>
      </c>
      <c r="D1715" s="1">
        <f ca="1">IFERROR(__xludf.DUMMYFUNCTION("""COMPUTED_VALUE"""),4.09)</f>
        <v>4.09</v>
      </c>
      <c r="E1715" s="1">
        <f ca="1">IFERROR(__xludf.DUMMYFUNCTION("""COMPUTED_VALUE"""),4.1)</f>
        <v>4.0999999999999996</v>
      </c>
      <c r="F1715" s="1">
        <f ca="1">IFERROR(__xludf.DUMMYFUNCTION("""COMPUTED_VALUE"""),198800)</f>
        <v>198800</v>
      </c>
      <c r="I1715" s="1"/>
    </row>
    <row r="1716" spans="1:9">
      <c r="A1716" s="3">
        <f ca="1">IFERROR(__xludf.DUMMYFUNCTION("""COMPUTED_VALUE"""),31698.6666666666)</f>
        <v>31698.666666666599</v>
      </c>
      <c r="B1716" s="1">
        <f ca="1">IFERROR(__xludf.DUMMYFUNCTION("""COMPUTED_VALUE"""),4.1)</f>
        <v>4.0999999999999996</v>
      </c>
      <c r="C1716" s="1">
        <f ca="1">IFERROR(__xludf.DUMMYFUNCTION("""COMPUTED_VALUE"""),4.12)</f>
        <v>4.12</v>
      </c>
      <c r="D1716" s="1">
        <f ca="1">IFERROR(__xludf.DUMMYFUNCTION("""COMPUTED_VALUE"""),4.08)</f>
        <v>4.08</v>
      </c>
      <c r="E1716" s="1">
        <f ca="1">IFERROR(__xludf.DUMMYFUNCTION("""COMPUTED_VALUE"""),4.1)</f>
        <v>4.0999999999999996</v>
      </c>
      <c r="F1716" s="1">
        <f ca="1">IFERROR(__xludf.DUMMYFUNCTION("""COMPUTED_VALUE"""),182100)</f>
        <v>182100</v>
      </c>
      <c r="I1716" s="1"/>
    </row>
    <row r="1717" spans="1:9">
      <c r="A1717" s="3">
        <f ca="1">IFERROR(__xludf.DUMMYFUNCTION("""COMPUTED_VALUE"""),31699.6666666666)</f>
        <v>31699.666666666599</v>
      </c>
      <c r="B1717" s="1">
        <f ca="1">IFERROR(__xludf.DUMMYFUNCTION("""COMPUTED_VALUE"""),4.18)</f>
        <v>4.18</v>
      </c>
      <c r="C1717" s="1">
        <f ca="1">IFERROR(__xludf.DUMMYFUNCTION("""COMPUTED_VALUE"""),4.2)</f>
        <v>4.2</v>
      </c>
      <c r="D1717" s="1">
        <f ca="1">IFERROR(__xludf.DUMMYFUNCTION("""COMPUTED_VALUE"""),4.09)</f>
        <v>4.09</v>
      </c>
      <c r="E1717" s="1">
        <f ca="1">IFERROR(__xludf.DUMMYFUNCTION("""COMPUTED_VALUE"""),4.18)</f>
        <v>4.18</v>
      </c>
      <c r="F1717" s="1">
        <f ca="1">IFERROR(__xludf.DUMMYFUNCTION("""COMPUTED_VALUE"""),492300)</f>
        <v>492300</v>
      </c>
      <c r="I1717" s="1"/>
    </row>
    <row r="1718" spans="1:9">
      <c r="A1718" s="3">
        <f ca="1">IFERROR(__xludf.DUMMYFUNCTION("""COMPUTED_VALUE"""),31700.6666666666)</f>
        <v>31700.666666666599</v>
      </c>
      <c r="B1718" s="1">
        <f ca="1">IFERROR(__xludf.DUMMYFUNCTION("""COMPUTED_VALUE"""),4.27)</f>
        <v>4.2699999999999996</v>
      </c>
      <c r="C1718" s="1">
        <f ca="1">IFERROR(__xludf.DUMMYFUNCTION("""COMPUTED_VALUE"""),4.28)</f>
        <v>4.28</v>
      </c>
      <c r="D1718" s="1">
        <f ca="1">IFERROR(__xludf.DUMMYFUNCTION("""COMPUTED_VALUE"""),4.17)</f>
        <v>4.17</v>
      </c>
      <c r="E1718" s="1">
        <f ca="1">IFERROR(__xludf.DUMMYFUNCTION("""COMPUTED_VALUE"""),4.27)</f>
        <v>4.2699999999999996</v>
      </c>
      <c r="F1718" s="1">
        <f ca="1">IFERROR(__xludf.DUMMYFUNCTION("""COMPUTED_VALUE"""),406400)</f>
        <v>406400</v>
      </c>
      <c r="I1718" s="1"/>
    </row>
    <row r="1719" spans="1:9">
      <c r="A1719" s="3">
        <f ca="1">IFERROR(__xludf.DUMMYFUNCTION("""COMPUTED_VALUE"""),31701.6666666666)</f>
        <v>31701.666666666599</v>
      </c>
      <c r="B1719" s="1">
        <f ca="1">IFERROR(__xludf.DUMMYFUNCTION("""COMPUTED_VALUE"""),4.37)</f>
        <v>4.37</v>
      </c>
      <c r="C1719" s="1">
        <f ca="1">IFERROR(__xludf.DUMMYFUNCTION("""COMPUTED_VALUE"""),4.37)</f>
        <v>4.37</v>
      </c>
      <c r="D1719" s="1">
        <f ca="1">IFERROR(__xludf.DUMMYFUNCTION("""COMPUTED_VALUE"""),4.25)</f>
        <v>4.25</v>
      </c>
      <c r="E1719" s="1">
        <f ca="1">IFERROR(__xludf.DUMMYFUNCTION("""COMPUTED_VALUE"""),4.37)</f>
        <v>4.37</v>
      </c>
      <c r="F1719" s="1">
        <f ca="1">IFERROR(__xludf.DUMMYFUNCTION("""COMPUTED_VALUE"""),516700)</f>
        <v>516700</v>
      </c>
      <c r="I1719" s="1"/>
    </row>
    <row r="1720" spans="1:9">
      <c r="A1720" s="3">
        <f ca="1">IFERROR(__xludf.DUMMYFUNCTION("""COMPUTED_VALUE"""),31702.6666666666)</f>
        <v>31702.666666666599</v>
      </c>
      <c r="B1720" s="1">
        <f ca="1">IFERROR(__xludf.DUMMYFUNCTION("""COMPUTED_VALUE"""),4.38)</f>
        <v>4.38</v>
      </c>
      <c r="C1720" s="1">
        <f ca="1">IFERROR(__xludf.DUMMYFUNCTION("""COMPUTED_VALUE"""),4.38)</f>
        <v>4.38</v>
      </c>
      <c r="D1720" s="1">
        <f ca="1">IFERROR(__xludf.DUMMYFUNCTION("""COMPUTED_VALUE"""),4.33)</f>
        <v>4.33</v>
      </c>
      <c r="E1720" s="1">
        <f ca="1">IFERROR(__xludf.DUMMYFUNCTION("""COMPUTED_VALUE"""),4.38)</f>
        <v>4.38</v>
      </c>
      <c r="F1720" s="1">
        <f ca="1">IFERROR(__xludf.DUMMYFUNCTION("""COMPUTED_VALUE"""),459900)</f>
        <v>459900</v>
      </c>
      <c r="I1720" s="1"/>
    </row>
    <row r="1721" spans="1:9">
      <c r="A1721" s="3">
        <f ca="1">IFERROR(__xludf.DUMMYFUNCTION("""COMPUTED_VALUE"""),31705.6666666666)</f>
        <v>31705.666666666599</v>
      </c>
      <c r="B1721" s="1">
        <f ca="1">IFERROR(__xludf.DUMMYFUNCTION("""COMPUTED_VALUE"""),4.29)</f>
        <v>4.29</v>
      </c>
      <c r="C1721" s="1">
        <f ca="1">IFERROR(__xludf.DUMMYFUNCTION("""COMPUTED_VALUE"""),4.34)</f>
        <v>4.34</v>
      </c>
      <c r="D1721" s="1">
        <f ca="1">IFERROR(__xludf.DUMMYFUNCTION("""COMPUTED_VALUE"""),4.27)</f>
        <v>4.2699999999999996</v>
      </c>
      <c r="E1721" s="1">
        <f ca="1">IFERROR(__xludf.DUMMYFUNCTION("""COMPUTED_VALUE"""),4.29)</f>
        <v>4.29</v>
      </c>
      <c r="F1721" s="1">
        <f ca="1">IFERROR(__xludf.DUMMYFUNCTION("""COMPUTED_VALUE"""),291600)</f>
        <v>291600</v>
      </c>
      <c r="I1721" s="1"/>
    </row>
    <row r="1722" spans="1:9">
      <c r="A1722" s="3">
        <f ca="1">IFERROR(__xludf.DUMMYFUNCTION("""COMPUTED_VALUE"""),31706.6666666666)</f>
        <v>31706.666666666599</v>
      </c>
      <c r="B1722" s="1">
        <f ca="1">IFERROR(__xludf.DUMMYFUNCTION("""COMPUTED_VALUE"""),4.3)</f>
        <v>4.3</v>
      </c>
      <c r="C1722" s="1">
        <f ca="1">IFERROR(__xludf.DUMMYFUNCTION("""COMPUTED_VALUE"""),4.32)</f>
        <v>4.32</v>
      </c>
      <c r="D1722" s="1">
        <f ca="1">IFERROR(__xludf.DUMMYFUNCTION("""COMPUTED_VALUE"""),4.28)</f>
        <v>4.28</v>
      </c>
      <c r="E1722" s="1">
        <f ca="1">IFERROR(__xludf.DUMMYFUNCTION("""COMPUTED_VALUE"""),4.3)</f>
        <v>4.3</v>
      </c>
      <c r="F1722" s="1">
        <f ca="1">IFERROR(__xludf.DUMMYFUNCTION("""COMPUTED_VALUE"""),180200)</f>
        <v>180200</v>
      </c>
      <c r="I1722" s="1"/>
    </row>
    <row r="1723" spans="1:9">
      <c r="A1723" s="3">
        <f ca="1">IFERROR(__xludf.DUMMYFUNCTION("""COMPUTED_VALUE"""),31707.6666666666)</f>
        <v>31707.666666666599</v>
      </c>
      <c r="B1723" s="1">
        <f ca="1">IFERROR(__xludf.DUMMYFUNCTION("""COMPUTED_VALUE"""),4.34)</f>
        <v>4.34</v>
      </c>
      <c r="C1723" s="1">
        <f ca="1">IFERROR(__xludf.DUMMYFUNCTION("""COMPUTED_VALUE"""),4.37)</f>
        <v>4.37</v>
      </c>
      <c r="D1723" s="1">
        <f ca="1">IFERROR(__xludf.DUMMYFUNCTION("""COMPUTED_VALUE"""),4.29)</f>
        <v>4.29</v>
      </c>
      <c r="E1723" s="1">
        <f ca="1">IFERROR(__xludf.DUMMYFUNCTION("""COMPUTED_VALUE"""),4.34)</f>
        <v>4.34</v>
      </c>
      <c r="F1723" s="1">
        <f ca="1">IFERROR(__xludf.DUMMYFUNCTION("""COMPUTED_VALUE"""),295100)</f>
        <v>295100</v>
      </c>
      <c r="I1723" s="1"/>
    </row>
    <row r="1724" spans="1:9">
      <c r="A1724" s="3">
        <f ca="1">IFERROR(__xludf.DUMMYFUNCTION("""COMPUTED_VALUE"""),31708.6666666666)</f>
        <v>31708.666666666599</v>
      </c>
      <c r="B1724" s="1">
        <f ca="1">IFERROR(__xludf.DUMMYFUNCTION("""COMPUTED_VALUE"""),4.35)</f>
        <v>4.3499999999999996</v>
      </c>
      <c r="C1724" s="1">
        <f ca="1">IFERROR(__xludf.DUMMYFUNCTION("""COMPUTED_VALUE"""),4.37)</f>
        <v>4.37</v>
      </c>
      <c r="D1724" s="1">
        <f ca="1">IFERROR(__xludf.DUMMYFUNCTION("""COMPUTED_VALUE"""),4.33)</f>
        <v>4.33</v>
      </c>
      <c r="E1724" s="1">
        <f ca="1">IFERROR(__xludf.DUMMYFUNCTION("""COMPUTED_VALUE"""),4.35)</f>
        <v>4.3499999999999996</v>
      </c>
      <c r="F1724" s="1">
        <f ca="1">IFERROR(__xludf.DUMMYFUNCTION("""COMPUTED_VALUE"""),398000)</f>
        <v>398000</v>
      </c>
      <c r="I1724" s="1"/>
    </row>
    <row r="1725" spans="1:9">
      <c r="A1725" s="3">
        <f ca="1">IFERROR(__xludf.DUMMYFUNCTION("""COMPUTED_VALUE"""),31709.6666666666)</f>
        <v>31709.666666666599</v>
      </c>
      <c r="B1725" s="1">
        <f ca="1">IFERROR(__xludf.DUMMYFUNCTION("""COMPUTED_VALUE"""),4.29)</f>
        <v>4.29</v>
      </c>
      <c r="C1725" s="1">
        <f ca="1">IFERROR(__xludf.DUMMYFUNCTION("""COMPUTED_VALUE"""),4.37)</f>
        <v>4.37</v>
      </c>
      <c r="D1725" s="1">
        <f ca="1">IFERROR(__xludf.DUMMYFUNCTION("""COMPUTED_VALUE"""),4.29)</f>
        <v>4.29</v>
      </c>
      <c r="E1725" s="1">
        <f ca="1">IFERROR(__xludf.DUMMYFUNCTION("""COMPUTED_VALUE"""),4.29)</f>
        <v>4.29</v>
      </c>
      <c r="F1725" s="1">
        <f ca="1">IFERROR(__xludf.DUMMYFUNCTION("""COMPUTED_VALUE"""),238500)</f>
        <v>238500</v>
      </c>
      <c r="I1725" s="1"/>
    </row>
    <row r="1726" spans="1:9">
      <c r="A1726" s="3">
        <f ca="1">IFERROR(__xludf.DUMMYFUNCTION("""COMPUTED_VALUE"""),31712.6666666666)</f>
        <v>31712.666666666599</v>
      </c>
      <c r="B1726" s="1">
        <f ca="1">IFERROR(__xludf.DUMMYFUNCTION("""COMPUTED_VALUE"""),4.34)</f>
        <v>4.34</v>
      </c>
      <c r="C1726" s="1">
        <f ca="1">IFERROR(__xludf.DUMMYFUNCTION("""COMPUTED_VALUE"""),4.35)</f>
        <v>4.3499999999999996</v>
      </c>
      <c r="D1726" s="1">
        <f ca="1">IFERROR(__xludf.DUMMYFUNCTION("""COMPUTED_VALUE"""),4.29)</f>
        <v>4.29</v>
      </c>
      <c r="E1726" s="1">
        <f ca="1">IFERROR(__xludf.DUMMYFUNCTION("""COMPUTED_VALUE"""),4.34)</f>
        <v>4.34</v>
      </c>
      <c r="F1726" s="1">
        <f ca="1">IFERROR(__xludf.DUMMYFUNCTION("""COMPUTED_VALUE"""),186500)</f>
        <v>186500</v>
      </c>
      <c r="I1726" s="1"/>
    </row>
    <row r="1727" spans="1:9">
      <c r="A1727" s="3">
        <f ca="1">IFERROR(__xludf.DUMMYFUNCTION("""COMPUTED_VALUE"""),31713.6666666666)</f>
        <v>31713.666666666599</v>
      </c>
      <c r="B1727" s="1">
        <f ca="1">IFERROR(__xludf.DUMMYFUNCTION("""COMPUTED_VALUE"""),4.29)</f>
        <v>4.29</v>
      </c>
      <c r="C1727" s="1">
        <f ca="1">IFERROR(__xludf.DUMMYFUNCTION("""COMPUTED_VALUE"""),4.35)</f>
        <v>4.3499999999999996</v>
      </c>
      <c r="D1727" s="1">
        <f ca="1">IFERROR(__xludf.DUMMYFUNCTION("""COMPUTED_VALUE"""),4.28)</f>
        <v>4.28</v>
      </c>
      <c r="E1727" s="1">
        <f ca="1">IFERROR(__xludf.DUMMYFUNCTION("""COMPUTED_VALUE"""),4.29)</f>
        <v>4.29</v>
      </c>
      <c r="F1727" s="1">
        <f ca="1">IFERROR(__xludf.DUMMYFUNCTION("""COMPUTED_VALUE"""),253800)</f>
        <v>253800</v>
      </c>
      <c r="I1727" s="1"/>
    </row>
    <row r="1728" spans="1:9">
      <c r="A1728" s="3">
        <f ca="1">IFERROR(__xludf.DUMMYFUNCTION("""COMPUTED_VALUE"""),31714.6666666666)</f>
        <v>31714.666666666599</v>
      </c>
      <c r="B1728" s="1">
        <f ca="1">IFERROR(__xludf.DUMMYFUNCTION("""COMPUTED_VALUE"""),4.31)</f>
        <v>4.3099999999999996</v>
      </c>
      <c r="C1728" s="1">
        <f ca="1">IFERROR(__xludf.DUMMYFUNCTION("""COMPUTED_VALUE"""),4.34)</f>
        <v>4.34</v>
      </c>
      <c r="D1728" s="1">
        <f ca="1">IFERROR(__xludf.DUMMYFUNCTION("""COMPUTED_VALUE"""),4.26)</f>
        <v>4.26</v>
      </c>
      <c r="E1728" s="1">
        <f ca="1">IFERROR(__xludf.DUMMYFUNCTION("""COMPUTED_VALUE"""),4.31)</f>
        <v>4.3099999999999996</v>
      </c>
      <c r="F1728" s="1">
        <f ca="1">IFERROR(__xludf.DUMMYFUNCTION("""COMPUTED_VALUE"""),317100)</f>
        <v>317100</v>
      </c>
      <c r="I1728" s="1"/>
    </row>
    <row r="1729" spans="1:9">
      <c r="A1729" s="3">
        <f ca="1">IFERROR(__xludf.DUMMYFUNCTION("""COMPUTED_VALUE"""),31715.6666666666)</f>
        <v>31715.666666666599</v>
      </c>
      <c r="B1729" s="1">
        <f ca="1">IFERROR(__xludf.DUMMYFUNCTION("""COMPUTED_VALUE"""),4.34)</f>
        <v>4.34</v>
      </c>
      <c r="C1729" s="1">
        <f ca="1">IFERROR(__xludf.DUMMYFUNCTION("""COMPUTED_VALUE"""),4.38)</f>
        <v>4.38</v>
      </c>
      <c r="D1729" s="1">
        <f ca="1">IFERROR(__xludf.DUMMYFUNCTION("""COMPUTED_VALUE"""),4.32)</f>
        <v>4.32</v>
      </c>
      <c r="E1729" s="1">
        <f ca="1">IFERROR(__xludf.DUMMYFUNCTION("""COMPUTED_VALUE"""),4.34)</f>
        <v>4.34</v>
      </c>
      <c r="F1729" s="1">
        <f ca="1">IFERROR(__xludf.DUMMYFUNCTION("""COMPUTED_VALUE"""),620600)</f>
        <v>620600</v>
      </c>
      <c r="I1729" s="1"/>
    </row>
    <row r="1730" spans="1:9">
      <c r="A1730" s="3">
        <f ca="1">IFERROR(__xludf.DUMMYFUNCTION("""COMPUTED_VALUE"""),31716.6666666666)</f>
        <v>31716.666666666599</v>
      </c>
      <c r="B1730" s="1">
        <f ca="1">IFERROR(__xludf.DUMMYFUNCTION("""COMPUTED_VALUE"""),4.36)</f>
        <v>4.3600000000000003</v>
      </c>
      <c r="C1730" s="1">
        <f ca="1">IFERROR(__xludf.DUMMYFUNCTION("""COMPUTED_VALUE"""),4.37)</f>
        <v>4.37</v>
      </c>
      <c r="D1730" s="1">
        <f ca="1">IFERROR(__xludf.DUMMYFUNCTION("""COMPUTED_VALUE"""),4.33)</f>
        <v>4.33</v>
      </c>
      <c r="E1730" s="1">
        <f ca="1">IFERROR(__xludf.DUMMYFUNCTION("""COMPUTED_VALUE"""),4.36)</f>
        <v>4.3600000000000003</v>
      </c>
      <c r="F1730" s="1">
        <f ca="1">IFERROR(__xludf.DUMMYFUNCTION("""COMPUTED_VALUE"""),408600)</f>
        <v>408600</v>
      </c>
      <c r="I1730" s="1"/>
    </row>
    <row r="1731" spans="1:9">
      <c r="A1731" s="3">
        <f ca="1">IFERROR(__xludf.DUMMYFUNCTION("""COMPUTED_VALUE"""),31719.6666666666)</f>
        <v>31719.666666666599</v>
      </c>
      <c r="B1731" s="1">
        <f ca="1">IFERROR(__xludf.DUMMYFUNCTION("""COMPUTED_VALUE"""),4.35)</f>
        <v>4.3499999999999996</v>
      </c>
      <c r="C1731" s="1">
        <f ca="1">IFERROR(__xludf.DUMMYFUNCTION("""COMPUTED_VALUE"""),4.38)</f>
        <v>4.38</v>
      </c>
      <c r="D1731" s="1">
        <f ca="1">IFERROR(__xludf.DUMMYFUNCTION("""COMPUTED_VALUE"""),4.34)</f>
        <v>4.34</v>
      </c>
      <c r="E1731" s="1">
        <f ca="1">IFERROR(__xludf.DUMMYFUNCTION("""COMPUTED_VALUE"""),4.35)</f>
        <v>4.3499999999999996</v>
      </c>
      <c r="F1731" s="1">
        <f ca="1">IFERROR(__xludf.DUMMYFUNCTION("""COMPUTED_VALUE"""),313400)</f>
        <v>313400</v>
      </c>
      <c r="I1731" s="1"/>
    </row>
    <row r="1732" spans="1:9">
      <c r="A1732" s="3">
        <f ca="1">IFERROR(__xludf.DUMMYFUNCTION("""COMPUTED_VALUE"""),31720.6666666666)</f>
        <v>31720.666666666599</v>
      </c>
      <c r="B1732" s="1">
        <f ca="1">IFERROR(__xludf.DUMMYFUNCTION("""COMPUTED_VALUE"""),4.37)</f>
        <v>4.37</v>
      </c>
      <c r="C1732" s="1">
        <f ca="1">IFERROR(__xludf.DUMMYFUNCTION("""COMPUTED_VALUE"""),4.38)</f>
        <v>4.38</v>
      </c>
      <c r="D1732" s="1">
        <f ca="1">IFERROR(__xludf.DUMMYFUNCTION("""COMPUTED_VALUE"""),4.34)</f>
        <v>4.34</v>
      </c>
      <c r="E1732" s="1">
        <f ca="1">IFERROR(__xludf.DUMMYFUNCTION("""COMPUTED_VALUE"""),4.37)</f>
        <v>4.37</v>
      </c>
      <c r="F1732" s="1">
        <f ca="1">IFERROR(__xludf.DUMMYFUNCTION("""COMPUTED_VALUE"""),353800)</f>
        <v>353800</v>
      </c>
      <c r="I1732" s="1"/>
    </row>
    <row r="1733" spans="1:9">
      <c r="A1733" s="3">
        <f ca="1">IFERROR(__xludf.DUMMYFUNCTION("""COMPUTED_VALUE"""),31721.6666666666)</f>
        <v>31721.666666666599</v>
      </c>
      <c r="B1733" s="1">
        <f ca="1">IFERROR(__xludf.DUMMYFUNCTION("""COMPUTED_VALUE"""),4.41)</f>
        <v>4.41</v>
      </c>
      <c r="C1733" s="1">
        <f ca="1">IFERROR(__xludf.DUMMYFUNCTION("""COMPUTED_VALUE"""),4.43)</f>
        <v>4.43</v>
      </c>
      <c r="D1733" s="1">
        <f ca="1">IFERROR(__xludf.DUMMYFUNCTION("""COMPUTED_VALUE"""),4.36)</f>
        <v>4.3600000000000003</v>
      </c>
      <c r="E1733" s="1">
        <f ca="1">IFERROR(__xludf.DUMMYFUNCTION("""COMPUTED_VALUE"""),4.41)</f>
        <v>4.41</v>
      </c>
      <c r="F1733" s="1">
        <f ca="1">IFERROR(__xludf.DUMMYFUNCTION("""COMPUTED_VALUE"""),621200)</f>
        <v>621200</v>
      </c>
      <c r="I1733" s="1"/>
    </row>
    <row r="1734" spans="1:9">
      <c r="A1734" s="3">
        <f ca="1">IFERROR(__xludf.DUMMYFUNCTION("""COMPUTED_VALUE"""),31722.6666666666)</f>
        <v>31722.666666666599</v>
      </c>
      <c r="B1734" s="1">
        <f ca="1">IFERROR(__xludf.DUMMYFUNCTION("""COMPUTED_VALUE"""),4.4)</f>
        <v>4.4000000000000004</v>
      </c>
      <c r="C1734" s="1">
        <f ca="1">IFERROR(__xludf.DUMMYFUNCTION("""COMPUTED_VALUE"""),4.41)</f>
        <v>4.41</v>
      </c>
      <c r="D1734" s="1">
        <f ca="1">IFERROR(__xludf.DUMMYFUNCTION("""COMPUTED_VALUE"""),4.36)</f>
        <v>4.3600000000000003</v>
      </c>
      <c r="E1734" s="1">
        <f ca="1">IFERROR(__xludf.DUMMYFUNCTION("""COMPUTED_VALUE"""),4.4)</f>
        <v>4.4000000000000004</v>
      </c>
      <c r="F1734" s="1">
        <f ca="1">IFERROR(__xludf.DUMMYFUNCTION("""COMPUTED_VALUE"""),257700)</f>
        <v>257700</v>
      </c>
      <c r="I1734" s="1"/>
    </row>
    <row r="1735" spans="1:9">
      <c r="A1735" s="3">
        <f ca="1">IFERROR(__xludf.DUMMYFUNCTION("""COMPUTED_VALUE"""),31723.6666666666)</f>
        <v>31723.666666666599</v>
      </c>
      <c r="B1735" s="1">
        <f ca="1">IFERROR(__xludf.DUMMYFUNCTION("""COMPUTED_VALUE"""),4.34)</f>
        <v>4.34</v>
      </c>
      <c r="C1735" s="1">
        <f ca="1">IFERROR(__xludf.DUMMYFUNCTION("""COMPUTED_VALUE"""),4.4)</f>
        <v>4.4000000000000004</v>
      </c>
      <c r="D1735" s="1">
        <f ca="1">IFERROR(__xludf.DUMMYFUNCTION("""COMPUTED_VALUE"""),4.34)</f>
        <v>4.34</v>
      </c>
      <c r="E1735" s="1">
        <f ca="1">IFERROR(__xludf.DUMMYFUNCTION("""COMPUTED_VALUE"""),4.34)</f>
        <v>4.34</v>
      </c>
      <c r="F1735" s="1">
        <f ca="1">IFERROR(__xludf.DUMMYFUNCTION("""COMPUTED_VALUE"""),318000)</f>
        <v>318000</v>
      </c>
      <c r="I1735" s="1"/>
    </row>
    <row r="1736" spans="1:9">
      <c r="A1736" s="3">
        <f ca="1">IFERROR(__xludf.DUMMYFUNCTION("""COMPUTED_VALUE"""),31726.6666666666)</f>
        <v>31726.666666666599</v>
      </c>
      <c r="B1736" s="1">
        <f ca="1">IFERROR(__xludf.DUMMYFUNCTION("""COMPUTED_VALUE"""),4.36)</f>
        <v>4.3600000000000003</v>
      </c>
      <c r="C1736" s="1">
        <f ca="1">IFERROR(__xludf.DUMMYFUNCTION("""COMPUTED_VALUE"""),4.37)</f>
        <v>4.37</v>
      </c>
      <c r="D1736" s="1">
        <f ca="1">IFERROR(__xludf.DUMMYFUNCTION("""COMPUTED_VALUE"""),4.33)</f>
        <v>4.33</v>
      </c>
      <c r="E1736" s="1">
        <f ca="1">IFERROR(__xludf.DUMMYFUNCTION("""COMPUTED_VALUE"""),4.36)</f>
        <v>4.3600000000000003</v>
      </c>
      <c r="F1736" s="1">
        <f ca="1">IFERROR(__xludf.DUMMYFUNCTION("""COMPUTED_VALUE"""),277000)</f>
        <v>277000</v>
      </c>
      <c r="I1736" s="1"/>
    </row>
    <row r="1737" spans="1:9">
      <c r="A1737" s="3">
        <f ca="1">IFERROR(__xludf.DUMMYFUNCTION("""COMPUTED_VALUE"""),31727.6666666666)</f>
        <v>31727.666666666599</v>
      </c>
      <c r="B1737" s="1">
        <f ca="1">IFERROR(__xludf.DUMMYFUNCTION("""COMPUTED_VALUE"""),4.38)</f>
        <v>4.38</v>
      </c>
      <c r="C1737" s="1">
        <f ca="1">IFERROR(__xludf.DUMMYFUNCTION("""COMPUTED_VALUE"""),4.38)</f>
        <v>4.38</v>
      </c>
      <c r="D1737" s="1">
        <f ca="1">IFERROR(__xludf.DUMMYFUNCTION("""COMPUTED_VALUE"""),4.35)</f>
        <v>4.3499999999999996</v>
      </c>
      <c r="E1737" s="1">
        <f ca="1">IFERROR(__xludf.DUMMYFUNCTION("""COMPUTED_VALUE"""),4.38)</f>
        <v>4.38</v>
      </c>
      <c r="F1737" s="1">
        <f ca="1">IFERROR(__xludf.DUMMYFUNCTION("""COMPUTED_VALUE"""),257700)</f>
        <v>257700</v>
      </c>
      <c r="I1737" s="1"/>
    </row>
    <row r="1738" spans="1:9">
      <c r="A1738" s="3">
        <f ca="1">IFERROR(__xludf.DUMMYFUNCTION("""COMPUTED_VALUE"""),31728.6666666666)</f>
        <v>31728.666666666599</v>
      </c>
      <c r="B1738" s="1">
        <f ca="1">IFERROR(__xludf.DUMMYFUNCTION("""COMPUTED_VALUE"""),4.38)</f>
        <v>4.38</v>
      </c>
      <c r="C1738" s="1">
        <f ca="1">IFERROR(__xludf.DUMMYFUNCTION("""COMPUTED_VALUE"""),4.42)</f>
        <v>4.42</v>
      </c>
      <c r="D1738" s="1">
        <f ca="1">IFERROR(__xludf.DUMMYFUNCTION("""COMPUTED_VALUE"""),4.37)</f>
        <v>4.37</v>
      </c>
      <c r="E1738" s="1">
        <f ca="1">IFERROR(__xludf.DUMMYFUNCTION("""COMPUTED_VALUE"""),4.38)</f>
        <v>4.38</v>
      </c>
      <c r="F1738" s="1">
        <f ca="1">IFERROR(__xludf.DUMMYFUNCTION("""COMPUTED_VALUE"""),291100)</f>
        <v>291100</v>
      </c>
      <c r="I1738" s="1"/>
    </row>
    <row r="1739" spans="1:9">
      <c r="A1739" s="3">
        <f ca="1">IFERROR(__xludf.DUMMYFUNCTION("""COMPUTED_VALUE"""),31729.6666666666)</f>
        <v>31729.666666666599</v>
      </c>
      <c r="B1739" s="1">
        <f ca="1">IFERROR(__xludf.DUMMYFUNCTION("""COMPUTED_VALUE"""),4.27)</f>
        <v>4.2699999999999996</v>
      </c>
      <c r="C1739" s="1">
        <f ca="1">IFERROR(__xludf.DUMMYFUNCTION("""COMPUTED_VALUE"""),4.38)</f>
        <v>4.38</v>
      </c>
      <c r="D1739" s="1">
        <f ca="1">IFERROR(__xludf.DUMMYFUNCTION("""COMPUTED_VALUE"""),4.27)</f>
        <v>4.2699999999999996</v>
      </c>
      <c r="E1739" s="1">
        <f ca="1">IFERROR(__xludf.DUMMYFUNCTION("""COMPUTED_VALUE"""),4.27)</f>
        <v>4.2699999999999996</v>
      </c>
      <c r="F1739" s="1">
        <f ca="1">IFERROR(__xludf.DUMMYFUNCTION("""COMPUTED_VALUE"""),559100)</f>
        <v>559100</v>
      </c>
      <c r="I1739" s="1"/>
    </row>
    <row r="1740" spans="1:9">
      <c r="A1740" s="3">
        <f ca="1">IFERROR(__xludf.DUMMYFUNCTION("""COMPUTED_VALUE"""),31730.6666666666)</f>
        <v>31730.666666666599</v>
      </c>
      <c r="B1740" s="1">
        <f ca="1">IFERROR(__xludf.DUMMYFUNCTION("""COMPUTED_VALUE"""),4.32)</f>
        <v>4.32</v>
      </c>
      <c r="C1740" s="1">
        <f ca="1">IFERROR(__xludf.DUMMYFUNCTION("""COMPUTED_VALUE"""),4.33)</f>
        <v>4.33</v>
      </c>
      <c r="D1740" s="1">
        <f ca="1">IFERROR(__xludf.DUMMYFUNCTION("""COMPUTED_VALUE"""),4.22)</f>
        <v>4.22</v>
      </c>
      <c r="E1740" s="1">
        <f ca="1">IFERROR(__xludf.DUMMYFUNCTION("""COMPUTED_VALUE"""),4.32)</f>
        <v>4.32</v>
      </c>
      <c r="F1740" s="1">
        <f ca="1">IFERROR(__xludf.DUMMYFUNCTION("""COMPUTED_VALUE"""),544400)</f>
        <v>544400</v>
      </c>
      <c r="I1740" s="1"/>
    </row>
    <row r="1741" spans="1:9">
      <c r="A1741" s="3">
        <f ca="1">IFERROR(__xludf.DUMMYFUNCTION("""COMPUTED_VALUE"""),31733.6666666666)</f>
        <v>31733.666666666599</v>
      </c>
      <c r="B1741" s="1">
        <f ca="1">IFERROR(__xludf.DUMMYFUNCTION("""COMPUTED_VALUE"""),4.23)</f>
        <v>4.2300000000000004</v>
      </c>
      <c r="C1741" s="1">
        <f ca="1">IFERROR(__xludf.DUMMYFUNCTION("""COMPUTED_VALUE"""),4.3)</f>
        <v>4.3</v>
      </c>
      <c r="D1741" s="1">
        <f ca="1">IFERROR(__xludf.DUMMYFUNCTION("""COMPUTED_VALUE"""),4.22)</f>
        <v>4.22</v>
      </c>
      <c r="E1741" s="1">
        <f ca="1">IFERROR(__xludf.DUMMYFUNCTION("""COMPUTED_VALUE"""),4.23)</f>
        <v>4.2300000000000004</v>
      </c>
      <c r="F1741" s="1">
        <f ca="1">IFERROR(__xludf.DUMMYFUNCTION("""COMPUTED_VALUE"""),408600)</f>
        <v>408600</v>
      </c>
      <c r="I1741" s="1"/>
    </row>
    <row r="1742" spans="1:9">
      <c r="A1742" s="3">
        <f ca="1">IFERROR(__xludf.DUMMYFUNCTION("""COMPUTED_VALUE"""),31734.6666666666)</f>
        <v>31734.666666666599</v>
      </c>
      <c r="B1742" s="1">
        <f ca="1">IFERROR(__xludf.DUMMYFUNCTION("""COMPUTED_VALUE"""),4.08)</f>
        <v>4.08</v>
      </c>
      <c r="C1742" s="1">
        <f ca="1">IFERROR(__xludf.DUMMYFUNCTION("""COMPUTED_VALUE"""),4.25)</f>
        <v>4.25</v>
      </c>
      <c r="D1742" s="1">
        <f ca="1">IFERROR(__xludf.DUMMYFUNCTION("""COMPUTED_VALUE"""),4.05)</f>
        <v>4.05</v>
      </c>
      <c r="E1742" s="1">
        <f ca="1">IFERROR(__xludf.DUMMYFUNCTION("""COMPUTED_VALUE"""),4.08)</f>
        <v>4.08</v>
      </c>
      <c r="F1742" s="1">
        <f ca="1">IFERROR(__xludf.DUMMYFUNCTION("""COMPUTED_VALUE"""),610600)</f>
        <v>610600</v>
      </c>
      <c r="I1742" s="1"/>
    </row>
    <row r="1743" spans="1:9">
      <c r="A1743" s="3">
        <f ca="1">IFERROR(__xludf.DUMMYFUNCTION("""COMPUTED_VALUE"""),31735.6666666666)</f>
        <v>31735.666666666599</v>
      </c>
      <c r="B1743" s="1">
        <f ca="1">IFERROR(__xludf.DUMMYFUNCTION("""COMPUTED_VALUE"""),4.15)</f>
        <v>4.1500000000000004</v>
      </c>
      <c r="C1743" s="1">
        <f ca="1">IFERROR(__xludf.DUMMYFUNCTION("""COMPUTED_VALUE"""),4.16)</f>
        <v>4.16</v>
      </c>
      <c r="D1743" s="1">
        <f ca="1">IFERROR(__xludf.DUMMYFUNCTION("""COMPUTED_VALUE"""),4.05)</f>
        <v>4.05</v>
      </c>
      <c r="E1743" s="1">
        <f ca="1">IFERROR(__xludf.DUMMYFUNCTION("""COMPUTED_VALUE"""),4.15)</f>
        <v>4.1500000000000004</v>
      </c>
      <c r="F1743" s="1">
        <f ca="1">IFERROR(__xludf.DUMMYFUNCTION("""COMPUTED_VALUE"""),456500)</f>
        <v>456500</v>
      </c>
      <c r="I1743" s="1"/>
    </row>
    <row r="1744" spans="1:9">
      <c r="A1744" s="3">
        <f ca="1">IFERROR(__xludf.DUMMYFUNCTION("""COMPUTED_VALUE"""),31736.6666666666)</f>
        <v>31736.666666666599</v>
      </c>
      <c r="B1744" s="1">
        <f ca="1">IFERROR(__xludf.DUMMYFUNCTION("""COMPUTED_VALUE"""),4.21)</f>
        <v>4.21</v>
      </c>
      <c r="C1744" s="1">
        <f ca="1">IFERROR(__xludf.DUMMYFUNCTION("""COMPUTED_VALUE"""),4.21)</f>
        <v>4.21</v>
      </c>
      <c r="D1744" s="1">
        <f ca="1">IFERROR(__xludf.DUMMYFUNCTION("""COMPUTED_VALUE"""),4.15)</f>
        <v>4.1500000000000004</v>
      </c>
      <c r="E1744" s="1">
        <f ca="1">IFERROR(__xludf.DUMMYFUNCTION("""COMPUTED_VALUE"""),4.21)</f>
        <v>4.21</v>
      </c>
      <c r="F1744" s="1">
        <f ca="1">IFERROR(__xludf.DUMMYFUNCTION("""COMPUTED_VALUE"""),580900)</f>
        <v>580900</v>
      </c>
      <c r="I1744" s="1"/>
    </row>
    <row r="1745" spans="1:9">
      <c r="A1745" s="3">
        <f ca="1">IFERROR(__xludf.DUMMYFUNCTION("""COMPUTED_VALUE"""),31737.6666666666)</f>
        <v>31737.666666666599</v>
      </c>
      <c r="B1745" s="1">
        <f ca="1">IFERROR(__xludf.DUMMYFUNCTION("""COMPUTED_VALUE"""),4.34)</f>
        <v>4.34</v>
      </c>
      <c r="C1745" s="1">
        <f ca="1">IFERROR(__xludf.DUMMYFUNCTION("""COMPUTED_VALUE"""),4.34)</f>
        <v>4.34</v>
      </c>
      <c r="D1745" s="1">
        <f ca="1">IFERROR(__xludf.DUMMYFUNCTION("""COMPUTED_VALUE"""),4.2)</f>
        <v>4.2</v>
      </c>
      <c r="E1745" s="1">
        <f ca="1">IFERROR(__xludf.DUMMYFUNCTION("""COMPUTED_VALUE"""),4.34)</f>
        <v>4.34</v>
      </c>
      <c r="F1745" s="1">
        <f ca="1">IFERROR(__xludf.DUMMYFUNCTION("""COMPUTED_VALUE"""),871800)</f>
        <v>871800</v>
      </c>
      <c r="I1745" s="1"/>
    </row>
    <row r="1746" spans="1:9">
      <c r="A1746" s="3">
        <f ca="1">IFERROR(__xludf.DUMMYFUNCTION("""COMPUTED_VALUE"""),31740.6666666666)</f>
        <v>31740.666666666599</v>
      </c>
      <c r="B1746" s="1">
        <f ca="1">IFERROR(__xludf.DUMMYFUNCTION("""COMPUTED_VALUE"""),4.39)</f>
        <v>4.3899999999999997</v>
      </c>
      <c r="C1746" s="1">
        <f ca="1">IFERROR(__xludf.DUMMYFUNCTION("""COMPUTED_VALUE"""),4.41)</f>
        <v>4.41</v>
      </c>
      <c r="D1746" s="1">
        <f ca="1">IFERROR(__xludf.DUMMYFUNCTION("""COMPUTED_VALUE"""),4.32)</f>
        <v>4.32</v>
      </c>
      <c r="E1746" s="1">
        <f ca="1">IFERROR(__xludf.DUMMYFUNCTION("""COMPUTED_VALUE"""),4.39)</f>
        <v>4.3899999999999997</v>
      </c>
      <c r="F1746" s="1">
        <f ca="1">IFERROR(__xludf.DUMMYFUNCTION("""COMPUTED_VALUE"""),604700)</f>
        <v>604700</v>
      </c>
      <c r="I1746" s="1"/>
    </row>
    <row r="1747" spans="1:9">
      <c r="A1747" s="3">
        <f ca="1">IFERROR(__xludf.DUMMYFUNCTION("""COMPUTED_VALUE"""),31741.6666666666)</f>
        <v>31741.666666666599</v>
      </c>
      <c r="B1747" s="1">
        <f ca="1">IFERROR(__xludf.DUMMYFUNCTION("""COMPUTED_VALUE"""),4.37)</f>
        <v>4.37</v>
      </c>
      <c r="C1747" s="1">
        <f ca="1">IFERROR(__xludf.DUMMYFUNCTION("""COMPUTED_VALUE"""),4.39)</f>
        <v>4.3899999999999997</v>
      </c>
      <c r="D1747" s="1">
        <f ca="1">IFERROR(__xludf.DUMMYFUNCTION("""COMPUTED_VALUE"""),4.31)</f>
        <v>4.3099999999999996</v>
      </c>
      <c r="E1747" s="1">
        <f ca="1">IFERROR(__xludf.DUMMYFUNCTION("""COMPUTED_VALUE"""),4.37)</f>
        <v>4.37</v>
      </c>
      <c r="F1747" s="1">
        <f ca="1">IFERROR(__xludf.DUMMYFUNCTION("""COMPUTED_VALUE"""),507800)</f>
        <v>507800</v>
      </c>
      <c r="I1747" s="1"/>
    </row>
    <row r="1748" spans="1:9">
      <c r="A1748" s="3">
        <f ca="1">IFERROR(__xludf.DUMMYFUNCTION("""COMPUTED_VALUE"""),31742.6666666666)</f>
        <v>31742.666666666599</v>
      </c>
      <c r="B1748" s="1">
        <f ca="1">IFERROR(__xludf.DUMMYFUNCTION("""COMPUTED_VALUE"""),4.34)</f>
        <v>4.34</v>
      </c>
      <c r="C1748" s="1">
        <f ca="1">IFERROR(__xludf.DUMMYFUNCTION("""COMPUTED_VALUE"""),4.36)</f>
        <v>4.3600000000000003</v>
      </c>
      <c r="D1748" s="1">
        <f ca="1">IFERROR(__xludf.DUMMYFUNCTION("""COMPUTED_VALUE"""),4.31)</f>
        <v>4.3099999999999996</v>
      </c>
      <c r="E1748" s="1">
        <f ca="1">IFERROR(__xludf.DUMMYFUNCTION("""COMPUTED_VALUE"""),4.34)</f>
        <v>4.34</v>
      </c>
      <c r="F1748" s="1">
        <f ca="1">IFERROR(__xludf.DUMMYFUNCTION("""COMPUTED_VALUE"""),203700)</f>
        <v>203700</v>
      </c>
      <c r="I1748" s="1"/>
    </row>
    <row r="1749" spans="1:9">
      <c r="A1749" s="3">
        <f ca="1">IFERROR(__xludf.DUMMYFUNCTION("""COMPUTED_VALUE"""),31744.6666666666)</f>
        <v>31744.666666666599</v>
      </c>
      <c r="B1749" s="1">
        <f ca="1">IFERROR(__xludf.DUMMYFUNCTION("""COMPUTED_VALUE"""),4.28)</f>
        <v>4.28</v>
      </c>
      <c r="C1749" s="1">
        <f ca="1">IFERROR(__xludf.DUMMYFUNCTION("""COMPUTED_VALUE"""),4.35)</f>
        <v>4.3499999999999996</v>
      </c>
      <c r="D1749" s="1">
        <f ca="1">IFERROR(__xludf.DUMMYFUNCTION("""COMPUTED_VALUE"""),4.27)</f>
        <v>4.2699999999999996</v>
      </c>
      <c r="E1749" s="1">
        <f ca="1">IFERROR(__xludf.DUMMYFUNCTION("""COMPUTED_VALUE"""),4.28)</f>
        <v>4.28</v>
      </c>
      <c r="F1749" s="1">
        <f ca="1">IFERROR(__xludf.DUMMYFUNCTION("""COMPUTED_VALUE"""),87900)</f>
        <v>87900</v>
      </c>
      <c r="I1749" s="1"/>
    </row>
    <row r="1750" spans="1:9">
      <c r="A1750" s="3">
        <f ca="1">IFERROR(__xludf.DUMMYFUNCTION("""COMPUTED_VALUE"""),31747.6666666666)</f>
        <v>31747.666666666599</v>
      </c>
      <c r="B1750" s="1">
        <f ca="1">IFERROR(__xludf.DUMMYFUNCTION("""COMPUTED_VALUE"""),4.24)</f>
        <v>4.24</v>
      </c>
      <c r="C1750" s="1">
        <f ca="1">IFERROR(__xludf.DUMMYFUNCTION("""COMPUTED_VALUE"""),4.24)</f>
        <v>4.24</v>
      </c>
      <c r="D1750" s="1">
        <f ca="1">IFERROR(__xludf.DUMMYFUNCTION("""COMPUTED_VALUE"""),4.16)</f>
        <v>4.16</v>
      </c>
      <c r="E1750" s="1">
        <f ca="1">IFERROR(__xludf.DUMMYFUNCTION("""COMPUTED_VALUE"""),4.24)</f>
        <v>4.24</v>
      </c>
      <c r="F1750" s="1">
        <f ca="1">IFERROR(__xludf.DUMMYFUNCTION("""COMPUTED_VALUE"""),371700)</f>
        <v>371700</v>
      </c>
      <c r="I1750" s="1"/>
    </row>
    <row r="1751" spans="1:9">
      <c r="A1751" s="3">
        <f ca="1">IFERROR(__xludf.DUMMYFUNCTION("""COMPUTED_VALUE"""),31748.6666666666)</f>
        <v>31748.666666666599</v>
      </c>
      <c r="B1751" s="1">
        <f ca="1">IFERROR(__xludf.DUMMYFUNCTION("""COMPUTED_VALUE"""),4.38)</f>
        <v>4.38</v>
      </c>
      <c r="C1751" s="1">
        <f ca="1">IFERROR(__xludf.DUMMYFUNCTION("""COMPUTED_VALUE"""),4.38)</f>
        <v>4.38</v>
      </c>
      <c r="D1751" s="1">
        <f ca="1">IFERROR(__xludf.DUMMYFUNCTION("""COMPUTED_VALUE"""),4.27)</f>
        <v>4.2699999999999996</v>
      </c>
      <c r="E1751" s="1">
        <f ca="1">IFERROR(__xludf.DUMMYFUNCTION("""COMPUTED_VALUE"""),4.38)</f>
        <v>4.38</v>
      </c>
      <c r="F1751" s="1">
        <f ca="1">IFERROR(__xludf.DUMMYFUNCTION("""COMPUTED_VALUE"""),588200)</f>
        <v>588200</v>
      </c>
      <c r="I1751" s="1"/>
    </row>
    <row r="1752" spans="1:9">
      <c r="A1752" s="3">
        <f ca="1">IFERROR(__xludf.DUMMYFUNCTION("""COMPUTED_VALUE"""),31749.6666666666)</f>
        <v>31749.666666666599</v>
      </c>
      <c r="B1752" s="1">
        <f ca="1">IFERROR(__xludf.DUMMYFUNCTION("""COMPUTED_VALUE"""),4.42)</f>
        <v>4.42</v>
      </c>
      <c r="C1752" s="1">
        <f ca="1">IFERROR(__xludf.DUMMYFUNCTION("""COMPUTED_VALUE"""),4.44)</f>
        <v>4.4400000000000004</v>
      </c>
      <c r="D1752" s="1">
        <f ca="1">IFERROR(__xludf.DUMMYFUNCTION("""COMPUTED_VALUE"""),4.35)</f>
        <v>4.3499999999999996</v>
      </c>
      <c r="E1752" s="1">
        <f ca="1">IFERROR(__xludf.DUMMYFUNCTION("""COMPUTED_VALUE"""),4.42)</f>
        <v>4.42</v>
      </c>
      <c r="F1752" s="1">
        <f ca="1">IFERROR(__xludf.DUMMYFUNCTION("""COMPUTED_VALUE"""),613000)</f>
        <v>613000</v>
      </c>
      <c r="I1752" s="1"/>
    </row>
    <row r="1753" spans="1:9">
      <c r="A1753" s="3">
        <f ca="1">IFERROR(__xludf.DUMMYFUNCTION("""COMPUTED_VALUE"""),31750.6666666666)</f>
        <v>31750.666666666599</v>
      </c>
      <c r="B1753" s="1">
        <f ca="1">IFERROR(__xludf.DUMMYFUNCTION("""COMPUTED_VALUE"""),4.34)</f>
        <v>4.34</v>
      </c>
      <c r="C1753" s="1">
        <f ca="1">IFERROR(__xludf.DUMMYFUNCTION("""COMPUTED_VALUE"""),4.43)</f>
        <v>4.43</v>
      </c>
      <c r="D1753" s="1">
        <f ca="1">IFERROR(__xludf.DUMMYFUNCTION("""COMPUTED_VALUE"""),4.34)</f>
        <v>4.34</v>
      </c>
      <c r="E1753" s="1">
        <f ca="1">IFERROR(__xludf.DUMMYFUNCTION("""COMPUTED_VALUE"""),4.34)</f>
        <v>4.34</v>
      </c>
      <c r="F1753" s="1">
        <f ca="1">IFERROR(__xludf.DUMMYFUNCTION("""COMPUTED_VALUE"""),341800)</f>
        <v>341800</v>
      </c>
      <c r="I1753" s="1"/>
    </row>
    <row r="1754" spans="1:9">
      <c r="A1754" s="3">
        <f ca="1">IFERROR(__xludf.DUMMYFUNCTION("""COMPUTED_VALUE"""),31751.6666666666)</f>
        <v>31751.666666666599</v>
      </c>
      <c r="B1754" s="1">
        <f ca="1">IFERROR(__xludf.DUMMYFUNCTION("""COMPUTED_VALUE"""),4.34)</f>
        <v>4.34</v>
      </c>
      <c r="C1754" s="1">
        <f ca="1">IFERROR(__xludf.DUMMYFUNCTION("""COMPUTED_VALUE"""),4.38)</f>
        <v>4.38</v>
      </c>
      <c r="D1754" s="1">
        <f ca="1">IFERROR(__xludf.DUMMYFUNCTION("""COMPUTED_VALUE"""),4.3)</f>
        <v>4.3</v>
      </c>
      <c r="E1754" s="1">
        <f ca="1">IFERROR(__xludf.DUMMYFUNCTION("""COMPUTED_VALUE"""),4.34)</f>
        <v>4.34</v>
      </c>
      <c r="F1754" s="1">
        <f ca="1">IFERROR(__xludf.DUMMYFUNCTION("""COMPUTED_VALUE"""),413000)</f>
        <v>413000</v>
      </c>
      <c r="I1754" s="1"/>
    </row>
    <row r="1755" spans="1:9">
      <c r="A1755" s="3">
        <f ca="1">IFERROR(__xludf.DUMMYFUNCTION("""COMPUTED_VALUE"""),31754.6666666666)</f>
        <v>31754.666666666599</v>
      </c>
      <c r="B1755" s="1">
        <f ca="1">IFERROR(__xludf.DUMMYFUNCTION("""COMPUTED_VALUE"""),4.44)</f>
        <v>4.4400000000000004</v>
      </c>
      <c r="C1755" s="1">
        <f ca="1">IFERROR(__xludf.DUMMYFUNCTION("""COMPUTED_VALUE"""),4.49)</f>
        <v>4.49</v>
      </c>
      <c r="D1755" s="1">
        <f ca="1">IFERROR(__xludf.DUMMYFUNCTION("""COMPUTED_VALUE"""),4.32)</f>
        <v>4.32</v>
      </c>
      <c r="E1755" s="1">
        <f ca="1">IFERROR(__xludf.DUMMYFUNCTION("""COMPUTED_VALUE"""),4.44)</f>
        <v>4.4400000000000004</v>
      </c>
      <c r="F1755" s="1">
        <f ca="1">IFERROR(__xludf.DUMMYFUNCTION("""COMPUTED_VALUE"""),470800)</f>
        <v>470800</v>
      </c>
      <c r="I1755" s="1"/>
    </row>
    <row r="1756" spans="1:9">
      <c r="A1756" s="3">
        <f ca="1">IFERROR(__xludf.DUMMYFUNCTION("""COMPUTED_VALUE"""),31755.6666666666)</f>
        <v>31755.666666666599</v>
      </c>
      <c r="B1756" s="1">
        <f ca="1">IFERROR(__xludf.DUMMYFUNCTION("""COMPUTED_VALUE"""),4.41)</f>
        <v>4.41</v>
      </c>
      <c r="C1756" s="1">
        <f ca="1">IFERROR(__xludf.DUMMYFUNCTION("""COMPUTED_VALUE"""),4.46)</f>
        <v>4.46</v>
      </c>
      <c r="D1756" s="1">
        <f ca="1">IFERROR(__xludf.DUMMYFUNCTION("""COMPUTED_VALUE"""),4.38)</f>
        <v>4.38</v>
      </c>
      <c r="E1756" s="1">
        <f ca="1">IFERROR(__xludf.DUMMYFUNCTION("""COMPUTED_VALUE"""),4.41)</f>
        <v>4.41</v>
      </c>
      <c r="F1756" s="1">
        <f ca="1">IFERROR(__xludf.DUMMYFUNCTION("""COMPUTED_VALUE"""),257300)</f>
        <v>257300</v>
      </c>
      <c r="I1756" s="1"/>
    </row>
    <row r="1757" spans="1:9">
      <c r="A1757" s="3">
        <f ca="1">IFERROR(__xludf.DUMMYFUNCTION("""COMPUTED_VALUE"""),31756.6666666666)</f>
        <v>31756.666666666599</v>
      </c>
      <c r="B1757" s="1">
        <f ca="1">IFERROR(__xludf.DUMMYFUNCTION("""COMPUTED_VALUE"""),4.45)</f>
        <v>4.45</v>
      </c>
      <c r="C1757" s="1">
        <f ca="1">IFERROR(__xludf.DUMMYFUNCTION("""COMPUTED_VALUE"""),4.5)</f>
        <v>4.5</v>
      </c>
      <c r="D1757" s="1">
        <f ca="1">IFERROR(__xludf.DUMMYFUNCTION("""COMPUTED_VALUE"""),4.38)</f>
        <v>4.38</v>
      </c>
      <c r="E1757" s="1">
        <f ca="1">IFERROR(__xludf.DUMMYFUNCTION("""COMPUTED_VALUE"""),4.45)</f>
        <v>4.45</v>
      </c>
      <c r="F1757" s="1">
        <f ca="1">IFERROR(__xludf.DUMMYFUNCTION("""COMPUTED_VALUE"""),382000)</f>
        <v>382000</v>
      </c>
      <c r="I1757" s="1"/>
    </row>
    <row r="1758" spans="1:9">
      <c r="A1758" s="3">
        <f ca="1">IFERROR(__xludf.DUMMYFUNCTION("""COMPUTED_VALUE"""),31757.6666666666)</f>
        <v>31757.666666666599</v>
      </c>
      <c r="B1758" s="1">
        <f ca="1">IFERROR(__xludf.DUMMYFUNCTION("""COMPUTED_VALUE"""),4.41)</f>
        <v>4.41</v>
      </c>
      <c r="C1758" s="1">
        <f ca="1">IFERROR(__xludf.DUMMYFUNCTION("""COMPUTED_VALUE"""),4.46)</f>
        <v>4.46</v>
      </c>
      <c r="D1758" s="1">
        <f ca="1">IFERROR(__xludf.DUMMYFUNCTION("""COMPUTED_VALUE"""),4.37)</f>
        <v>4.37</v>
      </c>
      <c r="E1758" s="1">
        <f ca="1">IFERROR(__xludf.DUMMYFUNCTION("""COMPUTED_VALUE"""),4.41)</f>
        <v>4.41</v>
      </c>
      <c r="F1758" s="1">
        <f ca="1">IFERROR(__xludf.DUMMYFUNCTION("""COMPUTED_VALUE"""),378600)</f>
        <v>378600</v>
      </c>
      <c r="I1758" s="1"/>
    </row>
    <row r="1759" spans="1:9">
      <c r="A1759" s="3">
        <f ca="1">IFERROR(__xludf.DUMMYFUNCTION("""COMPUTED_VALUE"""),31758.6666666666)</f>
        <v>31758.666666666599</v>
      </c>
      <c r="B1759" s="1">
        <f ca="1">IFERROR(__xludf.DUMMYFUNCTION("""COMPUTED_VALUE"""),4.3)</f>
        <v>4.3</v>
      </c>
      <c r="C1759" s="1">
        <f ca="1">IFERROR(__xludf.DUMMYFUNCTION("""COMPUTED_VALUE"""),4.4)</f>
        <v>4.4000000000000004</v>
      </c>
      <c r="D1759" s="1">
        <f ca="1">IFERROR(__xludf.DUMMYFUNCTION("""COMPUTED_VALUE"""),4.3)</f>
        <v>4.3</v>
      </c>
      <c r="E1759" s="1">
        <f ca="1">IFERROR(__xludf.DUMMYFUNCTION("""COMPUTED_VALUE"""),4.3)</f>
        <v>4.3</v>
      </c>
      <c r="F1759" s="1">
        <f ca="1">IFERROR(__xludf.DUMMYFUNCTION("""COMPUTED_VALUE"""),450900)</f>
        <v>450900</v>
      </c>
      <c r="I1759" s="1"/>
    </row>
    <row r="1760" spans="1:9">
      <c r="A1760" s="3">
        <f ca="1">IFERROR(__xludf.DUMMYFUNCTION("""COMPUTED_VALUE"""),31761.6666666666)</f>
        <v>31761.666666666599</v>
      </c>
      <c r="B1760" s="1">
        <f ca="1">IFERROR(__xludf.DUMMYFUNCTION("""COMPUTED_VALUE"""),4.34)</f>
        <v>4.34</v>
      </c>
      <c r="C1760" s="1">
        <f ca="1">IFERROR(__xludf.DUMMYFUNCTION("""COMPUTED_VALUE"""),4.34)</f>
        <v>4.34</v>
      </c>
      <c r="D1760" s="1">
        <f ca="1">IFERROR(__xludf.DUMMYFUNCTION("""COMPUTED_VALUE"""),4.23)</f>
        <v>4.2300000000000004</v>
      </c>
      <c r="E1760" s="1">
        <f ca="1">IFERROR(__xludf.DUMMYFUNCTION("""COMPUTED_VALUE"""),4.34)</f>
        <v>4.34</v>
      </c>
      <c r="F1760" s="1">
        <f ca="1">IFERROR(__xludf.DUMMYFUNCTION("""COMPUTED_VALUE"""),958400)</f>
        <v>958400</v>
      </c>
      <c r="I1760" s="1"/>
    </row>
    <row r="1761" spans="1:9">
      <c r="A1761" s="3">
        <f ca="1">IFERROR(__xludf.DUMMYFUNCTION("""COMPUTED_VALUE"""),31762.6666666666)</f>
        <v>31762.666666666599</v>
      </c>
      <c r="B1761" s="1">
        <f ca="1">IFERROR(__xludf.DUMMYFUNCTION("""COMPUTED_VALUE"""),4.38)</f>
        <v>4.38</v>
      </c>
      <c r="C1761" s="1">
        <f ca="1">IFERROR(__xludf.DUMMYFUNCTION("""COMPUTED_VALUE"""),4.38)</f>
        <v>4.38</v>
      </c>
      <c r="D1761" s="1">
        <f ca="1">IFERROR(__xludf.DUMMYFUNCTION("""COMPUTED_VALUE"""),4.32)</f>
        <v>4.32</v>
      </c>
      <c r="E1761" s="1">
        <f ca="1">IFERROR(__xludf.DUMMYFUNCTION("""COMPUTED_VALUE"""),4.38)</f>
        <v>4.38</v>
      </c>
      <c r="F1761" s="1">
        <f ca="1">IFERROR(__xludf.DUMMYFUNCTION("""COMPUTED_VALUE"""),776400)</f>
        <v>776400</v>
      </c>
      <c r="I1761" s="1"/>
    </row>
    <row r="1762" spans="1:9">
      <c r="A1762" s="3">
        <f ca="1">IFERROR(__xludf.DUMMYFUNCTION("""COMPUTED_VALUE"""),31763.6666666666)</f>
        <v>31763.666666666599</v>
      </c>
      <c r="B1762" s="1">
        <f ca="1">IFERROR(__xludf.DUMMYFUNCTION("""COMPUTED_VALUE"""),4.33)</f>
        <v>4.33</v>
      </c>
      <c r="C1762" s="1">
        <f ca="1">IFERROR(__xludf.DUMMYFUNCTION("""COMPUTED_VALUE"""),4.38)</f>
        <v>4.38</v>
      </c>
      <c r="D1762" s="1">
        <f ca="1">IFERROR(__xludf.DUMMYFUNCTION("""COMPUTED_VALUE"""),4.31)</f>
        <v>4.3099999999999996</v>
      </c>
      <c r="E1762" s="1">
        <f ca="1">IFERROR(__xludf.DUMMYFUNCTION("""COMPUTED_VALUE"""),4.33)</f>
        <v>4.33</v>
      </c>
      <c r="F1762" s="1">
        <f ca="1">IFERROR(__xludf.DUMMYFUNCTION("""COMPUTED_VALUE"""),371200)</f>
        <v>371200</v>
      </c>
      <c r="I1762" s="1"/>
    </row>
    <row r="1763" spans="1:9">
      <c r="A1763" s="3">
        <f ca="1">IFERROR(__xludf.DUMMYFUNCTION("""COMPUTED_VALUE"""),31764.6666666666)</f>
        <v>31764.666666666599</v>
      </c>
      <c r="B1763" s="1">
        <f ca="1">IFERROR(__xludf.DUMMYFUNCTION("""COMPUTED_VALUE"""),4.27)</f>
        <v>4.2699999999999996</v>
      </c>
      <c r="C1763" s="1">
        <f ca="1">IFERROR(__xludf.DUMMYFUNCTION("""COMPUTED_VALUE"""),4.33)</f>
        <v>4.33</v>
      </c>
      <c r="D1763" s="1">
        <f ca="1">IFERROR(__xludf.DUMMYFUNCTION("""COMPUTED_VALUE"""),4.27)</f>
        <v>4.2699999999999996</v>
      </c>
      <c r="E1763" s="1">
        <f ca="1">IFERROR(__xludf.DUMMYFUNCTION("""COMPUTED_VALUE"""),4.27)</f>
        <v>4.2699999999999996</v>
      </c>
      <c r="F1763" s="1">
        <f ca="1">IFERROR(__xludf.DUMMYFUNCTION("""COMPUTED_VALUE"""),319900)</f>
        <v>319900</v>
      </c>
      <c r="I1763" s="1"/>
    </row>
    <row r="1764" spans="1:9">
      <c r="A1764" s="3">
        <f ca="1">IFERROR(__xludf.DUMMYFUNCTION("""COMPUTED_VALUE"""),31765.6666666666)</f>
        <v>31765.666666666599</v>
      </c>
      <c r="B1764" s="1">
        <f ca="1">IFERROR(__xludf.DUMMYFUNCTION("""COMPUTED_VALUE"""),4.27)</f>
        <v>4.2699999999999996</v>
      </c>
      <c r="C1764" s="1">
        <f ca="1">IFERROR(__xludf.DUMMYFUNCTION("""COMPUTED_VALUE"""),4.27)</f>
        <v>4.2699999999999996</v>
      </c>
      <c r="D1764" s="1">
        <f ca="1">IFERROR(__xludf.DUMMYFUNCTION("""COMPUTED_VALUE"""),4.2)</f>
        <v>4.2</v>
      </c>
      <c r="E1764" s="1">
        <f ca="1">IFERROR(__xludf.DUMMYFUNCTION("""COMPUTED_VALUE"""),4.27)</f>
        <v>4.2699999999999996</v>
      </c>
      <c r="F1764" s="1">
        <f ca="1">IFERROR(__xludf.DUMMYFUNCTION("""COMPUTED_VALUE"""),1286700)</f>
        <v>1286700</v>
      </c>
      <c r="I1764" s="1"/>
    </row>
    <row r="1765" spans="1:9">
      <c r="A1765" s="3">
        <f ca="1">IFERROR(__xludf.DUMMYFUNCTION("""COMPUTED_VALUE"""),31768.6666666666)</f>
        <v>31768.666666666599</v>
      </c>
      <c r="B1765" s="1">
        <f ca="1">IFERROR(__xludf.DUMMYFUNCTION("""COMPUTED_VALUE"""),4.19)</f>
        <v>4.1900000000000004</v>
      </c>
      <c r="C1765" s="1">
        <f ca="1">IFERROR(__xludf.DUMMYFUNCTION("""COMPUTED_VALUE"""),4.31)</f>
        <v>4.3099999999999996</v>
      </c>
      <c r="D1765" s="1">
        <f ca="1">IFERROR(__xludf.DUMMYFUNCTION("""COMPUTED_VALUE"""),4.19)</f>
        <v>4.1900000000000004</v>
      </c>
      <c r="E1765" s="1">
        <f ca="1">IFERROR(__xludf.DUMMYFUNCTION("""COMPUTED_VALUE"""),4.19)</f>
        <v>4.1900000000000004</v>
      </c>
      <c r="F1765" s="1">
        <f ca="1">IFERROR(__xludf.DUMMYFUNCTION("""COMPUTED_VALUE"""),636300)</f>
        <v>636300</v>
      </c>
      <c r="I1765" s="1"/>
    </row>
    <row r="1766" spans="1:9">
      <c r="A1766" s="3">
        <f ca="1">IFERROR(__xludf.DUMMYFUNCTION("""COMPUTED_VALUE"""),31769.6666666666)</f>
        <v>31769.666666666599</v>
      </c>
      <c r="B1766" s="1">
        <f ca="1">IFERROR(__xludf.DUMMYFUNCTION("""COMPUTED_VALUE"""),4.14)</f>
        <v>4.1399999999999997</v>
      </c>
      <c r="C1766" s="1">
        <f ca="1">IFERROR(__xludf.DUMMYFUNCTION("""COMPUTED_VALUE"""),4.2)</f>
        <v>4.2</v>
      </c>
      <c r="D1766" s="1">
        <f ca="1">IFERROR(__xludf.DUMMYFUNCTION("""COMPUTED_VALUE"""),4.13)</f>
        <v>4.13</v>
      </c>
      <c r="E1766" s="1">
        <f ca="1">IFERROR(__xludf.DUMMYFUNCTION("""COMPUTED_VALUE"""),4.14)</f>
        <v>4.1399999999999997</v>
      </c>
      <c r="F1766" s="1">
        <f ca="1">IFERROR(__xludf.DUMMYFUNCTION("""COMPUTED_VALUE"""),609600)</f>
        <v>609600</v>
      </c>
      <c r="I1766" s="1"/>
    </row>
    <row r="1767" spans="1:9">
      <c r="A1767" s="3">
        <f ca="1">IFERROR(__xludf.DUMMYFUNCTION("""COMPUTED_VALUE"""),31770.6666666666)</f>
        <v>31770.666666666599</v>
      </c>
      <c r="B1767" s="1">
        <f ca="1">IFERROR(__xludf.DUMMYFUNCTION("""COMPUTED_VALUE"""),4.17)</f>
        <v>4.17</v>
      </c>
      <c r="C1767" s="1">
        <f ca="1">IFERROR(__xludf.DUMMYFUNCTION("""COMPUTED_VALUE"""),4.2)</f>
        <v>4.2</v>
      </c>
      <c r="D1767" s="1">
        <f ca="1">IFERROR(__xludf.DUMMYFUNCTION("""COMPUTED_VALUE"""),4.15)</f>
        <v>4.1500000000000004</v>
      </c>
      <c r="E1767" s="1">
        <f ca="1">IFERROR(__xludf.DUMMYFUNCTION("""COMPUTED_VALUE"""),4.17)</f>
        <v>4.17</v>
      </c>
      <c r="F1767" s="1">
        <f ca="1">IFERROR(__xludf.DUMMYFUNCTION("""COMPUTED_VALUE"""),310900)</f>
        <v>310900</v>
      </c>
      <c r="I1767" s="1"/>
    </row>
    <row r="1768" spans="1:9">
      <c r="A1768" s="3">
        <f ca="1">IFERROR(__xludf.DUMMYFUNCTION("""COMPUTED_VALUE"""),31772.6666666666)</f>
        <v>31772.666666666599</v>
      </c>
      <c r="B1768" s="1">
        <f ca="1">IFERROR(__xludf.DUMMYFUNCTION("""COMPUTED_VALUE"""),4.24)</f>
        <v>4.24</v>
      </c>
      <c r="C1768" s="1">
        <f ca="1">IFERROR(__xludf.DUMMYFUNCTION("""COMPUTED_VALUE"""),4.24)</f>
        <v>4.24</v>
      </c>
      <c r="D1768" s="1">
        <f ca="1">IFERROR(__xludf.DUMMYFUNCTION("""COMPUTED_VALUE"""),4.14)</f>
        <v>4.1399999999999997</v>
      </c>
      <c r="E1768" s="1">
        <f ca="1">IFERROR(__xludf.DUMMYFUNCTION("""COMPUTED_VALUE"""),4.24)</f>
        <v>4.24</v>
      </c>
      <c r="F1768" s="1">
        <f ca="1">IFERROR(__xludf.DUMMYFUNCTION("""COMPUTED_VALUE"""),213600)</f>
        <v>213600</v>
      </c>
      <c r="I1768" s="1"/>
    </row>
    <row r="1769" spans="1:9">
      <c r="A1769" s="3">
        <f ca="1">IFERROR(__xludf.DUMMYFUNCTION("""COMPUTED_VALUE"""),31775.6666666666)</f>
        <v>31775.666666666599</v>
      </c>
      <c r="B1769" s="1">
        <f ca="1">IFERROR(__xludf.DUMMYFUNCTION("""COMPUTED_VALUE"""),4.15)</f>
        <v>4.1500000000000004</v>
      </c>
      <c r="C1769" s="1">
        <f ca="1">IFERROR(__xludf.DUMMYFUNCTION("""COMPUTED_VALUE"""),4.24)</f>
        <v>4.24</v>
      </c>
      <c r="D1769" s="1">
        <f ca="1">IFERROR(__xludf.DUMMYFUNCTION("""COMPUTED_VALUE"""),4.13)</f>
        <v>4.13</v>
      </c>
      <c r="E1769" s="1">
        <f ca="1">IFERROR(__xludf.DUMMYFUNCTION("""COMPUTED_VALUE"""),4.15)</f>
        <v>4.1500000000000004</v>
      </c>
      <c r="F1769" s="1">
        <f ca="1">IFERROR(__xludf.DUMMYFUNCTION("""COMPUTED_VALUE"""),223900)</f>
        <v>223900</v>
      </c>
      <c r="I1769" s="1"/>
    </row>
    <row r="1770" spans="1:9">
      <c r="A1770" s="3">
        <f ca="1">IFERROR(__xludf.DUMMYFUNCTION("""COMPUTED_VALUE"""),31776.6666666666)</f>
        <v>31776.666666666599</v>
      </c>
      <c r="B1770" s="1">
        <f ca="1">IFERROR(__xludf.DUMMYFUNCTION("""COMPUTED_VALUE"""),4.16)</f>
        <v>4.16</v>
      </c>
      <c r="C1770" s="1">
        <f ca="1">IFERROR(__xludf.DUMMYFUNCTION("""COMPUTED_VALUE"""),4.17)</f>
        <v>4.17</v>
      </c>
      <c r="D1770" s="1">
        <f ca="1">IFERROR(__xludf.DUMMYFUNCTION("""COMPUTED_VALUE"""),4.13)</f>
        <v>4.13</v>
      </c>
      <c r="E1770" s="1">
        <f ca="1">IFERROR(__xludf.DUMMYFUNCTION("""COMPUTED_VALUE"""),4.16)</f>
        <v>4.16</v>
      </c>
      <c r="F1770" s="1">
        <f ca="1">IFERROR(__xludf.DUMMYFUNCTION("""COMPUTED_VALUE"""),209000)</f>
        <v>209000</v>
      </c>
      <c r="I1770" s="1"/>
    </row>
    <row r="1771" spans="1:9">
      <c r="A1771" s="3">
        <f ca="1">IFERROR(__xludf.DUMMYFUNCTION("""COMPUTED_VALUE"""),31777.6666666666)</f>
        <v>31777.666666666599</v>
      </c>
      <c r="B1771" s="1">
        <f ca="1">IFERROR(__xludf.DUMMYFUNCTION("""COMPUTED_VALUE"""),4.1)</f>
        <v>4.0999999999999996</v>
      </c>
      <c r="C1771" s="1">
        <f ca="1">IFERROR(__xludf.DUMMYFUNCTION("""COMPUTED_VALUE"""),4.19)</f>
        <v>4.1900000000000004</v>
      </c>
      <c r="D1771" s="1">
        <f ca="1">IFERROR(__xludf.DUMMYFUNCTION("""COMPUTED_VALUE"""),4.08)</f>
        <v>4.08</v>
      </c>
      <c r="E1771" s="1">
        <f ca="1">IFERROR(__xludf.DUMMYFUNCTION("""COMPUTED_VALUE"""),4.1)</f>
        <v>4.0999999999999996</v>
      </c>
      <c r="F1771" s="1">
        <f ca="1">IFERROR(__xludf.DUMMYFUNCTION("""COMPUTED_VALUE"""),471400)</f>
        <v>471400</v>
      </c>
      <c r="I1771" s="1"/>
    </row>
    <row r="1772" spans="1:9">
      <c r="A1772" s="3">
        <f ca="1">IFERROR(__xludf.DUMMYFUNCTION("""COMPUTED_VALUE"""),31779.6666666666)</f>
        <v>31779.666666666599</v>
      </c>
      <c r="B1772" s="1">
        <f ca="1">IFERROR(__xludf.DUMMYFUNCTION("""COMPUTED_VALUE"""),4.21)</f>
        <v>4.21</v>
      </c>
      <c r="C1772" s="1">
        <f ca="1">IFERROR(__xludf.DUMMYFUNCTION("""COMPUTED_VALUE"""),4.23)</f>
        <v>4.2300000000000004</v>
      </c>
      <c r="D1772" s="1">
        <f ca="1">IFERROR(__xludf.DUMMYFUNCTION("""COMPUTED_VALUE"""),4.1)</f>
        <v>4.0999999999999996</v>
      </c>
      <c r="E1772" s="1">
        <f ca="1">IFERROR(__xludf.DUMMYFUNCTION("""COMPUTED_VALUE"""),4.21)</f>
        <v>4.21</v>
      </c>
      <c r="F1772" s="1">
        <f ca="1">IFERROR(__xludf.DUMMYFUNCTION("""COMPUTED_VALUE"""),254600)</f>
        <v>254600</v>
      </c>
      <c r="I1772" s="1"/>
    </row>
    <row r="1773" spans="1:9">
      <c r="A1773" s="3">
        <f ca="1">IFERROR(__xludf.DUMMYFUNCTION("""COMPUTED_VALUE"""),31782.6666666666)</f>
        <v>31782.666666666599</v>
      </c>
      <c r="B1773" s="1">
        <f ca="1">IFERROR(__xludf.DUMMYFUNCTION("""COMPUTED_VALUE"""),4.37)</f>
        <v>4.37</v>
      </c>
      <c r="C1773" s="1">
        <f ca="1">IFERROR(__xludf.DUMMYFUNCTION("""COMPUTED_VALUE"""),4.37)</f>
        <v>4.37</v>
      </c>
      <c r="D1773" s="1">
        <f ca="1">IFERROR(__xludf.DUMMYFUNCTION("""COMPUTED_VALUE"""),4.24)</f>
        <v>4.24</v>
      </c>
      <c r="E1773" s="1">
        <f ca="1">IFERROR(__xludf.DUMMYFUNCTION("""COMPUTED_VALUE"""),4.37)</f>
        <v>4.37</v>
      </c>
      <c r="F1773" s="1">
        <f ca="1">IFERROR(__xludf.DUMMYFUNCTION("""COMPUTED_VALUE"""),566000)</f>
        <v>566000</v>
      </c>
      <c r="I1773" s="1"/>
    </row>
    <row r="1774" spans="1:9">
      <c r="A1774" s="3">
        <f ca="1">IFERROR(__xludf.DUMMYFUNCTION("""COMPUTED_VALUE"""),31783.6666666666)</f>
        <v>31783.666666666599</v>
      </c>
      <c r="B1774" s="1">
        <f ca="1">IFERROR(__xludf.DUMMYFUNCTION("""COMPUTED_VALUE"""),4.35)</f>
        <v>4.3499999999999996</v>
      </c>
      <c r="C1774" s="1">
        <f ca="1">IFERROR(__xludf.DUMMYFUNCTION("""COMPUTED_VALUE"""),4.4)</f>
        <v>4.4000000000000004</v>
      </c>
      <c r="D1774" s="1">
        <f ca="1">IFERROR(__xludf.DUMMYFUNCTION("""COMPUTED_VALUE"""),4.34)</f>
        <v>4.34</v>
      </c>
      <c r="E1774" s="1">
        <f ca="1">IFERROR(__xludf.DUMMYFUNCTION("""COMPUTED_VALUE"""),4.35)</f>
        <v>4.3499999999999996</v>
      </c>
      <c r="F1774" s="1">
        <f ca="1">IFERROR(__xludf.DUMMYFUNCTION("""COMPUTED_VALUE"""),619800)</f>
        <v>619800</v>
      </c>
      <c r="I1774" s="1"/>
    </row>
    <row r="1775" spans="1:9">
      <c r="A1775" s="3">
        <f ca="1">IFERROR(__xludf.DUMMYFUNCTION("""COMPUTED_VALUE"""),31784.6666666666)</f>
        <v>31784.666666666599</v>
      </c>
      <c r="B1775" s="1">
        <f ca="1">IFERROR(__xludf.DUMMYFUNCTION("""COMPUTED_VALUE"""),4.35)</f>
        <v>4.3499999999999996</v>
      </c>
      <c r="C1775" s="1">
        <f ca="1">IFERROR(__xludf.DUMMYFUNCTION("""COMPUTED_VALUE"""),4.38)</f>
        <v>4.38</v>
      </c>
      <c r="D1775" s="1">
        <f ca="1">IFERROR(__xludf.DUMMYFUNCTION("""COMPUTED_VALUE"""),4.32)</f>
        <v>4.32</v>
      </c>
      <c r="E1775" s="1">
        <f ca="1">IFERROR(__xludf.DUMMYFUNCTION("""COMPUTED_VALUE"""),4.35)</f>
        <v>4.3499999999999996</v>
      </c>
      <c r="F1775" s="1">
        <f ca="1">IFERROR(__xludf.DUMMYFUNCTION("""COMPUTED_VALUE"""),431600)</f>
        <v>431600</v>
      </c>
      <c r="I1775" s="1"/>
    </row>
    <row r="1776" spans="1:9">
      <c r="A1776" s="3">
        <f ca="1">IFERROR(__xludf.DUMMYFUNCTION("""COMPUTED_VALUE"""),31785.6666666666)</f>
        <v>31785.666666666599</v>
      </c>
      <c r="B1776" s="1">
        <f ca="1">IFERROR(__xludf.DUMMYFUNCTION("""COMPUTED_VALUE"""),4.3)</f>
        <v>4.3</v>
      </c>
      <c r="C1776" s="1">
        <f ca="1">IFERROR(__xludf.DUMMYFUNCTION("""COMPUTED_VALUE"""),4.36)</f>
        <v>4.3600000000000003</v>
      </c>
      <c r="D1776" s="1">
        <f ca="1">IFERROR(__xludf.DUMMYFUNCTION("""COMPUTED_VALUE"""),4.28)</f>
        <v>4.28</v>
      </c>
      <c r="E1776" s="1">
        <f ca="1">IFERROR(__xludf.DUMMYFUNCTION("""COMPUTED_VALUE"""),4.3)</f>
        <v>4.3</v>
      </c>
      <c r="F1776" s="1">
        <f ca="1">IFERROR(__xludf.DUMMYFUNCTION("""COMPUTED_VALUE"""),836800)</f>
        <v>836800</v>
      </c>
      <c r="I1776" s="1"/>
    </row>
    <row r="1777" spans="1:9">
      <c r="A1777" s="3">
        <f ca="1">IFERROR(__xludf.DUMMYFUNCTION("""COMPUTED_VALUE"""),31786.6666666666)</f>
        <v>31786.666666666599</v>
      </c>
      <c r="B1777" s="1">
        <f ca="1">IFERROR(__xludf.DUMMYFUNCTION("""COMPUTED_VALUE"""),4.34)</f>
        <v>4.34</v>
      </c>
      <c r="C1777" s="1">
        <f ca="1">IFERROR(__xludf.DUMMYFUNCTION("""COMPUTED_VALUE"""),4.39)</f>
        <v>4.3899999999999997</v>
      </c>
      <c r="D1777" s="1">
        <f ca="1">IFERROR(__xludf.DUMMYFUNCTION("""COMPUTED_VALUE"""),4.3)</f>
        <v>4.3</v>
      </c>
      <c r="E1777" s="1">
        <f ca="1">IFERROR(__xludf.DUMMYFUNCTION("""COMPUTED_VALUE"""),4.34)</f>
        <v>4.34</v>
      </c>
      <c r="F1777" s="1">
        <f ca="1">IFERROR(__xludf.DUMMYFUNCTION("""COMPUTED_VALUE"""),931700)</f>
        <v>931700</v>
      </c>
      <c r="I1777" s="1"/>
    </row>
    <row r="1778" spans="1:9">
      <c r="A1778" s="3">
        <f ca="1">IFERROR(__xludf.DUMMYFUNCTION("""COMPUTED_VALUE"""),31789.6666666666)</f>
        <v>31789.666666666599</v>
      </c>
      <c r="B1778" s="1">
        <f ca="1">IFERROR(__xludf.DUMMYFUNCTION("""COMPUTED_VALUE"""),4.3)</f>
        <v>4.3</v>
      </c>
      <c r="C1778" s="1">
        <f ca="1">IFERROR(__xludf.DUMMYFUNCTION("""COMPUTED_VALUE"""),4.34)</f>
        <v>4.34</v>
      </c>
      <c r="D1778" s="1">
        <f ca="1">IFERROR(__xludf.DUMMYFUNCTION("""COMPUTED_VALUE"""),4.3)</f>
        <v>4.3</v>
      </c>
      <c r="E1778" s="1">
        <f ca="1">IFERROR(__xludf.DUMMYFUNCTION("""COMPUTED_VALUE"""),4.3)</f>
        <v>4.3</v>
      </c>
      <c r="F1778" s="1">
        <f ca="1">IFERROR(__xludf.DUMMYFUNCTION("""COMPUTED_VALUE"""),553100)</f>
        <v>553100</v>
      </c>
      <c r="I1778" s="1"/>
    </row>
    <row r="1779" spans="1:9">
      <c r="A1779" s="3">
        <f ca="1">IFERROR(__xludf.DUMMYFUNCTION("""COMPUTED_VALUE"""),31790.6666666666)</f>
        <v>31790.666666666599</v>
      </c>
      <c r="B1779" s="1">
        <f ca="1">IFERROR(__xludf.DUMMYFUNCTION("""COMPUTED_VALUE"""),4.28)</f>
        <v>4.28</v>
      </c>
      <c r="C1779" s="1">
        <f ca="1">IFERROR(__xludf.DUMMYFUNCTION("""COMPUTED_VALUE"""),4.31)</f>
        <v>4.3099999999999996</v>
      </c>
      <c r="D1779" s="1">
        <f ca="1">IFERROR(__xludf.DUMMYFUNCTION("""COMPUTED_VALUE"""),4.23)</f>
        <v>4.2300000000000004</v>
      </c>
      <c r="E1779" s="1">
        <f ca="1">IFERROR(__xludf.DUMMYFUNCTION("""COMPUTED_VALUE"""),4.28)</f>
        <v>4.28</v>
      </c>
      <c r="F1779" s="1">
        <f ca="1">IFERROR(__xludf.DUMMYFUNCTION("""COMPUTED_VALUE"""),421200)</f>
        <v>421200</v>
      </c>
      <c r="I1779" s="1"/>
    </row>
    <row r="1780" spans="1:9">
      <c r="A1780" s="3">
        <f ca="1">IFERROR(__xludf.DUMMYFUNCTION("""COMPUTED_VALUE"""),31791.6666666666)</f>
        <v>31791.666666666599</v>
      </c>
      <c r="B1780" s="1">
        <f ca="1">IFERROR(__xludf.DUMMYFUNCTION("""COMPUTED_VALUE"""),4.38)</f>
        <v>4.38</v>
      </c>
      <c r="C1780" s="1">
        <f ca="1">IFERROR(__xludf.DUMMYFUNCTION("""COMPUTED_VALUE"""),4.4)</f>
        <v>4.4000000000000004</v>
      </c>
      <c r="D1780" s="1">
        <f ca="1">IFERROR(__xludf.DUMMYFUNCTION("""COMPUTED_VALUE"""),4.27)</f>
        <v>4.2699999999999996</v>
      </c>
      <c r="E1780" s="1">
        <f ca="1">IFERROR(__xludf.DUMMYFUNCTION("""COMPUTED_VALUE"""),4.38)</f>
        <v>4.38</v>
      </c>
      <c r="F1780" s="1">
        <f ca="1">IFERROR(__xludf.DUMMYFUNCTION("""COMPUTED_VALUE"""),626600)</f>
        <v>626600</v>
      </c>
      <c r="I1780" s="1"/>
    </row>
    <row r="1781" spans="1:9">
      <c r="A1781" s="3">
        <f ca="1">IFERROR(__xludf.DUMMYFUNCTION("""COMPUTED_VALUE"""),31792.6666666666)</f>
        <v>31792.666666666599</v>
      </c>
      <c r="B1781" s="1">
        <f ca="1">IFERROR(__xludf.DUMMYFUNCTION("""COMPUTED_VALUE"""),4.47)</f>
        <v>4.47</v>
      </c>
      <c r="C1781" s="1">
        <f ca="1">IFERROR(__xludf.DUMMYFUNCTION("""COMPUTED_VALUE"""),4.52)</f>
        <v>4.5199999999999996</v>
      </c>
      <c r="D1781" s="1">
        <f ca="1">IFERROR(__xludf.DUMMYFUNCTION("""COMPUTED_VALUE"""),4.39)</f>
        <v>4.3899999999999997</v>
      </c>
      <c r="E1781" s="1">
        <f ca="1">IFERROR(__xludf.DUMMYFUNCTION("""COMPUTED_VALUE"""),4.47)</f>
        <v>4.47</v>
      </c>
      <c r="F1781" s="1">
        <f ca="1">IFERROR(__xludf.DUMMYFUNCTION("""COMPUTED_VALUE"""),953000)</f>
        <v>953000</v>
      </c>
      <c r="I1781" s="1"/>
    </row>
    <row r="1782" spans="1:9">
      <c r="A1782" s="3">
        <f ca="1">IFERROR(__xludf.DUMMYFUNCTION("""COMPUTED_VALUE"""),31793.6666666666)</f>
        <v>31793.666666666599</v>
      </c>
      <c r="B1782" s="1">
        <f ca="1">IFERROR(__xludf.DUMMYFUNCTION("""COMPUTED_VALUE"""),4.55)</f>
        <v>4.55</v>
      </c>
      <c r="C1782" s="1">
        <f ca="1">IFERROR(__xludf.DUMMYFUNCTION("""COMPUTED_VALUE"""),4.59)</f>
        <v>4.59</v>
      </c>
      <c r="D1782" s="1">
        <f ca="1">IFERROR(__xludf.DUMMYFUNCTION("""COMPUTED_VALUE"""),4.49)</f>
        <v>4.49</v>
      </c>
      <c r="E1782" s="1">
        <f ca="1">IFERROR(__xludf.DUMMYFUNCTION("""COMPUTED_VALUE"""),4.55)</f>
        <v>4.55</v>
      </c>
      <c r="F1782" s="1">
        <f ca="1">IFERROR(__xludf.DUMMYFUNCTION("""COMPUTED_VALUE"""),1126200)</f>
        <v>1126200</v>
      </c>
      <c r="I1782" s="1"/>
    </row>
    <row r="1783" spans="1:9">
      <c r="A1783" s="3">
        <f ca="1">IFERROR(__xludf.DUMMYFUNCTION("""COMPUTED_VALUE"""),31796.6666666666)</f>
        <v>31796.666666666599</v>
      </c>
      <c r="B1783" s="1">
        <f ca="1">IFERROR(__xludf.DUMMYFUNCTION("""COMPUTED_VALUE"""),4.69)</f>
        <v>4.6900000000000004</v>
      </c>
      <c r="C1783" s="1">
        <f ca="1">IFERROR(__xludf.DUMMYFUNCTION("""COMPUTED_VALUE"""),4.69)</f>
        <v>4.6900000000000004</v>
      </c>
      <c r="D1783" s="1">
        <f ca="1">IFERROR(__xludf.DUMMYFUNCTION("""COMPUTED_VALUE"""),4.5)</f>
        <v>4.5</v>
      </c>
      <c r="E1783" s="1">
        <f ca="1">IFERROR(__xludf.DUMMYFUNCTION("""COMPUTED_VALUE"""),4.69)</f>
        <v>4.6900000000000004</v>
      </c>
      <c r="F1783" s="1">
        <f ca="1">IFERROR(__xludf.DUMMYFUNCTION("""COMPUTED_VALUE"""),664200)</f>
        <v>664200</v>
      </c>
      <c r="I1783" s="1"/>
    </row>
    <row r="1784" spans="1:9">
      <c r="A1784" s="3">
        <f ca="1">IFERROR(__xludf.DUMMYFUNCTION("""COMPUTED_VALUE"""),31797.6666666666)</f>
        <v>31797.666666666599</v>
      </c>
      <c r="B1784" s="1">
        <f ca="1">IFERROR(__xludf.DUMMYFUNCTION("""COMPUTED_VALUE"""),4.59)</f>
        <v>4.59</v>
      </c>
      <c r="C1784" s="1">
        <f ca="1">IFERROR(__xludf.DUMMYFUNCTION("""COMPUTED_VALUE"""),4.7)</f>
        <v>4.7</v>
      </c>
      <c r="D1784" s="1">
        <f ca="1">IFERROR(__xludf.DUMMYFUNCTION("""COMPUTED_VALUE"""),4.56)</f>
        <v>4.5599999999999996</v>
      </c>
      <c r="E1784" s="1">
        <f ca="1">IFERROR(__xludf.DUMMYFUNCTION("""COMPUTED_VALUE"""),4.59)</f>
        <v>4.59</v>
      </c>
      <c r="F1784" s="1">
        <f ca="1">IFERROR(__xludf.DUMMYFUNCTION("""COMPUTED_VALUE"""),606600)</f>
        <v>606600</v>
      </c>
      <c r="I1784" s="1"/>
    </row>
    <row r="1785" spans="1:9">
      <c r="A1785" s="3">
        <f ca="1">IFERROR(__xludf.DUMMYFUNCTION("""COMPUTED_VALUE"""),31798.6666666666)</f>
        <v>31798.666666666599</v>
      </c>
      <c r="B1785" s="1">
        <f ca="1">IFERROR(__xludf.DUMMYFUNCTION("""COMPUTED_VALUE"""),4.59)</f>
        <v>4.59</v>
      </c>
      <c r="C1785" s="1">
        <f ca="1">IFERROR(__xludf.DUMMYFUNCTION("""COMPUTED_VALUE"""),4.66)</f>
        <v>4.66</v>
      </c>
      <c r="D1785" s="1">
        <f ca="1">IFERROR(__xludf.DUMMYFUNCTION("""COMPUTED_VALUE"""),4.53)</f>
        <v>4.53</v>
      </c>
      <c r="E1785" s="1">
        <f ca="1">IFERROR(__xludf.DUMMYFUNCTION("""COMPUTED_VALUE"""),4.59)</f>
        <v>4.59</v>
      </c>
      <c r="F1785" s="1">
        <f ca="1">IFERROR(__xludf.DUMMYFUNCTION("""COMPUTED_VALUE"""),620200)</f>
        <v>620200</v>
      </c>
      <c r="I1785" s="1"/>
    </row>
    <row r="1786" spans="1:9">
      <c r="A1786" s="3">
        <f ca="1">IFERROR(__xludf.DUMMYFUNCTION("""COMPUTED_VALUE"""),31799.6666666666)</f>
        <v>31799.666666666599</v>
      </c>
      <c r="B1786" s="1">
        <f ca="1">IFERROR(__xludf.DUMMYFUNCTION("""COMPUTED_VALUE"""),4.69)</f>
        <v>4.6900000000000004</v>
      </c>
      <c r="C1786" s="1">
        <f ca="1">IFERROR(__xludf.DUMMYFUNCTION("""COMPUTED_VALUE"""),4.69)</f>
        <v>4.6900000000000004</v>
      </c>
      <c r="D1786" s="1">
        <f ca="1">IFERROR(__xludf.DUMMYFUNCTION("""COMPUTED_VALUE"""),4.56)</f>
        <v>4.5599999999999996</v>
      </c>
      <c r="E1786" s="1">
        <f ca="1">IFERROR(__xludf.DUMMYFUNCTION("""COMPUTED_VALUE"""),4.69)</f>
        <v>4.6900000000000004</v>
      </c>
      <c r="F1786" s="1">
        <f ca="1">IFERROR(__xludf.DUMMYFUNCTION("""COMPUTED_VALUE"""),920500)</f>
        <v>920500</v>
      </c>
      <c r="I1786" s="1"/>
    </row>
    <row r="1787" spans="1:9">
      <c r="A1787" s="3">
        <f ca="1">IFERROR(__xludf.DUMMYFUNCTION("""COMPUTED_VALUE"""),31800.6666666666)</f>
        <v>31800.666666666599</v>
      </c>
      <c r="B1787" s="1">
        <f ca="1">IFERROR(__xludf.DUMMYFUNCTION("""COMPUTED_VALUE"""),4.69)</f>
        <v>4.6900000000000004</v>
      </c>
      <c r="C1787" s="1">
        <f ca="1">IFERROR(__xludf.DUMMYFUNCTION("""COMPUTED_VALUE"""),4.93)</f>
        <v>4.93</v>
      </c>
      <c r="D1787" s="1">
        <f ca="1">IFERROR(__xludf.DUMMYFUNCTION("""COMPUTED_VALUE"""),4.66)</f>
        <v>4.66</v>
      </c>
      <c r="E1787" s="1">
        <f ca="1">IFERROR(__xludf.DUMMYFUNCTION("""COMPUTED_VALUE"""),4.69)</f>
        <v>4.6900000000000004</v>
      </c>
      <c r="F1787" s="1">
        <f ca="1">IFERROR(__xludf.DUMMYFUNCTION("""COMPUTED_VALUE"""),1567800)</f>
        <v>1567800</v>
      </c>
      <c r="I1787" s="1"/>
    </row>
    <row r="1788" spans="1:9">
      <c r="A1788" s="3">
        <f ca="1">IFERROR(__xludf.DUMMYFUNCTION("""COMPUTED_VALUE"""),31803.6666666666)</f>
        <v>31803.666666666599</v>
      </c>
      <c r="B1788" s="1">
        <f ca="1">IFERROR(__xludf.DUMMYFUNCTION("""COMPUTED_VALUE"""),4.7)</f>
        <v>4.7</v>
      </c>
      <c r="C1788" s="1">
        <f ca="1">IFERROR(__xludf.DUMMYFUNCTION("""COMPUTED_VALUE"""),4.75)</f>
        <v>4.75</v>
      </c>
      <c r="D1788" s="1">
        <f ca="1">IFERROR(__xludf.DUMMYFUNCTION("""COMPUTED_VALUE"""),4.66)</f>
        <v>4.66</v>
      </c>
      <c r="E1788" s="1">
        <f ca="1">IFERROR(__xludf.DUMMYFUNCTION("""COMPUTED_VALUE"""),4.7)</f>
        <v>4.7</v>
      </c>
      <c r="F1788" s="1">
        <f ca="1">IFERROR(__xludf.DUMMYFUNCTION("""COMPUTED_VALUE"""),1127800)</f>
        <v>1127800</v>
      </c>
      <c r="I1788" s="1"/>
    </row>
    <row r="1789" spans="1:9">
      <c r="A1789" s="3">
        <f ca="1">IFERROR(__xludf.DUMMYFUNCTION("""COMPUTED_VALUE"""),31804.6666666666)</f>
        <v>31804.666666666599</v>
      </c>
      <c r="B1789" s="1">
        <f ca="1">IFERROR(__xludf.DUMMYFUNCTION("""COMPUTED_VALUE"""),4.85)</f>
        <v>4.8499999999999996</v>
      </c>
      <c r="C1789" s="1">
        <f ca="1">IFERROR(__xludf.DUMMYFUNCTION("""COMPUTED_VALUE"""),4.88)</f>
        <v>4.88</v>
      </c>
      <c r="D1789" s="1">
        <f ca="1">IFERROR(__xludf.DUMMYFUNCTION("""COMPUTED_VALUE"""),4.73)</f>
        <v>4.7300000000000004</v>
      </c>
      <c r="E1789" s="1">
        <f ca="1">IFERROR(__xludf.DUMMYFUNCTION("""COMPUTED_VALUE"""),4.85)</f>
        <v>4.8499999999999996</v>
      </c>
      <c r="F1789" s="1">
        <f ca="1">IFERROR(__xludf.DUMMYFUNCTION("""COMPUTED_VALUE"""),792600)</f>
        <v>792600</v>
      </c>
      <c r="I1789" s="1"/>
    </row>
    <row r="1790" spans="1:9">
      <c r="A1790" s="3">
        <f ca="1">IFERROR(__xludf.DUMMYFUNCTION("""COMPUTED_VALUE"""),31805.6666666666)</f>
        <v>31805.666666666599</v>
      </c>
      <c r="B1790" s="1">
        <f ca="1">IFERROR(__xludf.DUMMYFUNCTION("""COMPUTED_VALUE"""),4.86)</f>
        <v>4.8600000000000003</v>
      </c>
      <c r="C1790" s="1">
        <f ca="1">IFERROR(__xludf.DUMMYFUNCTION("""COMPUTED_VALUE"""),4.88)</f>
        <v>4.88</v>
      </c>
      <c r="D1790" s="1">
        <f ca="1">IFERROR(__xludf.DUMMYFUNCTION("""COMPUTED_VALUE"""),4.82)</f>
        <v>4.82</v>
      </c>
      <c r="E1790" s="1">
        <f ca="1">IFERROR(__xludf.DUMMYFUNCTION("""COMPUTED_VALUE"""),4.86)</f>
        <v>4.8600000000000003</v>
      </c>
      <c r="F1790" s="1">
        <f ca="1">IFERROR(__xludf.DUMMYFUNCTION("""COMPUTED_VALUE"""),679900)</f>
        <v>679900</v>
      </c>
      <c r="I1790" s="1"/>
    </row>
    <row r="1791" spans="1:9">
      <c r="A1791" s="3">
        <f ca="1">IFERROR(__xludf.DUMMYFUNCTION("""COMPUTED_VALUE"""),31806.6666666666)</f>
        <v>31806.666666666599</v>
      </c>
      <c r="B1791" s="1">
        <f ca="1">IFERROR(__xludf.DUMMYFUNCTION("""COMPUTED_VALUE"""),4.8)</f>
        <v>4.8</v>
      </c>
      <c r="C1791" s="1">
        <f ca="1">IFERROR(__xludf.DUMMYFUNCTION("""COMPUTED_VALUE"""),4.9)</f>
        <v>4.9000000000000004</v>
      </c>
      <c r="D1791" s="1">
        <f ca="1">IFERROR(__xludf.DUMMYFUNCTION("""COMPUTED_VALUE"""),4.77)</f>
        <v>4.7699999999999996</v>
      </c>
      <c r="E1791" s="1">
        <f ca="1">IFERROR(__xludf.DUMMYFUNCTION("""COMPUTED_VALUE"""),4.8)</f>
        <v>4.8</v>
      </c>
      <c r="F1791" s="1">
        <f ca="1">IFERROR(__xludf.DUMMYFUNCTION("""COMPUTED_VALUE"""),544800)</f>
        <v>544800</v>
      </c>
      <c r="I1791" s="1"/>
    </row>
    <row r="1792" spans="1:9">
      <c r="A1792" s="3">
        <f ca="1">IFERROR(__xludf.DUMMYFUNCTION("""COMPUTED_VALUE"""),31807.6666666666)</f>
        <v>31807.666666666599</v>
      </c>
      <c r="B1792" s="1">
        <f ca="1">IFERROR(__xludf.DUMMYFUNCTION("""COMPUTED_VALUE"""),4.73)</f>
        <v>4.7300000000000004</v>
      </c>
      <c r="C1792" s="1">
        <f ca="1">IFERROR(__xludf.DUMMYFUNCTION("""COMPUTED_VALUE"""),4.81)</f>
        <v>4.8099999999999996</v>
      </c>
      <c r="D1792" s="1">
        <f ca="1">IFERROR(__xludf.DUMMYFUNCTION("""COMPUTED_VALUE"""),4.69)</f>
        <v>4.6900000000000004</v>
      </c>
      <c r="E1792" s="1">
        <f ca="1">IFERROR(__xludf.DUMMYFUNCTION("""COMPUTED_VALUE"""),4.73)</f>
        <v>4.7300000000000004</v>
      </c>
      <c r="F1792" s="1">
        <f ca="1">IFERROR(__xludf.DUMMYFUNCTION("""COMPUTED_VALUE"""),670100)</f>
        <v>670100</v>
      </c>
      <c r="I1792" s="1"/>
    </row>
    <row r="1793" spans="1:9">
      <c r="A1793" s="3">
        <f ca="1">IFERROR(__xludf.DUMMYFUNCTION("""COMPUTED_VALUE"""),31810.6666666666)</f>
        <v>31810.666666666599</v>
      </c>
      <c r="B1793" s="1">
        <f ca="1">IFERROR(__xludf.DUMMYFUNCTION("""COMPUTED_VALUE"""),4.76)</f>
        <v>4.76</v>
      </c>
      <c r="C1793" s="1">
        <f ca="1">IFERROR(__xludf.DUMMYFUNCTION("""COMPUTED_VALUE"""),4.77)</f>
        <v>4.7699999999999996</v>
      </c>
      <c r="D1793" s="1">
        <f ca="1">IFERROR(__xludf.DUMMYFUNCTION("""COMPUTED_VALUE"""),4.67)</f>
        <v>4.67</v>
      </c>
      <c r="E1793" s="1">
        <f ca="1">IFERROR(__xludf.DUMMYFUNCTION("""COMPUTED_VALUE"""),4.76)</f>
        <v>4.76</v>
      </c>
      <c r="F1793" s="1">
        <f ca="1">IFERROR(__xludf.DUMMYFUNCTION("""COMPUTED_VALUE"""),478800)</f>
        <v>478800</v>
      </c>
      <c r="I1793" s="1"/>
    </row>
    <row r="1794" spans="1:9">
      <c r="A1794" s="3">
        <f ca="1">IFERROR(__xludf.DUMMYFUNCTION("""COMPUTED_VALUE"""),31811.6666666666)</f>
        <v>31811.666666666599</v>
      </c>
      <c r="B1794" s="1">
        <f ca="1">IFERROR(__xludf.DUMMYFUNCTION("""COMPUTED_VALUE"""),4.81)</f>
        <v>4.8099999999999996</v>
      </c>
      <c r="C1794" s="1">
        <f ca="1">IFERROR(__xludf.DUMMYFUNCTION("""COMPUTED_VALUE"""),4.83)</f>
        <v>4.83</v>
      </c>
      <c r="D1794" s="1">
        <f ca="1">IFERROR(__xludf.DUMMYFUNCTION("""COMPUTED_VALUE"""),4.73)</f>
        <v>4.7300000000000004</v>
      </c>
      <c r="E1794" s="1">
        <f ca="1">IFERROR(__xludf.DUMMYFUNCTION("""COMPUTED_VALUE"""),4.81)</f>
        <v>4.8099999999999996</v>
      </c>
      <c r="F1794" s="1">
        <f ca="1">IFERROR(__xludf.DUMMYFUNCTION("""COMPUTED_VALUE"""),671600)</f>
        <v>671600</v>
      </c>
      <c r="I1794" s="1"/>
    </row>
    <row r="1795" spans="1:9">
      <c r="A1795" s="3">
        <f ca="1">IFERROR(__xludf.DUMMYFUNCTION("""COMPUTED_VALUE"""),31812.6666666666)</f>
        <v>31812.666666666599</v>
      </c>
      <c r="B1795" s="1">
        <f ca="1">IFERROR(__xludf.DUMMYFUNCTION("""COMPUTED_VALUE"""),4.9)</f>
        <v>4.9000000000000004</v>
      </c>
      <c r="C1795" s="1">
        <f ca="1">IFERROR(__xludf.DUMMYFUNCTION("""COMPUTED_VALUE"""),4.9)</f>
        <v>4.9000000000000004</v>
      </c>
      <c r="D1795" s="1">
        <f ca="1">IFERROR(__xludf.DUMMYFUNCTION("""COMPUTED_VALUE"""),4.8)</f>
        <v>4.8</v>
      </c>
      <c r="E1795" s="1">
        <f ca="1">IFERROR(__xludf.DUMMYFUNCTION("""COMPUTED_VALUE"""),4.9)</f>
        <v>4.9000000000000004</v>
      </c>
      <c r="F1795" s="1">
        <f ca="1">IFERROR(__xludf.DUMMYFUNCTION("""COMPUTED_VALUE"""),757800)</f>
        <v>757800</v>
      </c>
      <c r="I1795" s="1"/>
    </row>
    <row r="1796" spans="1:9">
      <c r="A1796" s="3">
        <f ca="1">IFERROR(__xludf.DUMMYFUNCTION("""COMPUTED_VALUE"""),31813.6666666666)</f>
        <v>31813.666666666599</v>
      </c>
      <c r="B1796" s="1">
        <f ca="1">IFERROR(__xludf.DUMMYFUNCTION("""COMPUTED_VALUE"""),4.93)</f>
        <v>4.93</v>
      </c>
      <c r="C1796" s="1">
        <f ca="1">IFERROR(__xludf.DUMMYFUNCTION("""COMPUTED_VALUE"""),4.98)</f>
        <v>4.9800000000000004</v>
      </c>
      <c r="D1796" s="1">
        <f ca="1">IFERROR(__xludf.DUMMYFUNCTION("""COMPUTED_VALUE"""),4.89)</f>
        <v>4.8899999999999997</v>
      </c>
      <c r="E1796" s="1">
        <f ca="1">IFERROR(__xludf.DUMMYFUNCTION("""COMPUTED_VALUE"""),4.93)</f>
        <v>4.93</v>
      </c>
      <c r="F1796" s="1">
        <f ca="1">IFERROR(__xludf.DUMMYFUNCTION("""COMPUTED_VALUE"""),637500)</f>
        <v>637500</v>
      </c>
      <c r="I1796" s="1"/>
    </row>
    <row r="1797" spans="1:9">
      <c r="A1797" s="3">
        <f ca="1">IFERROR(__xludf.DUMMYFUNCTION("""COMPUTED_VALUE"""),31814.6666666666)</f>
        <v>31814.666666666599</v>
      </c>
      <c r="B1797" s="1">
        <f ca="1">IFERROR(__xludf.DUMMYFUNCTION("""COMPUTED_VALUE"""),4.91)</f>
        <v>4.91</v>
      </c>
      <c r="C1797" s="1">
        <f ca="1">IFERROR(__xludf.DUMMYFUNCTION("""COMPUTED_VALUE"""),4.95)</f>
        <v>4.95</v>
      </c>
      <c r="D1797" s="1">
        <f ca="1">IFERROR(__xludf.DUMMYFUNCTION("""COMPUTED_VALUE"""),4.89)</f>
        <v>4.8899999999999997</v>
      </c>
      <c r="E1797" s="1">
        <f ca="1">IFERROR(__xludf.DUMMYFUNCTION("""COMPUTED_VALUE"""),4.91)</f>
        <v>4.91</v>
      </c>
      <c r="F1797" s="1">
        <f ca="1">IFERROR(__xludf.DUMMYFUNCTION("""COMPUTED_VALUE"""),542700)</f>
        <v>542700</v>
      </c>
      <c r="I1797" s="1"/>
    </row>
    <row r="1798" spans="1:9">
      <c r="A1798" s="3">
        <f ca="1">IFERROR(__xludf.DUMMYFUNCTION("""COMPUTED_VALUE"""),31817.6666666666)</f>
        <v>31817.666666666599</v>
      </c>
      <c r="B1798" s="1">
        <f ca="1">IFERROR(__xludf.DUMMYFUNCTION("""COMPUTED_VALUE"""),4.86)</f>
        <v>4.8600000000000003</v>
      </c>
      <c r="C1798" s="1">
        <f ca="1">IFERROR(__xludf.DUMMYFUNCTION("""COMPUTED_VALUE"""),4.92)</f>
        <v>4.92</v>
      </c>
      <c r="D1798" s="1">
        <f ca="1">IFERROR(__xludf.DUMMYFUNCTION("""COMPUTED_VALUE"""),4.84)</f>
        <v>4.84</v>
      </c>
      <c r="E1798" s="1">
        <f ca="1">IFERROR(__xludf.DUMMYFUNCTION("""COMPUTED_VALUE"""),4.86)</f>
        <v>4.8600000000000003</v>
      </c>
      <c r="F1798" s="1">
        <f ca="1">IFERROR(__xludf.DUMMYFUNCTION("""COMPUTED_VALUE"""),312100)</f>
        <v>312100</v>
      </c>
      <c r="I1798" s="1"/>
    </row>
    <row r="1799" spans="1:9">
      <c r="A1799" s="3">
        <f ca="1">IFERROR(__xludf.DUMMYFUNCTION("""COMPUTED_VALUE"""),31818.6666666666)</f>
        <v>31818.666666666599</v>
      </c>
      <c r="B1799" s="1">
        <f ca="1">IFERROR(__xludf.DUMMYFUNCTION("""COMPUTED_VALUE"""),4.81)</f>
        <v>4.8099999999999996</v>
      </c>
      <c r="C1799" s="1">
        <f ca="1">IFERROR(__xludf.DUMMYFUNCTION("""COMPUTED_VALUE"""),4.84)</f>
        <v>4.84</v>
      </c>
      <c r="D1799" s="1">
        <f ca="1">IFERROR(__xludf.DUMMYFUNCTION("""COMPUTED_VALUE"""),4.74)</f>
        <v>4.74</v>
      </c>
      <c r="E1799" s="1">
        <f ca="1">IFERROR(__xludf.DUMMYFUNCTION("""COMPUTED_VALUE"""),4.81)</f>
        <v>4.8099999999999996</v>
      </c>
      <c r="F1799" s="1">
        <f ca="1">IFERROR(__xludf.DUMMYFUNCTION("""COMPUTED_VALUE"""),543100)</f>
        <v>543100</v>
      </c>
      <c r="I1799" s="1"/>
    </row>
    <row r="1800" spans="1:9">
      <c r="A1800" s="3">
        <f ca="1">IFERROR(__xludf.DUMMYFUNCTION("""COMPUTED_VALUE"""),31819.6666666666)</f>
        <v>31819.666666666599</v>
      </c>
      <c r="B1800" s="1">
        <f ca="1">IFERROR(__xludf.DUMMYFUNCTION("""COMPUTED_VALUE"""),5)</f>
        <v>5</v>
      </c>
      <c r="C1800" s="1">
        <f ca="1">IFERROR(__xludf.DUMMYFUNCTION("""COMPUTED_VALUE"""),5)</f>
        <v>5</v>
      </c>
      <c r="D1800" s="1">
        <f ca="1">IFERROR(__xludf.DUMMYFUNCTION("""COMPUTED_VALUE"""),4.82)</f>
        <v>4.82</v>
      </c>
      <c r="E1800" s="1">
        <f ca="1">IFERROR(__xludf.DUMMYFUNCTION("""COMPUTED_VALUE"""),5)</f>
        <v>5</v>
      </c>
      <c r="F1800" s="1">
        <f ca="1">IFERROR(__xludf.DUMMYFUNCTION("""COMPUTED_VALUE"""),1033600)</f>
        <v>1033600</v>
      </c>
      <c r="I1800" s="1"/>
    </row>
    <row r="1801" spans="1:9">
      <c r="A1801" s="3">
        <f ca="1">IFERROR(__xludf.DUMMYFUNCTION("""COMPUTED_VALUE"""),31820.6666666666)</f>
        <v>31820.666666666599</v>
      </c>
      <c r="B1801" s="1">
        <f ca="1">IFERROR(__xludf.DUMMYFUNCTION("""COMPUTED_VALUE"""),5.01)</f>
        <v>5.01</v>
      </c>
      <c r="C1801" s="1">
        <f ca="1">IFERROR(__xludf.DUMMYFUNCTION("""COMPUTED_VALUE"""),5.07)</f>
        <v>5.07</v>
      </c>
      <c r="D1801" s="1">
        <f ca="1">IFERROR(__xludf.DUMMYFUNCTION("""COMPUTED_VALUE"""),4.98)</f>
        <v>4.9800000000000004</v>
      </c>
      <c r="E1801" s="1">
        <f ca="1">IFERROR(__xludf.DUMMYFUNCTION("""COMPUTED_VALUE"""),5.01)</f>
        <v>5.01</v>
      </c>
      <c r="F1801" s="1">
        <f ca="1">IFERROR(__xludf.DUMMYFUNCTION("""COMPUTED_VALUE"""),1069600)</f>
        <v>1069600</v>
      </c>
      <c r="I1801" s="1"/>
    </row>
    <row r="1802" spans="1:9">
      <c r="A1802" s="3">
        <f ca="1">IFERROR(__xludf.DUMMYFUNCTION("""COMPUTED_VALUE"""),31821.6666666666)</f>
        <v>31821.666666666599</v>
      </c>
      <c r="B1802" s="1">
        <f ca="1">IFERROR(__xludf.DUMMYFUNCTION("""COMPUTED_VALUE"""),5.16)</f>
        <v>5.16</v>
      </c>
      <c r="C1802" s="1">
        <f ca="1">IFERROR(__xludf.DUMMYFUNCTION("""COMPUTED_VALUE"""),5.17)</f>
        <v>5.17</v>
      </c>
      <c r="D1802" s="1">
        <f ca="1">IFERROR(__xludf.DUMMYFUNCTION("""COMPUTED_VALUE"""),5.03)</f>
        <v>5.03</v>
      </c>
      <c r="E1802" s="1">
        <f ca="1">IFERROR(__xludf.DUMMYFUNCTION("""COMPUTED_VALUE"""),5.16)</f>
        <v>5.16</v>
      </c>
      <c r="F1802" s="1">
        <f ca="1">IFERROR(__xludf.DUMMYFUNCTION("""COMPUTED_VALUE"""),959200)</f>
        <v>959200</v>
      </c>
      <c r="I1802" s="1"/>
    </row>
    <row r="1803" spans="1:9">
      <c r="A1803" s="3">
        <f ca="1">IFERROR(__xludf.DUMMYFUNCTION("""COMPUTED_VALUE"""),31825.6666666666)</f>
        <v>31825.666666666599</v>
      </c>
      <c r="B1803" s="1">
        <f ca="1">IFERROR(__xludf.DUMMYFUNCTION("""COMPUTED_VALUE"""),5.39)</f>
        <v>5.39</v>
      </c>
      <c r="C1803" s="1">
        <f ca="1">IFERROR(__xludf.DUMMYFUNCTION("""COMPUTED_VALUE"""),5.39)</f>
        <v>5.39</v>
      </c>
      <c r="D1803" s="1">
        <f ca="1">IFERROR(__xludf.DUMMYFUNCTION("""COMPUTED_VALUE"""),5.14)</f>
        <v>5.14</v>
      </c>
      <c r="E1803" s="1">
        <f ca="1">IFERROR(__xludf.DUMMYFUNCTION("""COMPUTED_VALUE"""),5.39)</f>
        <v>5.39</v>
      </c>
      <c r="F1803" s="1">
        <f ca="1">IFERROR(__xludf.DUMMYFUNCTION("""COMPUTED_VALUE"""),637800)</f>
        <v>637800</v>
      </c>
      <c r="I1803" s="1"/>
    </row>
    <row r="1804" spans="1:9">
      <c r="A1804" s="3">
        <f ca="1">IFERROR(__xludf.DUMMYFUNCTION("""COMPUTED_VALUE"""),31826.6666666666)</f>
        <v>31826.666666666599</v>
      </c>
      <c r="B1804" s="1">
        <f ca="1">IFERROR(__xludf.DUMMYFUNCTION("""COMPUTED_VALUE"""),5.44)</f>
        <v>5.44</v>
      </c>
      <c r="C1804" s="1">
        <f ca="1">IFERROR(__xludf.DUMMYFUNCTION("""COMPUTED_VALUE"""),5.53)</f>
        <v>5.53</v>
      </c>
      <c r="D1804" s="1">
        <f ca="1">IFERROR(__xludf.DUMMYFUNCTION("""COMPUTED_VALUE"""),5.39)</f>
        <v>5.39</v>
      </c>
      <c r="E1804" s="1">
        <f ca="1">IFERROR(__xludf.DUMMYFUNCTION("""COMPUTED_VALUE"""),5.44)</f>
        <v>5.44</v>
      </c>
      <c r="F1804" s="1">
        <f ca="1">IFERROR(__xludf.DUMMYFUNCTION("""COMPUTED_VALUE"""),903900)</f>
        <v>903900</v>
      </c>
      <c r="I1804" s="1"/>
    </row>
    <row r="1805" spans="1:9">
      <c r="A1805" s="3">
        <f ca="1">IFERROR(__xludf.DUMMYFUNCTION("""COMPUTED_VALUE"""),31827.6666666666)</f>
        <v>31827.666666666599</v>
      </c>
      <c r="B1805" s="1">
        <f ca="1">IFERROR(__xludf.DUMMYFUNCTION("""COMPUTED_VALUE"""),5.35)</f>
        <v>5.35</v>
      </c>
      <c r="C1805" s="1">
        <f ca="1">IFERROR(__xludf.DUMMYFUNCTION("""COMPUTED_VALUE"""),5.47)</f>
        <v>5.47</v>
      </c>
      <c r="D1805" s="1">
        <f ca="1">IFERROR(__xludf.DUMMYFUNCTION("""COMPUTED_VALUE"""),5.33)</f>
        <v>5.33</v>
      </c>
      <c r="E1805" s="1">
        <f ca="1">IFERROR(__xludf.DUMMYFUNCTION("""COMPUTED_VALUE"""),5.35)</f>
        <v>5.35</v>
      </c>
      <c r="F1805" s="1">
        <f ca="1">IFERROR(__xludf.DUMMYFUNCTION("""COMPUTED_VALUE"""),627400)</f>
        <v>627400</v>
      </c>
      <c r="I1805" s="1"/>
    </row>
    <row r="1806" spans="1:9">
      <c r="A1806" s="3">
        <f ca="1">IFERROR(__xludf.DUMMYFUNCTION("""COMPUTED_VALUE"""),31828.6666666666)</f>
        <v>31828.666666666599</v>
      </c>
      <c r="B1806" s="1">
        <f ca="1">IFERROR(__xludf.DUMMYFUNCTION("""COMPUTED_VALUE"""),5.28)</f>
        <v>5.28</v>
      </c>
      <c r="C1806" s="1">
        <f ca="1">IFERROR(__xludf.DUMMYFUNCTION("""COMPUTED_VALUE"""),5.35)</f>
        <v>5.35</v>
      </c>
      <c r="D1806" s="1">
        <f ca="1">IFERROR(__xludf.DUMMYFUNCTION("""COMPUTED_VALUE"""),5.28)</f>
        <v>5.28</v>
      </c>
      <c r="E1806" s="1">
        <f ca="1">IFERROR(__xludf.DUMMYFUNCTION("""COMPUTED_VALUE"""),5.28)</f>
        <v>5.28</v>
      </c>
      <c r="F1806" s="1">
        <f ca="1">IFERROR(__xludf.DUMMYFUNCTION("""COMPUTED_VALUE"""),660400)</f>
        <v>660400</v>
      </c>
      <c r="I1806" s="1"/>
    </row>
    <row r="1807" spans="1:9">
      <c r="A1807" s="3">
        <f ca="1">IFERROR(__xludf.DUMMYFUNCTION("""COMPUTED_VALUE"""),31831.6666666666)</f>
        <v>31831.666666666599</v>
      </c>
      <c r="B1807" s="1">
        <f ca="1">IFERROR(__xludf.DUMMYFUNCTION("""COMPUTED_VALUE"""),5.19)</f>
        <v>5.19</v>
      </c>
      <c r="C1807" s="1">
        <f ca="1">IFERROR(__xludf.DUMMYFUNCTION("""COMPUTED_VALUE"""),5.27)</f>
        <v>5.27</v>
      </c>
      <c r="D1807" s="1">
        <f ca="1">IFERROR(__xludf.DUMMYFUNCTION("""COMPUTED_VALUE"""),5.14)</f>
        <v>5.14</v>
      </c>
      <c r="E1807" s="1">
        <f ca="1">IFERROR(__xludf.DUMMYFUNCTION("""COMPUTED_VALUE"""),5.19)</f>
        <v>5.19</v>
      </c>
      <c r="F1807" s="1">
        <f ca="1">IFERROR(__xludf.DUMMYFUNCTION("""COMPUTED_VALUE"""),602500)</f>
        <v>602500</v>
      </c>
      <c r="I1807" s="1"/>
    </row>
    <row r="1808" spans="1:9">
      <c r="A1808" s="3">
        <f ca="1">IFERROR(__xludf.DUMMYFUNCTION("""COMPUTED_VALUE"""),31832.6666666666)</f>
        <v>31832.666666666599</v>
      </c>
      <c r="B1808" s="1">
        <f ca="1">IFERROR(__xludf.DUMMYFUNCTION("""COMPUTED_VALUE"""),5.3)</f>
        <v>5.3</v>
      </c>
      <c r="C1808" s="1">
        <f ca="1">IFERROR(__xludf.DUMMYFUNCTION("""COMPUTED_VALUE"""),5.3)</f>
        <v>5.3</v>
      </c>
      <c r="D1808" s="1">
        <f ca="1">IFERROR(__xludf.DUMMYFUNCTION("""COMPUTED_VALUE"""),5.19)</f>
        <v>5.19</v>
      </c>
      <c r="E1808" s="1">
        <f ca="1">IFERROR(__xludf.DUMMYFUNCTION("""COMPUTED_VALUE"""),5.3)</f>
        <v>5.3</v>
      </c>
      <c r="F1808" s="1">
        <f ca="1">IFERROR(__xludf.DUMMYFUNCTION("""COMPUTED_VALUE"""),479000)</f>
        <v>479000</v>
      </c>
      <c r="I1808" s="1"/>
    </row>
    <row r="1809" spans="1:9">
      <c r="A1809" s="3">
        <f ca="1">IFERROR(__xludf.DUMMYFUNCTION("""COMPUTED_VALUE"""),31833.6666666666)</f>
        <v>31833.666666666599</v>
      </c>
      <c r="B1809" s="1">
        <f ca="1">IFERROR(__xludf.DUMMYFUNCTION("""COMPUTED_VALUE"""),5.3)</f>
        <v>5.3</v>
      </c>
      <c r="C1809" s="1">
        <f ca="1">IFERROR(__xludf.DUMMYFUNCTION("""COMPUTED_VALUE"""),5.36)</f>
        <v>5.36</v>
      </c>
      <c r="D1809" s="1">
        <f ca="1">IFERROR(__xludf.DUMMYFUNCTION("""COMPUTED_VALUE"""),5.27)</f>
        <v>5.27</v>
      </c>
      <c r="E1809" s="1">
        <f ca="1">IFERROR(__xludf.DUMMYFUNCTION("""COMPUTED_VALUE"""),5.3)</f>
        <v>5.3</v>
      </c>
      <c r="F1809" s="1">
        <f ca="1">IFERROR(__xludf.DUMMYFUNCTION("""COMPUTED_VALUE"""),463100)</f>
        <v>463100</v>
      </c>
      <c r="I1809" s="1"/>
    </row>
    <row r="1810" spans="1:9">
      <c r="A1810" s="3">
        <f ca="1">IFERROR(__xludf.DUMMYFUNCTION("""COMPUTED_VALUE"""),31834.6666666666)</f>
        <v>31834.666666666599</v>
      </c>
      <c r="B1810" s="1">
        <f ca="1">IFERROR(__xludf.DUMMYFUNCTION("""COMPUTED_VALUE"""),5.3)</f>
        <v>5.3</v>
      </c>
      <c r="C1810" s="1">
        <f ca="1">IFERROR(__xludf.DUMMYFUNCTION("""COMPUTED_VALUE"""),5.39)</f>
        <v>5.39</v>
      </c>
      <c r="D1810" s="1">
        <f ca="1">IFERROR(__xludf.DUMMYFUNCTION("""COMPUTED_VALUE"""),5.22)</f>
        <v>5.22</v>
      </c>
      <c r="E1810" s="1">
        <f ca="1">IFERROR(__xludf.DUMMYFUNCTION("""COMPUTED_VALUE"""),5.3)</f>
        <v>5.3</v>
      </c>
      <c r="F1810" s="1">
        <f ca="1">IFERROR(__xludf.DUMMYFUNCTION("""COMPUTED_VALUE"""),375900)</f>
        <v>375900</v>
      </c>
      <c r="I1810" s="1"/>
    </row>
    <row r="1811" spans="1:9">
      <c r="A1811" s="3">
        <f ca="1">IFERROR(__xludf.DUMMYFUNCTION("""COMPUTED_VALUE"""),31835.6666666666)</f>
        <v>31835.666666666599</v>
      </c>
      <c r="B1811" s="1">
        <f ca="1">IFERROR(__xludf.DUMMYFUNCTION("""COMPUTED_VALUE"""),5.39)</f>
        <v>5.39</v>
      </c>
      <c r="C1811" s="1">
        <f ca="1">IFERROR(__xludf.DUMMYFUNCTION("""COMPUTED_VALUE"""),5.39)</f>
        <v>5.39</v>
      </c>
      <c r="D1811" s="1">
        <f ca="1">IFERROR(__xludf.DUMMYFUNCTION("""COMPUTED_VALUE"""),5.32)</f>
        <v>5.32</v>
      </c>
      <c r="E1811" s="1">
        <f ca="1">IFERROR(__xludf.DUMMYFUNCTION("""COMPUTED_VALUE"""),5.39)</f>
        <v>5.39</v>
      </c>
      <c r="F1811" s="1">
        <f ca="1">IFERROR(__xludf.DUMMYFUNCTION("""COMPUTED_VALUE"""),357500)</f>
        <v>357500</v>
      </c>
      <c r="I1811" s="1"/>
    </row>
    <row r="1812" spans="1:9">
      <c r="A1812" s="3">
        <f ca="1">IFERROR(__xludf.DUMMYFUNCTION("""COMPUTED_VALUE"""),31838.6666666666)</f>
        <v>31838.666666666599</v>
      </c>
      <c r="B1812" s="1">
        <f ca="1">IFERROR(__xludf.DUMMYFUNCTION("""COMPUTED_VALUE"""),5.37)</f>
        <v>5.37</v>
      </c>
      <c r="C1812" s="1">
        <f ca="1">IFERROR(__xludf.DUMMYFUNCTION("""COMPUTED_VALUE"""),5.45)</f>
        <v>5.45</v>
      </c>
      <c r="D1812" s="1">
        <f ca="1">IFERROR(__xludf.DUMMYFUNCTION("""COMPUTED_VALUE"""),5.34)</f>
        <v>5.34</v>
      </c>
      <c r="E1812" s="1">
        <f ca="1">IFERROR(__xludf.DUMMYFUNCTION("""COMPUTED_VALUE"""),5.37)</f>
        <v>5.37</v>
      </c>
      <c r="F1812" s="1">
        <f ca="1">IFERROR(__xludf.DUMMYFUNCTION("""COMPUTED_VALUE"""),536900)</f>
        <v>536900</v>
      </c>
      <c r="I1812" s="1"/>
    </row>
    <row r="1813" spans="1:9">
      <c r="A1813" s="3">
        <f ca="1">IFERROR(__xludf.DUMMYFUNCTION("""COMPUTED_VALUE"""),31839.6666666666)</f>
        <v>31839.666666666599</v>
      </c>
      <c r="B1813" s="1">
        <f ca="1">IFERROR(__xludf.DUMMYFUNCTION("""COMPUTED_VALUE"""),5.47)</f>
        <v>5.47</v>
      </c>
      <c r="C1813" s="1">
        <f ca="1">IFERROR(__xludf.DUMMYFUNCTION("""COMPUTED_VALUE"""),5.49)</f>
        <v>5.49</v>
      </c>
      <c r="D1813" s="1">
        <f ca="1">IFERROR(__xludf.DUMMYFUNCTION("""COMPUTED_VALUE"""),5.34)</f>
        <v>5.34</v>
      </c>
      <c r="E1813" s="1">
        <f ca="1">IFERROR(__xludf.DUMMYFUNCTION("""COMPUTED_VALUE"""),5.47)</f>
        <v>5.47</v>
      </c>
      <c r="F1813" s="1">
        <f ca="1">IFERROR(__xludf.DUMMYFUNCTION("""COMPUTED_VALUE"""),650600)</f>
        <v>650600</v>
      </c>
      <c r="I1813" s="1"/>
    </row>
    <row r="1814" spans="1:9">
      <c r="A1814" s="3">
        <f ca="1">IFERROR(__xludf.DUMMYFUNCTION("""COMPUTED_VALUE"""),31840.6666666666)</f>
        <v>31840.666666666599</v>
      </c>
      <c r="B1814" s="1">
        <f ca="1">IFERROR(__xludf.DUMMYFUNCTION("""COMPUTED_VALUE"""),5.71)</f>
        <v>5.71</v>
      </c>
      <c r="C1814" s="1">
        <f ca="1">IFERROR(__xludf.DUMMYFUNCTION("""COMPUTED_VALUE"""),5.72)</f>
        <v>5.72</v>
      </c>
      <c r="D1814" s="1">
        <f ca="1">IFERROR(__xludf.DUMMYFUNCTION("""COMPUTED_VALUE"""),5.52)</f>
        <v>5.52</v>
      </c>
      <c r="E1814" s="1">
        <f ca="1">IFERROR(__xludf.DUMMYFUNCTION("""COMPUTED_VALUE"""),5.71)</f>
        <v>5.71</v>
      </c>
      <c r="F1814" s="1">
        <f ca="1">IFERROR(__xludf.DUMMYFUNCTION("""COMPUTED_VALUE"""),970000)</f>
        <v>970000</v>
      </c>
      <c r="I1814" s="1"/>
    </row>
    <row r="1815" spans="1:9">
      <c r="A1815" s="3">
        <f ca="1">IFERROR(__xludf.DUMMYFUNCTION("""COMPUTED_VALUE"""),31841.6666666666)</f>
        <v>31841.666666666599</v>
      </c>
      <c r="B1815" s="1">
        <f ca="1">IFERROR(__xludf.DUMMYFUNCTION("""COMPUTED_VALUE"""),5.69)</f>
        <v>5.69</v>
      </c>
      <c r="C1815" s="1">
        <f ca="1">IFERROR(__xludf.DUMMYFUNCTION("""COMPUTED_VALUE"""),5.8)</f>
        <v>5.8</v>
      </c>
      <c r="D1815" s="1">
        <f ca="1">IFERROR(__xludf.DUMMYFUNCTION("""COMPUTED_VALUE"""),5.67)</f>
        <v>5.67</v>
      </c>
      <c r="E1815" s="1">
        <f ca="1">IFERROR(__xludf.DUMMYFUNCTION("""COMPUTED_VALUE"""),5.69)</f>
        <v>5.69</v>
      </c>
      <c r="F1815" s="1">
        <f ca="1">IFERROR(__xludf.DUMMYFUNCTION("""COMPUTED_VALUE"""),827300)</f>
        <v>827300</v>
      </c>
      <c r="I1815" s="1"/>
    </row>
    <row r="1816" spans="1:9">
      <c r="A1816" s="3">
        <f ca="1">IFERROR(__xludf.DUMMYFUNCTION("""COMPUTED_VALUE"""),31842.6666666666)</f>
        <v>31842.666666666599</v>
      </c>
      <c r="B1816" s="1">
        <f ca="1">IFERROR(__xludf.DUMMYFUNCTION("""COMPUTED_VALUE"""),5.64)</f>
        <v>5.64</v>
      </c>
      <c r="C1816" s="1">
        <f ca="1">IFERROR(__xludf.DUMMYFUNCTION("""COMPUTED_VALUE"""),5.67)</f>
        <v>5.67</v>
      </c>
      <c r="D1816" s="1">
        <f ca="1">IFERROR(__xludf.DUMMYFUNCTION("""COMPUTED_VALUE"""),5.58)</f>
        <v>5.58</v>
      </c>
      <c r="E1816" s="1">
        <f ca="1">IFERROR(__xludf.DUMMYFUNCTION("""COMPUTED_VALUE"""),5.64)</f>
        <v>5.64</v>
      </c>
      <c r="F1816" s="1">
        <f ca="1">IFERROR(__xludf.DUMMYFUNCTION("""COMPUTED_VALUE"""),461100)</f>
        <v>461100</v>
      </c>
      <c r="I1816" s="1"/>
    </row>
    <row r="1817" spans="1:9">
      <c r="A1817" s="3">
        <f ca="1">IFERROR(__xludf.DUMMYFUNCTION("""COMPUTED_VALUE"""),31845.6666666666)</f>
        <v>31845.666666666599</v>
      </c>
      <c r="B1817" s="1">
        <f ca="1">IFERROR(__xludf.DUMMYFUNCTION("""COMPUTED_VALUE"""),5.53)</f>
        <v>5.53</v>
      </c>
      <c r="C1817" s="1">
        <f ca="1">IFERROR(__xludf.DUMMYFUNCTION("""COMPUTED_VALUE"""),5.63)</f>
        <v>5.63</v>
      </c>
      <c r="D1817" s="1">
        <f ca="1">IFERROR(__xludf.DUMMYFUNCTION("""COMPUTED_VALUE"""),5.53)</f>
        <v>5.53</v>
      </c>
      <c r="E1817" s="1">
        <f ca="1">IFERROR(__xludf.DUMMYFUNCTION("""COMPUTED_VALUE"""),5.53)</f>
        <v>5.53</v>
      </c>
      <c r="F1817" s="1">
        <f ca="1">IFERROR(__xludf.DUMMYFUNCTION("""COMPUTED_VALUE"""),383400)</f>
        <v>383400</v>
      </c>
      <c r="I1817" s="1"/>
    </row>
    <row r="1818" spans="1:9">
      <c r="A1818" s="3">
        <f ca="1">IFERROR(__xludf.DUMMYFUNCTION("""COMPUTED_VALUE"""),31846.6666666666)</f>
        <v>31846.666666666599</v>
      </c>
      <c r="B1818" s="1">
        <f ca="1">IFERROR(__xludf.DUMMYFUNCTION("""COMPUTED_VALUE"""),5.64)</f>
        <v>5.64</v>
      </c>
      <c r="C1818" s="1">
        <f ca="1">IFERROR(__xludf.DUMMYFUNCTION("""COMPUTED_VALUE"""),5.66)</f>
        <v>5.66</v>
      </c>
      <c r="D1818" s="1">
        <f ca="1">IFERROR(__xludf.DUMMYFUNCTION("""COMPUTED_VALUE"""),5.51)</f>
        <v>5.51</v>
      </c>
      <c r="E1818" s="1">
        <f ca="1">IFERROR(__xludf.DUMMYFUNCTION("""COMPUTED_VALUE"""),5.64)</f>
        <v>5.64</v>
      </c>
      <c r="F1818" s="1">
        <f ca="1">IFERROR(__xludf.DUMMYFUNCTION("""COMPUTED_VALUE"""),660100)</f>
        <v>660100</v>
      </c>
      <c r="I1818" s="1"/>
    </row>
    <row r="1819" spans="1:9">
      <c r="A1819" s="3">
        <f ca="1">IFERROR(__xludf.DUMMYFUNCTION("""COMPUTED_VALUE"""),31847.6666666666)</f>
        <v>31847.666666666599</v>
      </c>
      <c r="B1819" s="1">
        <f ca="1">IFERROR(__xludf.DUMMYFUNCTION("""COMPUTED_VALUE"""),5.66)</f>
        <v>5.66</v>
      </c>
      <c r="C1819" s="1">
        <f ca="1">IFERROR(__xludf.DUMMYFUNCTION("""COMPUTED_VALUE"""),5.78)</f>
        <v>5.78</v>
      </c>
      <c r="D1819" s="1">
        <f ca="1">IFERROR(__xludf.DUMMYFUNCTION("""COMPUTED_VALUE"""),5.65)</f>
        <v>5.65</v>
      </c>
      <c r="E1819" s="1">
        <f ca="1">IFERROR(__xludf.DUMMYFUNCTION("""COMPUTED_VALUE"""),5.66)</f>
        <v>5.66</v>
      </c>
      <c r="F1819" s="1">
        <f ca="1">IFERROR(__xludf.DUMMYFUNCTION("""COMPUTED_VALUE"""),692700)</f>
        <v>692700</v>
      </c>
      <c r="I1819" s="1"/>
    </row>
    <row r="1820" spans="1:9">
      <c r="A1820" s="3">
        <f ca="1">IFERROR(__xludf.DUMMYFUNCTION("""COMPUTED_VALUE"""),31848.6666666666)</f>
        <v>31848.666666666599</v>
      </c>
      <c r="B1820" s="1">
        <f ca="1">IFERROR(__xludf.DUMMYFUNCTION("""COMPUTED_VALUE"""),5.61)</f>
        <v>5.61</v>
      </c>
      <c r="C1820" s="1">
        <f ca="1">IFERROR(__xludf.DUMMYFUNCTION("""COMPUTED_VALUE"""),5.7)</f>
        <v>5.7</v>
      </c>
      <c r="D1820" s="1">
        <f ca="1">IFERROR(__xludf.DUMMYFUNCTION("""COMPUTED_VALUE"""),5.61)</f>
        <v>5.61</v>
      </c>
      <c r="E1820" s="1">
        <f ca="1">IFERROR(__xludf.DUMMYFUNCTION("""COMPUTED_VALUE"""),5.61)</f>
        <v>5.61</v>
      </c>
      <c r="F1820" s="1">
        <f ca="1">IFERROR(__xludf.DUMMYFUNCTION("""COMPUTED_VALUE"""),470800)</f>
        <v>470800</v>
      </c>
      <c r="I1820" s="1"/>
    </row>
    <row r="1821" spans="1:9">
      <c r="A1821" s="3">
        <f ca="1">IFERROR(__xludf.DUMMYFUNCTION("""COMPUTED_VALUE"""),31849.6666666666)</f>
        <v>31849.666666666599</v>
      </c>
      <c r="B1821" s="1">
        <f ca="1">IFERROR(__xludf.DUMMYFUNCTION("""COMPUTED_VALUE"""),5.62)</f>
        <v>5.62</v>
      </c>
      <c r="C1821" s="1">
        <f ca="1">IFERROR(__xludf.DUMMYFUNCTION("""COMPUTED_VALUE"""),5.64)</f>
        <v>5.64</v>
      </c>
      <c r="D1821" s="1">
        <f ca="1">IFERROR(__xludf.DUMMYFUNCTION("""COMPUTED_VALUE"""),5.58)</f>
        <v>5.58</v>
      </c>
      <c r="E1821" s="1">
        <f ca="1">IFERROR(__xludf.DUMMYFUNCTION("""COMPUTED_VALUE"""),5.62)</f>
        <v>5.62</v>
      </c>
      <c r="F1821" s="1">
        <f ca="1">IFERROR(__xludf.DUMMYFUNCTION("""COMPUTED_VALUE"""),399700)</f>
        <v>399700</v>
      </c>
      <c r="I1821" s="1"/>
    </row>
    <row r="1822" spans="1:9">
      <c r="A1822" s="3">
        <f ca="1">IFERROR(__xludf.DUMMYFUNCTION("""COMPUTED_VALUE"""),31852.6666666666)</f>
        <v>31852.666666666599</v>
      </c>
      <c r="B1822" s="1">
        <f ca="1">IFERROR(__xludf.DUMMYFUNCTION("""COMPUTED_VALUE"""),5.55)</f>
        <v>5.55</v>
      </c>
      <c r="C1822" s="1">
        <f ca="1">IFERROR(__xludf.DUMMYFUNCTION("""COMPUTED_VALUE"""),5.6)</f>
        <v>5.6</v>
      </c>
      <c r="D1822" s="1">
        <f ca="1">IFERROR(__xludf.DUMMYFUNCTION("""COMPUTED_VALUE"""),5.53)</f>
        <v>5.53</v>
      </c>
      <c r="E1822" s="1">
        <f ca="1">IFERROR(__xludf.DUMMYFUNCTION("""COMPUTED_VALUE"""),5.55)</f>
        <v>5.55</v>
      </c>
      <c r="F1822" s="1">
        <f ca="1">IFERROR(__xludf.DUMMYFUNCTION("""COMPUTED_VALUE"""),286200)</f>
        <v>286200</v>
      </c>
      <c r="I1822" s="1"/>
    </row>
    <row r="1823" spans="1:9">
      <c r="A1823" s="3">
        <f ca="1">IFERROR(__xludf.DUMMYFUNCTION("""COMPUTED_VALUE"""),31853.6666666666)</f>
        <v>31853.666666666599</v>
      </c>
      <c r="B1823" s="1">
        <f ca="1">IFERROR(__xludf.DUMMYFUNCTION("""COMPUTED_VALUE"""),5.66)</f>
        <v>5.66</v>
      </c>
      <c r="C1823" s="1">
        <f ca="1">IFERROR(__xludf.DUMMYFUNCTION("""COMPUTED_VALUE"""),5.67)</f>
        <v>5.67</v>
      </c>
      <c r="D1823" s="1">
        <f ca="1">IFERROR(__xludf.DUMMYFUNCTION("""COMPUTED_VALUE"""),5.55)</f>
        <v>5.55</v>
      </c>
      <c r="E1823" s="1">
        <f ca="1">IFERROR(__xludf.DUMMYFUNCTION("""COMPUTED_VALUE"""),5.66)</f>
        <v>5.66</v>
      </c>
      <c r="F1823" s="1">
        <f ca="1">IFERROR(__xludf.DUMMYFUNCTION("""COMPUTED_VALUE"""),324000)</f>
        <v>324000</v>
      </c>
      <c r="I1823" s="1"/>
    </row>
    <row r="1824" spans="1:9">
      <c r="A1824" s="3">
        <f ca="1">IFERROR(__xludf.DUMMYFUNCTION("""COMPUTED_VALUE"""),31854.6666666666)</f>
        <v>31854.666666666599</v>
      </c>
      <c r="B1824" s="1">
        <f ca="1">IFERROR(__xludf.DUMMYFUNCTION("""COMPUTED_VALUE"""),5.62)</f>
        <v>5.62</v>
      </c>
      <c r="C1824" s="1">
        <f ca="1">IFERROR(__xludf.DUMMYFUNCTION("""COMPUTED_VALUE"""),5.7)</f>
        <v>5.7</v>
      </c>
      <c r="D1824" s="1">
        <f ca="1">IFERROR(__xludf.DUMMYFUNCTION("""COMPUTED_VALUE"""),5.55)</f>
        <v>5.55</v>
      </c>
      <c r="E1824" s="1">
        <f ca="1">IFERROR(__xludf.DUMMYFUNCTION("""COMPUTED_VALUE"""),5.62)</f>
        <v>5.62</v>
      </c>
      <c r="F1824" s="1">
        <f ca="1">IFERROR(__xludf.DUMMYFUNCTION("""COMPUTED_VALUE"""),565900)</f>
        <v>565900</v>
      </c>
      <c r="I1824" s="1"/>
    </row>
    <row r="1825" spans="1:9">
      <c r="A1825" s="3">
        <f ca="1">IFERROR(__xludf.DUMMYFUNCTION("""COMPUTED_VALUE"""),31855.6666666666)</f>
        <v>31855.666666666599</v>
      </c>
      <c r="B1825" s="1">
        <f ca="1">IFERROR(__xludf.DUMMYFUNCTION("""COMPUTED_VALUE"""),5.63)</f>
        <v>5.63</v>
      </c>
      <c r="C1825" s="1">
        <f ca="1">IFERROR(__xludf.DUMMYFUNCTION("""COMPUTED_VALUE"""),5.64)</f>
        <v>5.64</v>
      </c>
      <c r="D1825" s="1">
        <f ca="1">IFERROR(__xludf.DUMMYFUNCTION("""COMPUTED_VALUE"""),5.58)</f>
        <v>5.58</v>
      </c>
      <c r="E1825" s="1">
        <f ca="1">IFERROR(__xludf.DUMMYFUNCTION("""COMPUTED_VALUE"""),5.63)</f>
        <v>5.63</v>
      </c>
      <c r="F1825" s="1">
        <f ca="1">IFERROR(__xludf.DUMMYFUNCTION("""COMPUTED_VALUE"""),419900)</f>
        <v>419900</v>
      </c>
      <c r="I1825" s="1"/>
    </row>
    <row r="1826" spans="1:9">
      <c r="A1826" s="3">
        <f ca="1">IFERROR(__xludf.DUMMYFUNCTION("""COMPUTED_VALUE"""),31856.6666666666)</f>
        <v>31856.666666666599</v>
      </c>
      <c r="B1826" s="1">
        <f ca="1">IFERROR(__xludf.DUMMYFUNCTION("""COMPUTED_VALUE"""),5.7)</f>
        <v>5.7</v>
      </c>
      <c r="C1826" s="1">
        <f ca="1">IFERROR(__xludf.DUMMYFUNCTION("""COMPUTED_VALUE"""),5.7)</f>
        <v>5.7</v>
      </c>
      <c r="D1826" s="1">
        <f ca="1">IFERROR(__xludf.DUMMYFUNCTION("""COMPUTED_VALUE"""),5.6)</f>
        <v>5.6</v>
      </c>
      <c r="E1826" s="1">
        <f ca="1">IFERROR(__xludf.DUMMYFUNCTION("""COMPUTED_VALUE"""),5.7)</f>
        <v>5.7</v>
      </c>
      <c r="F1826" s="1">
        <f ca="1">IFERROR(__xludf.DUMMYFUNCTION("""COMPUTED_VALUE"""),763700)</f>
        <v>763700</v>
      </c>
      <c r="I1826" s="1"/>
    </row>
    <row r="1827" spans="1:9">
      <c r="A1827" s="3">
        <f ca="1">IFERROR(__xludf.DUMMYFUNCTION("""COMPUTED_VALUE"""),31859.6666666666)</f>
        <v>31859.666666666599</v>
      </c>
      <c r="B1827" s="1">
        <f ca="1">IFERROR(__xludf.DUMMYFUNCTION("""COMPUTED_VALUE"""),5.8)</f>
        <v>5.8</v>
      </c>
      <c r="C1827" s="1">
        <f ca="1">IFERROR(__xludf.DUMMYFUNCTION("""COMPUTED_VALUE"""),5.91)</f>
        <v>5.91</v>
      </c>
      <c r="D1827" s="1">
        <f ca="1">IFERROR(__xludf.DUMMYFUNCTION("""COMPUTED_VALUE"""),5.69)</f>
        <v>5.69</v>
      </c>
      <c r="E1827" s="1">
        <f ca="1">IFERROR(__xludf.DUMMYFUNCTION("""COMPUTED_VALUE"""),5.8)</f>
        <v>5.8</v>
      </c>
      <c r="F1827" s="1">
        <f ca="1">IFERROR(__xludf.DUMMYFUNCTION("""COMPUTED_VALUE"""),722800)</f>
        <v>722800</v>
      </c>
      <c r="I1827" s="1"/>
    </row>
    <row r="1828" spans="1:9">
      <c r="A1828" s="3">
        <f ca="1">IFERROR(__xludf.DUMMYFUNCTION("""COMPUTED_VALUE"""),31860.6666666666)</f>
        <v>31860.666666666599</v>
      </c>
      <c r="B1828" s="1">
        <f ca="1">IFERROR(__xludf.DUMMYFUNCTION("""COMPUTED_VALUE"""),5.8)</f>
        <v>5.8</v>
      </c>
      <c r="C1828" s="1">
        <f ca="1">IFERROR(__xludf.DUMMYFUNCTION("""COMPUTED_VALUE"""),5.8)</f>
        <v>5.8</v>
      </c>
      <c r="D1828" s="1">
        <f ca="1">IFERROR(__xludf.DUMMYFUNCTION("""COMPUTED_VALUE"""),5.73)</f>
        <v>5.73</v>
      </c>
      <c r="E1828" s="1">
        <f ca="1">IFERROR(__xludf.DUMMYFUNCTION("""COMPUTED_VALUE"""),5.8)</f>
        <v>5.8</v>
      </c>
      <c r="F1828" s="1">
        <f ca="1">IFERROR(__xludf.DUMMYFUNCTION("""COMPUTED_VALUE"""),448400)</f>
        <v>448400</v>
      </c>
      <c r="I1828" s="1"/>
    </row>
    <row r="1829" spans="1:9">
      <c r="A1829" s="3">
        <f ca="1">IFERROR(__xludf.DUMMYFUNCTION("""COMPUTED_VALUE"""),31861.6666666666)</f>
        <v>31861.666666666599</v>
      </c>
      <c r="B1829" s="1">
        <f ca="1">IFERROR(__xludf.DUMMYFUNCTION("""COMPUTED_VALUE"""),5.67)</f>
        <v>5.67</v>
      </c>
      <c r="C1829" s="1">
        <f ca="1">IFERROR(__xludf.DUMMYFUNCTION("""COMPUTED_VALUE"""),5.77)</f>
        <v>5.77</v>
      </c>
      <c r="D1829" s="1">
        <f ca="1">IFERROR(__xludf.DUMMYFUNCTION("""COMPUTED_VALUE"""),5.67)</f>
        <v>5.67</v>
      </c>
      <c r="E1829" s="1">
        <f ca="1">IFERROR(__xludf.DUMMYFUNCTION("""COMPUTED_VALUE"""),5.67)</f>
        <v>5.67</v>
      </c>
      <c r="F1829" s="1">
        <f ca="1">IFERROR(__xludf.DUMMYFUNCTION("""COMPUTED_VALUE"""),473900)</f>
        <v>473900</v>
      </c>
      <c r="I1829" s="1"/>
    </row>
    <row r="1830" spans="1:9">
      <c r="A1830" s="3">
        <f ca="1">IFERROR(__xludf.DUMMYFUNCTION("""COMPUTED_VALUE"""),31862.6666666666)</f>
        <v>31862.666666666599</v>
      </c>
      <c r="B1830" s="1">
        <f ca="1">IFERROR(__xludf.DUMMYFUNCTION("""COMPUTED_VALUE"""),5.7)</f>
        <v>5.7</v>
      </c>
      <c r="C1830" s="1">
        <f ca="1">IFERROR(__xludf.DUMMYFUNCTION("""COMPUTED_VALUE"""),5.77)</f>
        <v>5.77</v>
      </c>
      <c r="D1830" s="1">
        <f ca="1">IFERROR(__xludf.DUMMYFUNCTION("""COMPUTED_VALUE"""),5.68)</f>
        <v>5.68</v>
      </c>
      <c r="E1830" s="1">
        <f ca="1">IFERROR(__xludf.DUMMYFUNCTION("""COMPUTED_VALUE"""),5.7)</f>
        <v>5.7</v>
      </c>
      <c r="F1830" s="1">
        <f ca="1">IFERROR(__xludf.DUMMYFUNCTION("""COMPUTED_VALUE"""),518100)</f>
        <v>518100</v>
      </c>
      <c r="I1830" s="1"/>
    </row>
    <row r="1831" spans="1:9">
      <c r="A1831" s="3">
        <f ca="1">IFERROR(__xludf.DUMMYFUNCTION("""COMPUTED_VALUE"""),31863.6666666666)</f>
        <v>31863.666666666599</v>
      </c>
      <c r="B1831" s="1">
        <f ca="1">IFERROR(__xludf.DUMMYFUNCTION("""COMPUTED_VALUE"""),5.6)</f>
        <v>5.6</v>
      </c>
      <c r="C1831" s="1">
        <f ca="1">IFERROR(__xludf.DUMMYFUNCTION("""COMPUTED_VALUE"""),5.75)</f>
        <v>5.75</v>
      </c>
      <c r="D1831" s="1">
        <f ca="1">IFERROR(__xludf.DUMMYFUNCTION("""COMPUTED_VALUE"""),5.59)</f>
        <v>5.59</v>
      </c>
      <c r="E1831" s="1">
        <f ca="1">IFERROR(__xludf.DUMMYFUNCTION("""COMPUTED_VALUE"""),5.6)</f>
        <v>5.6</v>
      </c>
      <c r="F1831" s="1">
        <f ca="1">IFERROR(__xludf.DUMMYFUNCTION("""COMPUTED_VALUE"""),758100)</f>
        <v>758100</v>
      </c>
      <c r="I1831" s="1"/>
    </row>
    <row r="1832" spans="1:9">
      <c r="A1832" s="3">
        <f ca="1">IFERROR(__xludf.DUMMYFUNCTION("""COMPUTED_VALUE"""),31866.6666666666)</f>
        <v>31866.666666666599</v>
      </c>
      <c r="B1832" s="1">
        <f ca="1">IFERROR(__xludf.DUMMYFUNCTION("""COMPUTED_VALUE"""),5.49)</f>
        <v>5.49</v>
      </c>
      <c r="C1832" s="1">
        <f ca="1">IFERROR(__xludf.DUMMYFUNCTION("""COMPUTED_VALUE"""),5.53)</f>
        <v>5.53</v>
      </c>
      <c r="D1832" s="1">
        <f ca="1">IFERROR(__xludf.DUMMYFUNCTION("""COMPUTED_VALUE"""),5.37)</f>
        <v>5.37</v>
      </c>
      <c r="E1832" s="1">
        <f ca="1">IFERROR(__xludf.DUMMYFUNCTION("""COMPUTED_VALUE"""),5.49)</f>
        <v>5.49</v>
      </c>
      <c r="F1832" s="1">
        <f ca="1">IFERROR(__xludf.DUMMYFUNCTION("""COMPUTED_VALUE"""),1111800)</f>
        <v>1111800</v>
      </c>
      <c r="I1832" s="1"/>
    </row>
    <row r="1833" spans="1:9">
      <c r="A1833" s="3">
        <f ca="1">IFERROR(__xludf.DUMMYFUNCTION("""COMPUTED_VALUE"""),31867.6666666666)</f>
        <v>31867.666666666599</v>
      </c>
      <c r="B1833" s="1">
        <f ca="1">IFERROR(__xludf.DUMMYFUNCTION("""COMPUTED_VALUE"""),5.53)</f>
        <v>5.53</v>
      </c>
      <c r="C1833" s="1">
        <f ca="1">IFERROR(__xludf.DUMMYFUNCTION("""COMPUTED_VALUE"""),5.59)</f>
        <v>5.59</v>
      </c>
      <c r="D1833" s="1">
        <f ca="1">IFERROR(__xludf.DUMMYFUNCTION("""COMPUTED_VALUE"""),5.49)</f>
        <v>5.49</v>
      </c>
      <c r="E1833" s="1">
        <f ca="1">IFERROR(__xludf.DUMMYFUNCTION("""COMPUTED_VALUE"""),5.53)</f>
        <v>5.53</v>
      </c>
      <c r="F1833" s="1">
        <f ca="1">IFERROR(__xludf.DUMMYFUNCTION("""COMPUTED_VALUE"""),573600)</f>
        <v>573600</v>
      </c>
      <c r="I1833" s="1"/>
    </row>
    <row r="1834" spans="1:9">
      <c r="A1834" s="3">
        <f ca="1">IFERROR(__xludf.DUMMYFUNCTION("""COMPUTED_VALUE"""),31868.6666666666)</f>
        <v>31868.666666666599</v>
      </c>
      <c r="B1834" s="1">
        <f ca="1">IFERROR(__xludf.DUMMYFUNCTION("""COMPUTED_VALUE"""),5.62)</f>
        <v>5.62</v>
      </c>
      <c r="C1834" s="1">
        <f ca="1">IFERROR(__xludf.DUMMYFUNCTION("""COMPUTED_VALUE"""),5.63)</f>
        <v>5.63</v>
      </c>
      <c r="D1834" s="1">
        <f ca="1">IFERROR(__xludf.DUMMYFUNCTION("""COMPUTED_VALUE"""),5.47)</f>
        <v>5.47</v>
      </c>
      <c r="E1834" s="1">
        <f ca="1">IFERROR(__xludf.DUMMYFUNCTION("""COMPUTED_VALUE"""),5.62)</f>
        <v>5.62</v>
      </c>
      <c r="F1834" s="1">
        <f ca="1">IFERROR(__xludf.DUMMYFUNCTION("""COMPUTED_VALUE"""),596200)</f>
        <v>596200</v>
      </c>
      <c r="I1834" s="1"/>
    </row>
    <row r="1835" spans="1:9">
      <c r="A1835" s="3">
        <f ca="1">IFERROR(__xludf.DUMMYFUNCTION("""COMPUTED_VALUE"""),31869.6666666666)</f>
        <v>31869.666666666599</v>
      </c>
      <c r="B1835" s="1">
        <f ca="1">IFERROR(__xludf.DUMMYFUNCTION("""COMPUTED_VALUE"""),5.55)</f>
        <v>5.55</v>
      </c>
      <c r="C1835" s="1">
        <f ca="1">IFERROR(__xludf.DUMMYFUNCTION("""COMPUTED_VALUE"""),5.67)</f>
        <v>5.67</v>
      </c>
      <c r="D1835" s="1">
        <f ca="1">IFERROR(__xludf.DUMMYFUNCTION("""COMPUTED_VALUE"""),5.55)</f>
        <v>5.55</v>
      </c>
      <c r="E1835" s="1">
        <f ca="1">IFERROR(__xludf.DUMMYFUNCTION("""COMPUTED_VALUE"""),5.55)</f>
        <v>5.55</v>
      </c>
      <c r="F1835" s="1">
        <f ca="1">IFERROR(__xludf.DUMMYFUNCTION("""COMPUTED_VALUE"""),607700)</f>
        <v>607700</v>
      </c>
      <c r="I1835" s="1"/>
    </row>
    <row r="1836" spans="1:9">
      <c r="A1836" s="3">
        <f ca="1">IFERROR(__xludf.DUMMYFUNCTION("""COMPUTED_VALUE"""),31870.6666666666)</f>
        <v>31870.666666666599</v>
      </c>
      <c r="B1836" s="1">
        <f ca="1">IFERROR(__xludf.DUMMYFUNCTION("""COMPUTED_VALUE"""),5.62)</f>
        <v>5.62</v>
      </c>
      <c r="C1836" s="1">
        <f ca="1">IFERROR(__xludf.DUMMYFUNCTION("""COMPUTED_VALUE"""),5.67)</f>
        <v>5.67</v>
      </c>
      <c r="D1836" s="1">
        <f ca="1">IFERROR(__xludf.DUMMYFUNCTION("""COMPUTED_VALUE"""),5.48)</f>
        <v>5.48</v>
      </c>
      <c r="E1836" s="1">
        <f ca="1">IFERROR(__xludf.DUMMYFUNCTION("""COMPUTED_VALUE"""),5.62)</f>
        <v>5.62</v>
      </c>
      <c r="F1836" s="1">
        <f ca="1">IFERROR(__xludf.DUMMYFUNCTION("""COMPUTED_VALUE"""),591000)</f>
        <v>591000</v>
      </c>
      <c r="I1836" s="1"/>
    </row>
    <row r="1837" spans="1:9">
      <c r="A1837" s="3">
        <f ca="1">IFERROR(__xludf.DUMMYFUNCTION("""COMPUTED_VALUE"""),31873.6666666666)</f>
        <v>31873.666666666599</v>
      </c>
      <c r="B1837" s="1">
        <f ca="1">IFERROR(__xludf.DUMMYFUNCTION("""COMPUTED_VALUE"""),5.7)</f>
        <v>5.7</v>
      </c>
      <c r="C1837" s="1">
        <f ca="1">IFERROR(__xludf.DUMMYFUNCTION("""COMPUTED_VALUE"""),5.72)</f>
        <v>5.72</v>
      </c>
      <c r="D1837" s="1">
        <f ca="1">IFERROR(__xludf.DUMMYFUNCTION("""COMPUTED_VALUE"""),5.63)</f>
        <v>5.63</v>
      </c>
      <c r="E1837" s="1">
        <f ca="1">IFERROR(__xludf.DUMMYFUNCTION("""COMPUTED_VALUE"""),5.7)</f>
        <v>5.7</v>
      </c>
      <c r="F1837" s="1">
        <f ca="1">IFERROR(__xludf.DUMMYFUNCTION("""COMPUTED_VALUE"""),429200)</f>
        <v>429200</v>
      </c>
      <c r="I1837" s="1"/>
    </row>
    <row r="1838" spans="1:9">
      <c r="A1838" s="3">
        <f ca="1">IFERROR(__xludf.DUMMYFUNCTION("""COMPUTED_VALUE"""),31874.6666666666)</f>
        <v>31874.666666666599</v>
      </c>
      <c r="B1838" s="1">
        <f ca="1">IFERROR(__xludf.DUMMYFUNCTION("""COMPUTED_VALUE"""),5.66)</f>
        <v>5.66</v>
      </c>
      <c r="C1838" s="1">
        <f ca="1">IFERROR(__xludf.DUMMYFUNCTION("""COMPUTED_VALUE"""),5.76)</f>
        <v>5.76</v>
      </c>
      <c r="D1838" s="1">
        <f ca="1">IFERROR(__xludf.DUMMYFUNCTION("""COMPUTED_VALUE"""),5.55)</f>
        <v>5.55</v>
      </c>
      <c r="E1838" s="1">
        <f ca="1">IFERROR(__xludf.DUMMYFUNCTION("""COMPUTED_VALUE"""),5.66)</f>
        <v>5.66</v>
      </c>
      <c r="F1838" s="1">
        <f ca="1">IFERROR(__xludf.DUMMYFUNCTION("""COMPUTED_VALUE"""),689000)</f>
        <v>689000</v>
      </c>
      <c r="I1838" s="1"/>
    </row>
    <row r="1839" spans="1:9">
      <c r="A1839" s="3">
        <f ca="1">IFERROR(__xludf.DUMMYFUNCTION("""COMPUTED_VALUE"""),31875.6666666666)</f>
        <v>31875.666666666599</v>
      </c>
      <c r="B1839" s="1">
        <f ca="1">IFERROR(__xludf.DUMMYFUNCTION("""COMPUTED_VALUE"""),5.66)</f>
        <v>5.66</v>
      </c>
      <c r="C1839" s="1">
        <f ca="1">IFERROR(__xludf.DUMMYFUNCTION("""COMPUTED_VALUE"""),5.67)</f>
        <v>5.67</v>
      </c>
      <c r="D1839" s="1">
        <f ca="1">IFERROR(__xludf.DUMMYFUNCTION("""COMPUTED_VALUE"""),5.56)</f>
        <v>5.56</v>
      </c>
      <c r="E1839" s="1">
        <f ca="1">IFERROR(__xludf.DUMMYFUNCTION("""COMPUTED_VALUE"""),5.66)</f>
        <v>5.66</v>
      </c>
      <c r="F1839" s="1">
        <f ca="1">IFERROR(__xludf.DUMMYFUNCTION("""COMPUTED_VALUE"""),561800)</f>
        <v>561800</v>
      </c>
      <c r="I1839" s="1"/>
    </row>
    <row r="1840" spans="1:9">
      <c r="A1840" s="3">
        <f ca="1">IFERROR(__xludf.DUMMYFUNCTION("""COMPUTED_VALUE"""),31876.6666666666)</f>
        <v>31876.666666666599</v>
      </c>
      <c r="B1840" s="1">
        <f ca="1">IFERROR(__xludf.DUMMYFUNCTION("""COMPUTED_VALUE"""),5.59)</f>
        <v>5.59</v>
      </c>
      <c r="C1840" s="1">
        <f ca="1">IFERROR(__xludf.DUMMYFUNCTION("""COMPUTED_VALUE"""),5.69)</f>
        <v>5.69</v>
      </c>
      <c r="D1840" s="1">
        <f ca="1">IFERROR(__xludf.DUMMYFUNCTION("""COMPUTED_VALUE"""),5.51)</f>
        <v>5.51</v>
      </c>
      <c r="E1840" s="1">
        <f ca="1">IFERROR(__xludf.DUMMYFUNCTION("""COMPUTED_VALUE"""),5.59)</f>
        <v>5.59</v>
      </c>
      <c r="F1840" s="1">
        <f ca="1">IFERROR(__xludf.DUMMYFUNCTION("""COMPUTED_VALUE"""),643600)</f>
        <v>643600</v>
      </c>
      <c r="I1840" s="1"/>
    </row>
    <row r="1841" spans="1:9">
      <c r="A1841" s="3">
        <f ca="1">IFERROR(__xludf.DUMMYFUNCTION("""COMPUTED_VALUE"""),31877.6666666666)</f>
        <v>31877.666666666599</v>
      </c>
      <c r="B1841" s="1">
        <f ca="1">IFERROR(__xludf.DUMMYFUNCTION("""COMPUTED_VALUE"""),5.66)</f>
        <v>5.66</v>
      </c>
      <c r="C1841" s="1">
        <f ca="1">IFERROR(__xludf.DUMMYFUNCTION("""COMPUTED_VALUE"""),5.68)</f>
        <v>5.68</v>
      </c>
      <c r="D1841" s="1">
        <f ca="1">IFERROR(__xludf.DUMMYFUNCTION("""COMPUTED_VALUE"""),5.6)</f>
        <v>5.6</v>
      </c>
      <c r="E1841" s="1">
        <f ca="1">IFERROR(__xludf.DUMMYFUNCTION("""COMPUTED_VALUE"""),5.66)</f>
        <v>5.66</v>
      </c>
      <c r="F1841" s="1">
        <f ca="1">IFERROR(__xludf.DUMMYFUNCTION("""COMPUTED_VALUE"""),466900)</f>
        <v>466900</v>
      </c>
      <c r="I1841" s="1"/>
    </row>
    <row r="1842" spans="1:9">
      <c r="A1842" s="3">
        <f ca="1">IFERROR(__xludf.DUMMYFUNCTION("""COMPUTED_VALUE"""),31880.6666666666)</f>
        <v>31880.666666666599</v>
      </c>
      <c r="B1842" s="1">
        <f ca="1">IFERROR(__xludf.DUMMYFUNCTION("""COMPUTED_VALUE"""),5.56)</f>
        <v>5.56</v>
      </c>
      <c r="C1842" s="1">
        <f ca="1">IFERROR(__xludf.DUMMYFUNCTION("""COMPUTED_VALUE"""),5.73)</f>
        <v>5.73</v>
      </c>
      <c r="D1842" s="1">
        <f ca="1">IFERROR(__xludf.DUMMYFUNCTION("""COMPUTED_VALUE"""),5.56)</f>
        <v>5.56</v>
      </c>
      <c r="E1842" s="1">
        <f ca="1">IFERROR(__xludf.DUMMYFUNCTION("""COMPUTED_VALUE"""),5.56)</f>
        <v>5.56</v>
      </c>
      <c r="F1842" s="1">
        <f ca="1">IFERROR(__xludf.DUMMYFUNCTION("""COMPUTED_VALUE"""),629000)</f>
        <v>629000</v>
      </c>
      <c r="I1842" s="1"/>
    </row>
    <row r="1843" spans="1:9">
      <c r="A1843" s="3">
        <f ca="1">IFERROR(__xludf.DUMMYFUNCTION("""COMPUTED_VALUE"""),31881.6666666666)</f>
        <v>31881.666666666599</v>
      </c>
      <c r="B1843" s="1">
        <f ca="1">IFERROR(__xludf.DUMMYFUNCTION("""COMPUTED_VALUE"""),5.34)</f>
        <v>5.34</v>
      </c>
      <c r="C1843" s="1">
        <f ca="1">IFERROR(__xludf.DUMMYFUNCTION("""COMPUTED_VALUE"""),5.5)</f>
        <v>5.5</v>
      </c>
      <c r="D1843" s="1">
        <f ca="1">IFERROR(__xludf.DUMMYFUNCTION("""COMPUTED_VALUE"""),5.2)</f>
        <v>5.2</v>
      </c>
      <c r="E1843" s="1">
        <f ca="1">IFERROR(__xludf.DUMMYFUNCTION("""COMPUTED_VALUE"""),5.34)</f>
        <v>5.34</v>
      </c>
      <c r="F1843" s="1">
        <f ca="1">IFERROR(__xludf.DUMMYFUNCTION("""COMPUTED_VALUE"""),1146600)</f>
        <v>1146600</v>
      </c>
      <c r="I1843" s="1"/>
    </row>
    <row r="1844" spans="1:9">
      <c r="A1844" s="3">
        <f ca="1">IFERROR(__xludf.DUMMYFUNCTION("""COMPUTED_VALUE"""),31882.6666666666)</f>
        <v>31882.666666666599</v>
      </c>
      <c r="B1844" s="1">
        <f ca="1">IFERROR(__xludf.DUMMYFUNCTION("""COMPUTED_VALUE"""),5.39)</f>
        <v>5.39</v>
      </c>
      <c r="C1844" s="1">
        <f ca="1">IFERROR(__xludf.DUMMYFUNCTION("""COMPUTED_VALUE"""),5.44)</f>
        <v>5.44</v>
      </c>
      <c r="D1844" s="1">
        <f ca="1">IFERROR(__xludf.DUMMYFUNCTION("""COMPUTED_VALUE"""),5.32)</f>
        <v>5.32</v>
      </c>
      <c r="E1844" s="1">
        <f ca="1">IFERROR(__xludf.DUMMYFUNCTION("""COMPUTED_VALUE"""),5.39)</f>
        <v>5.39</v>
      </c>
      <c r="F1844" s="1">
        <f ca="1">IFERROR(__xludf.DUMMYFUNCTION("""COMPUTED_VALUE"""),777700)</f>
        <v>777700</v>
      </c>
      <c r="I1844" s="1"/>
    </row>
    <row r="1845" spans="1:9">
      <c r="A1845" s="3">
        <f ca="1">IFERROR(__xludf.DUMMYFUNCTION("""COMPUTED_VALUE"""),31883.6666666666)</f>
        <v>31883.666666666599</v>
      </c>
      <c r="B1845" s="1">
        <f ca="1">IFERROR(__xludf.DUMMYFUNCTION("""COMPUTED_VALUE"""),5.39)</f>
        <v>5.39</v>
      </c>
      <c r="C1845" s="1">
        <f ca="1">IFERROR(__xludf.DUMMYFUNCTION("""COMPUTED_VALUE"""),5.45)</f>
        <v>5.45</v>
      </c>
      <c r="D1845" s="1">
        <f ca="1">IFERROR(__xludf.DUMMYFUNCTION("""COMPUTED_VALUE"""),5.33)</f>
        <v>5.33</v>
      </c>
      <c r="E1845" s="1">
        <f ca="1">IFERROR(__xludf.DUMMYFUNCTION("""COMPUTED_VALUE"""),5.39)</f>
        <v>5.39</v>
      </c>
      <c r="F1845" s="1">
        <f ca="1">IFERROR(__xludf.DUMMYFUNCTION("""COMPUTED_VALUE"""),1010200)</f>
        <v>1010200</v>
      </c>
      <c r="I1845" s="1"/>
    </row>
    <row r="1846" spans="1:9">
      <c r="A1846" s="3">
        <f ca="1">IFERROR(__xludf.DUMMYFUNCTION("""COMPUTED_VALUE"""),31887.6666666666)</f>
        <v>31887.666666666599</v>
      </c>
      <c r="B1846" s="1">
        <f ca="1">IFERROR(__xludf.DUMMYFUNCTION("""COMPUTED_VALUE"""),5.36)</f>
        <v>5.36</v>
      </c>
      <c r="C1846" s="1">
        <f ca="1">IFERROR(__xludf.DUMMYFUNCTION("""COMPUTED_VALUE"""),5.38)</f>
        <v>5.38</v>
      </c>
      <c r="D1846" s="1">
        <f ca="1">IFERROR(__xludf.DUMMYFUNCTION("""COMPUTED_VALUE"""),5.33)</f>
        <v>5.33</v>
      </c>
      <c r="E1846" s="1">
        <f ca="1">IFERROR(__xludf.DUMMYFUNCTION("""COMPUTED_VALUE"""),5.36)</f>
        <v>5.36</v>
      </c>
      <c r="F1846" s="1">
        <f ca="1">IFERROR(__xludf.DUMMYFUNCTION("""COMPUTED_VALUE"""),426200)</f>
        <v>426200</v>
      </c>
      <c r="I1846" s="1"/>
    </row>
    <row r="1847" spans="1:9">
      <c r="A1847" s="3">
        <f ca="1">IFERROR(__xludf.DUMMYFUNCTION("""COMPUTED_VALUE"""),31888.6666666666)</f>
        <v>31888.666666666599</v>
      </c>
      <c r="B1847" s="1">
        <f ca="1">IFERROR(__xludf.DUMMYFUNCTION("""COMPUTED_VALUE"""),5.53)</f>
        <v>5.53</v>
      </c>
      <c r="C1847" s="1">
        <f ca="1">IFERROR(__xludf.DUMMYFUNCTION("""COMPUTED_VALUE"""),5.58)</f>
        <v>5.58</v>
      </c>
      <c r="D1847" s="1">
        <f ca="1">IFERROR(__xludf.DUMMYFUNCTION("""COMPUTED_VALUE"""),5.3)</f>
        <v>5.3</v>
      </c>
      <c r="E1847" s="1">
        <f ca="1">IFERROR(__xludf.DUMMYFUNCTION("""COMPUTED_VALUE"""),5.53)</f>
        <v>5.53</v>
      </c>
      <c r="F1847" s="1">
        <f ca="1">IFERROR(__xludf.DUMMYFUNCTION("""COMPUTED_VALUE"""),641100)</f>
        <v>641100</v>
      </c>
      <c r="I1847" s="1"/>
    </row>
    <row r="1848" spans="1:9">
      <c r="A1848" s="3">
        <f ca="1">IFERROR(__xludf.DUMMYFUNCTION("""COMPUTED_VALUE"""),31889.6666666666)</f>
        <v>31889.666666666599</v>
      </c>
      <c r="B1848" s="1">
        <f ca="1">IFERROR(__xludf.DUMMYFUNCTION("""COMPUTED_VALUE"""),5.46)</f>
        <v>5.46</v>
      </c>
      <c r="C1848" s="1">
        <f ca="1">IFERROR(__xludf.DUMMYFUNCTION("""COMPUTED_VALUE"""),5.64)</f>
        <v>5.64</v>
      </c>
      <c r="D1848" s="1">
        <f ca="1">IFERROR(__xludf.DUMMYFUNCTION("""COMPUTED_VALUE"""),5.46)</f>
        <v>5.46</v>
      </c>
      <c r="E1848" s="1">
        <f ca="1">IFERROR(__xludf.DUMMYFUNCTION("""COMPUTED_VALUE"""),5.46)</f>
        <v>5.46</v>
      </c>
      <c r="F1848" s="1">
        <f ca="1">IFERROR(__xludf.DUMMYFUNCTION("""COMPUTED_VALUE"""),800000)</f>
        <v>800000</v>
      </c>
      <c r="I1848" s="1"/>
    </row>
    <row r="1849" spans="1:9">
      <c r="A1849" s="3">
        <f ca="1">IFERROR(__xludf.DUMMYFUNCTION("""COMPUTED_VALUE"""),31890.6666666666)</f>
        <v>31890.666666666599</v>
      </c>
      <c r="B1849" s="1">
        <f ca="1">IFERROR(__xludf.DUMMYFUNCTION("""COMPUTED_VALUE"""),5.5)</f>
        <v>5.5</v>
      </c>
      <c r="C1849" s="1">
        <f ca="1">IFERROR(__xludf.DUMMYFUNCTION("""COMPUTED_VALUE"""),5.58)</f>
        <v>5.58</v>
      </c>
      <c r="D1849" s="1">
        <f ca="1">IFERROR(__xludf.DUMMYFUNCTION("""COMPUTED_VALUE"""),5.4)</f>
        <v>5.4</v>
      </c>
      <c r="E1849" s="1">
        <f ca="1">IFERROR(__xludf.DUMMYFUNCTION("""COMPUTED_VALUE"""),5.5)</f>
        <v>5.5</v>
      </c>
      <c r="F1849" s="1">
        <f ca="1">IFERROR(__xludf.DUMMYFUNCTION("""COMPUTED_VALUE"""),737200)</f>
        <v>737200</v>
      </c>
      <c r="I1849" s="1"/>
    </row>
    <row r="1850" spans="1:9">
      <c r="A1850" s="3">
        <f ca="1">IFERROR(__xludf.DUMMYFUNCTION("""COMPUTED_VALUE"""),31891.6666666666)</f>
        <v>31891.666666666599</v>
      </c>
      <c r="B1850" s="1">
        <f ca="1">IFERROR(__xludf.DUMMYFUNCTION("""COMPUTED_VALUE"""),5.44)</f>
        <v>5.44</v>
      </c>
      <c r="C1850" s="1">
        <f ca="1">IFERROR(__xludf.DUMMYFUNCTION("""COMPUTED_VALUE"""),5.53)</f>
        <v>5.53</v>
      </c>
      <c r="D1850" s="1">
        <f ca="1">IFERROR(__xludf.DUMMYFUNCTION("""COMPUTED_VALUE"""),5.39)</f>
        <v>5.39</v>
      </c>
      <c r="E1850" s="1">
        <f ca="1">IFERROR(__xludf.DUMMYFUNCTION("""COMPUTED_VALUE"""),5.44)</f>
        <v>5.44</v>
      </c>
      <c r="F1850" s="1">
        <f ca="1">IFERROR(__xludf.DUMMYFUNCTION("""COMPUTED_VALUE"""),702100)</f>
        <v>702100</v>
      </c>
      <c r="I1850" s="1"/>
    </row>
    <row r="1851" spans="1:9">
      <c r="A1851" s="3">
        <f ca="1">IFERROR(__xludf.DUMMYFUNCTION("""COMPUTED_VALUE"""),31894.6666666666)</f>
        <v>31894.666666666599</v>
      </c>
      <c r="B1851" s="1">
        <f ca="1">IFERROR(__xludf.DUMMYFUNCTION("""COMPUTED_VALUE"""),5.45)</f>
        <v>5.45</v>
      </c>
      <c r="C1851" s="1">
        <f ca="1">IFERROR(__xludf.DUMMYFUNCTION("""COMPUTED_VALUE"""),5.48)</f>
        <v>5.48</v>
      </c>
      <c r="D1851" s="1">
        <f ca="1">IFERROR(__xludf.DUMMYFUNCTION("""COMPUTED_VALUE"""),5.31)</f>
        <v>5.31</v>
      </c>
      <c r="E1851" s="1">
        <f ca="1">IFERROR(__xludf.DUMMYFUNCTION("""COMPUTED_VALUE"""),5.45)</f>
        <v>5.45</v>
      </c>
      <c r="F1851" s="1">
        <f ca="1">IFERROR(__xludf.DUMMYFUNCTION("""COMPUTED_VALUE"""),854500)</f>
        <v>854500</v>
      </c>
      <c r="I1851" s="1"/>
    </row>
    <row r="1852" spans="1:9">
      <c r="A1852" s="3">
        <f ca="1">IFERROR(__xludf.DUMMYFUNCTION("""COMPUTED_VALUE"""),31895.6666666666)</f>
        <v>31895.666666666599</v>
      </c>
      <c r="B1852" s="1">
        <f ca="1">IFERROR(__xludf.DUMMYFUNCTION("""COMPUTED_VALUE"""),5.49)</f>
        <v>5.49</v>
      </c>
      <c r="C1852" s="1">
        <f ca="1">IFERROR(__xludf.DUMMYFUNCTION("""COMPUTED_VALUE"""),5.58)</f>
        <v>5.58</v>
      </c>
      <c r="D1852" s="1">
        <f ca="1">IFERROR(__xludf.DUMMYFUNCTION("""COMPUTED_VALUE"""),5.48)</f>
        <v>5.48</v>
      </c>
      <c r="E1852" s="1">
        <f ca="1">IFERROR(__xludf.DUMMYFUNCTION("""COMPUTED_VALUE"""),5.49)</f>
        <v>5.49</v>
      </c>
      <c r="F1852" s="1">
        <f ca="1">IFERROR(__xludf.DUMMYFUNCTION("""COMPUTED_VALUE"""),642900)</f>
        <v>642900</v>
      </c>
      <c r="I1852" s="1"/>
    </row>
    <row r="1853" spans="1:9">
      <c r="A1853" s="3">
        <f ca="1">IFERROR(__xludf.DUMMYFUNCTION("""COMPUTED_VALUE"""),31896.6666666666)</f>
        <v>31896.666666666599</v>
      </c>
      <c r="B1853" s="1">
        <f ca="1">IFERROR(__xludf.DUMMYFUNCTION("""COMPUTED_VALUE"""),5.45)</f>
        <v>5.45</v>
      </c>
      <c r="C1853" s="1">
        <f ca="1">IFERROR(__xludf.DUMMYFUNCTION("""COMPUTED_VALUE"""),5.58)</f>
        <v>5.58</v>
      </c>
      <c r="D1853" s="1">
        <f ca="1">IFERROR(__xludf.DUMMYFUNCTION("""COMPUTED_VALUE"""),5.43)</f>
        <v>5.43</v>
      </c>
      <c r="E1853" s="1">
        <f ca="1">IFERROR(__xludf.DUMMYFUNCTION("""COMPUTED_VALUE"""),5.45)</f>
        <v>5.45</v>
      </c>
      <c r="F1853" s="1">
        <f ca="1">IFERROR(__xludf.DUMMYFUNCTION("""COMPUTED_VALUE"""),623300)</f>
        <v>623300</v>
      </c>
      <c r="I1853" s="1"/>
    </row>
    <row r="1854" spans="1:9">
      <c r="A1854" s="3">
        <f ca="1">IFERROR(__xludf.DUMMYFUNCTION("""COMPUTED_VALUE"""),31897.6666666666)</f>
        <v>31897.666666666599</v>
      </c>
      <c r="B1854" s="1">
        <f ca="1">IFERROR(__xludf.DUMMYFUNCTION("""COMPUTED_VALUE"""),5.45)</f>
        <v>5.45</v>
      </c>
      <c r="C1854" s="1">
        <f ca="1">IFERROR(__xludf.DUMMYFUNCTION("""COMPUTED_VALUE"""),5.53)</f>
        <v>5.53</v>
      </c>
      <c r="D1854" s="1">
        <f ca="1">IFERROR(__xludf.DUMMYFUNCTION("""COMPUTED_VALUE"""),5.44)</f>
        <v>5.44</v>
      </c>
      <c r="E1854" s="1">
        <f ca="1">IFERROR(__xludf.DUMMYFUNCTION("""COMPUTED_VALUE"""),5.45)</f>
        <v>5.45</v>
      </c>
      <c r="F1854" s="1">
        <f ca="1">IFERROR(__xludf.DUMMYFUNCTION("""COMPUTED_VALUE"""),456100)</f>
        <v>456100</v>
      </c>
      <c r="I1854" s="1"/>
    </row>
    <row r="1855" spans="1:9">
      <c r="A1855" s="3">
        <f ca="1">IFERROR(__xludf.DUMMYFUNCTION("""COMPUTED_VALUE"""),31898.6666666666)</f>
        <v>31898.666666666599</v>
      </c>
      <c r="B1855" s="1">
        <f ca="1">IFERROR(__xludf.DUMMYFUNCTION("""COMPUTED_VALUE"""),5.38)</f>
        <v>5.38</v>
      </c>
      <c r="C1855" s="1">
        <f ca="1">IFERROR(__xludf.DUMMYFUNCTION("""COMPUTED_VALUE"""),5.47)</f>
        <v>5.47</v>
      </c>
      <c r="D1855" s="1">
        <f ca="1">IFERROR(__xludf.DUMMYFUNCTION("""COMPUTED_VALUE"""),5.35)</f>
        <v>5.35</v>
      </c>
      <c r="E1855" s="1">
        <f ca="1">IFERROR(__xludf.DUMMYFUNCTION("""COMPUTED_VALUE"""),5.38)</f>
        <v>5.38</v>
      </c>
      <c r="F1855" s="1">
        <f ca="1">IFERROR(__xludf.DUMMYFUNCTION("""COMPUTED_VALUE"""),431700)</f>
        <v>431700</v>
      </c>
      <c r="I1855" s="1"/>
    </row>
    <row r="1856" spans="1:9">
      <c r="A1856" s="3">
        <f ca="1">IFERROR(__xludf.DUMMYFUNCTION("""COMPUTED_VALUE"""),31901.6666666666)</f>
        <v>31901.666666666599</v>
      </c>
      <c r="B1856" s="1">
        <f ca="1">IFERROR(__xludf.DUMMYFUNCTION("""COMPUTED_VALUE"""),5.42)</f>
        <v>5.42</v>
      </c>
      <c r="C1856" s="1">
        <f ca="1">IFERROR(__xludf.DUMMYFUNCTION("""COMPUTED_VALUE"""),5.47)</f>
        <v>5.47</v>
      </c>
      <c r="D1856" s="1">
        <f ca="1">IFERROR(__xludf.DUMMYFUNCTION("""COMPUTED_VALUE"""),5.35)</f>
        <v>5.35</v>
      </c>
      <c r="E1856" s="1">
        <f ca="1">IFERROR(__xludf.DUMMYFUNCTION("""COMPUTED_VALUE"""),5.42)</f>
        <v>5.42</v>
      </c>
      <c r="F1856" s="1">
        <f ca="1">IFERROR(__xludf.DUMMYFUNCTION("""COMPUTED_VALUE"""),253200)</f>
        <v>253200</v>
      </c>
      <c r="I1856" s="1"/>
    </row>
    <row r="1857" spans="1:9">
      <c r="A1857" s="3">
        <f ca="1">IFERROR(__xludf.DUMMYFUNCTION("""COMPUTED_VALUE"""),31902.6666666666)</f>
        <v>31902.666666666599</v>
      </c>
      <c r="B1857" s="1">
        <f ca="1">IFERROR(__xludf.DUMMYFUNCTION("""COMPUTED_VALUE"""),5.61)</f>
        <v>5.61</v>
      </c>
      <c r="C1857" s="1">
        <f ca="1">IFERROR(__xludf.DUMMYFUNCTION("""COMPUTED_VALUE"""),5.64)</f>
        <v>5.64</v>
      </c>
      <c r="D1857" s="1">
        <f ca="1">IFERROR(__xludf.DUMMYFUNCTION("""COMPUTED_VALUE"""),5.41)</f>
        <v>5.41</v>
      </c>
      <c r="E1857" s="1">
        <f ca="1">IFERROR(__xludf.DUMMYFUNCTION("""COMPUTED_VALUE"""),5.61)</f>
        <v>5.61</v>
      </c>
      <c r="F1857" s="1">
        <f ca="1">IFERROR(__xludf.DUMMYFUNCTION("""COMPUTED_VALUE"""),422000)</f>
        <v>422000</v>
      </c>
      <c r="I1857" s="1"/>
    </row>
    <row r="1858" spans="1:9">
      <c r="A1858" s="3">
        <f ca="1">IFERROR(__xludf.DUMMYFUNCTION("""COMPUTED_VALUE"""),31903.6666666666)</f>
        <v>31903.666666666599</v>
      </c>
      <c r="B1858" s="1">
        <f ca="1">IFERROR(__xludf.DUMMYFUNCTION("""COMPUTED_VALUE"""),5.53)</f>
        <v>5.53</v>
      </c>
      <c r="C1858" s="1">
        <f ca="1">IFERROR(__xludf.DUMMYFUNCTION("""COMPUTED_VALUE"""),5.64)</f>
        <v>5.64</v>
      </c>
      <c r="D1858" s="1">
        <f ca="1">IFERROR(__xludf.DUMMYFUNCTION("""COMPUTED_VALUE"""),5.48)</f>
        <v>5.48</v>
      </c>
      <c r="E1858" s="1">
        <f ca="1">IFERROR(__xludf.DUMMYFUNCTION("""COMPUTED_VALUE"""),5.53)</f>
        <v>5.53</v>
      </c>
      <c r="F1858" s="1">
        <f ca="1">IFERROR(__xludf.DUMMYFUNCTION("""COMPUTED_VALUE"""),440700)</f>
        <v>440700</v>
      </c>
      <c r="I1858" s="1"/>
    </row>
    <row r="1859" spans="1:9">
      <c r="A1859" s="3">
        <f ca="1">IFERROR(__xludf.DUMMYFUNCTION("""COMPUTED_VALUE"""),31904.6666666666)</f>
        <v>31904.666666666599</v>
      </c>
      <c r="B1859" s="1">
        <f ca="1">IFERROR(__xludf.DUMMYFUNCTION("""COMPUTED_VALUE"""),5.47)</f>
        <v>5.47</v>
      </c>
      <c r="C1859" s="1">
        <f ca="1">IFERROR(__xludf.DUMMYFUNCTION("""COMPUTED_VALUE"""),5.55)</f>
        <v>5.55</v>
      </c>
      <c r="D1859" s="1">
        <f ca="1">IFERROR(__xludf.DUMMYFUNCTION("""COMPUTED_VALUE"""),5.47)</f>
        <v>5.47</v>
      </c>
      <c r="E1859" s="1">
        <f ca="1">IFERROR(__xludf.DUMMYFUNCTION("""COMPUTED_VALUE"""),5.47)</f>
        <v>5.47</v>
      </c>
      <c r="F1859" s="1">
        <f ca="1">IFERROR(__xludf.DUMMYFUNCTION("""COMPUTED_VALUE"""),460300)</f>
        <v>460300</v>
      </c>
      <c r="I1859" s="1"/>
    </row>
    <row r="1860" spans="1:9">
      <c r="A1860" s="3">
        <f ca="1">IFERROR(__xludf.DUMMYFUNCTION("""COMPUTED_VALUE"""),31905.6666666666)</f>
        <v>31905.666666666599</v>
      </c>
      <c r="B1860" s="1">
        <f ca="1">IFERROR(__xludf.DUMMYFUNCTION("""COMPUTED_VALUE"""),5.45)</f>
        <v>5.45</v>
      </c>
      <c r="C1860" s="1">
        <f ca="1">IFERROR(__xludf.DUMMYFUNCTION("""COMPUTED_VALUE"""),5.51)</f>
        <v>5.51</v>
      </c>
      <c r="D1860" s="1">
        <f ca="1">IFERROR(__xludf.DUMMYFUNCTION("""COMPUTED_VALUE"""),5.39)</f>
        <v>5.39</v>
      </c>
      <c r="E1860" s="1">
        <f ca="1">IFERROR(__xludf.DUMMYFUNCTION("""COMPUTED_VALUE"""),5.45)</f>
        <v>5.45</v>
      </c>
      <c r="F1860" s="1">
        <f ca="1">IFERROR(__xludf.DUMMYFUNCTION("""COMPUTED_VALUE"""),318100)</f>
        <v>318100</v>
      </c>
      <c r="I1860" s="1"/>
    </row>
    <row r="1861" spans="1:9">
      <c r="A1861" s="3">
        <f ca="1">IFERROR(__xludf.DUMMYFUNCTION("""COMPUTED_VALUE"""),31908.6666666666)</f>
        <v>31908.666666666599</v>
      </c>
      <c r="B1861" s="1">
        <f ca="1">IFERROR(__xludf.DUMMYFUNCTION("""COMPUTED_VALUE"""),5.37)</f>
        <v>5.37</v>
      </c>
      <c r="C1861" s="1">
        <f ca="1">IFERROR(__xludf.DUMMYFUNCTION("""COMPUTED_VALUE"""),5.65)</f>
        <v>5.65</v>
      </c>
      <c r="D1861" s="1">
        <f ca="1">IFERROR(__xludf.DUMMYFUNCTION("""COMPUTED_VALUE"""),5.37)</f>
        <v>5.37</v>
      </c>
      <c r="E1861" s="1">
        <f ca="1">IFERROR(__xludf.DUMMYFUNCTION("""COMPUTED_VALUE"""),5.37)</f>
        <v>5.37</v>
      </c>
      <c r="F1861" s="1">
        <f ca="1">IFERROR(__xludf.DUMMYFUNCTION("""COMPUTED_VALUE"""),530300)</f>
        <v>530300</v>
      </c>
      <c r="I1861" s="1"/>
    </row>
    <row r="1862" spans="1:9">
      <c r="A1862" s="3">
        <f ca="1">IFERROR(__xludf.DUMMYFUNCTION("""COMPUTED_VALUE"""),31909.6666666666)</f>
        <v>31909.666666666599</v>
      </c>
      <c r="B1862" s="1">
        <f ca="1">IFERROR(__xludf.DUMMYFUNCTION("""COMPUTED_VALUE"""),5.4)</f>
        <v>5.4</v>
      </c>
      <c r="C1862" s="1">
        <f ca="1">IFERROR(__xludf.DUMMYFUNCTION("""COMPUTED_VALUE"""),5.41)</f>
        <v>5.41</v>
      </c>
      <c r="D1862" s="1">
        <f ca="1">IFERROR(__xludf.DUMMYFUNCTION("""COMPUTED_VALUE"""),5.31)</f>
        <v>5.31</v>
      </c>
      <c r="E1862" s="1">
        <f ca="1">IFERROR(__xludf.DUMMYFUNCTION("""COMPUTED_VALUE"""),5.4)</f>
        <v>5.4</v>
      </c>
      <c r="F1862" s="1">
        <f ca="1">IFERROR(__xludf.DUMMYFUNCTION("""COMPUTED_VALUE"""),453800)</f>
        <v>453800</v>
      </c>
      <c r="I1862" s="1"/>
    </row>
    <row r="1863" spans="1:9">
      <c r="A1863" s="3">
        <f ca="1">IFERROR(__xludf.DUMMYFUNCTION("""COMPUTED_VALUE"""),31910.6666666666)</f>
        <v>31910.666666666599</v>
      </c>
      <c r="B1863" s="1">
        <f ca="1">IFERROR(__xludf.DUMMYFUNCTION("""COMPUTED_VALUE"""),5.38)</f>
        <v>5.38</v>
      </c>
      <c r="C1863" s="1">
        <f ca="1">IFERROR(__xludf.DUMMYFUNCTION("""COMPUTED_VALUE"""),5.45)</f>
        <v>5.45</v>
      </c>
      <c r="D1863" s="1">
        <f ca="1">IFERROR(__xludf.DUMMYFUNCTION("""COMPUTED_VALUE"""),5.34)</f>
        <v>5.34</v>
      </c>
      <c r="E1863" s="1">
        <f ca="1">IFERROR(__xludf.DUMMYFUNCTION("""COMPUTED_VALUE"""),5.38)</f>
        <v>5.38</v>
      </c>
      <c r="F1863" s="1">
        <f ca="1">IFERROR(__xludf.DUMMYFUNCTION("""COMPUTED_VALUE"""),610900)</f>
        <v>610900</v>
      </c>
      <c r="I1863" s="1"/>
    </row>
    <row r="1864" spans="1:9">
      <c r="A1864" s="3">
        <f ca="1">IFERROR(__xludf.DUMMYFUNCTION("""COMPUTED_VALUE"""),31911.6666666666)</f>
        <v>31911.666666666599</v>
      </c>
      <c r="B1864" s="1">
        <f ca="1">IFERROR(__xludf.DUMMYFUNCTION("""COMPUTED_VALUE"""),5.35)</f>
        <v>5.35</v>
      </c>
      <c r="C1864" s="1">
        <f ca="1">IFERROR(__xludf.DUMMYFUNCTION("""COMPUTED_VALUE"""),5.4)</f>
        <v>5.4</v>
      </c>
      <c r="D1864" s="1">
        <f ca="1">IFERROR(__xludf.DUMMYFUNCTION("""COMPUTED_VALUE"""),5.31)</f>
        <v>5.31</v>
      </c>
      <c r="E1864" s="1">
        <f ca="1">IFERROR(__xludf.DUMMYFUNCTION("""COMPUTED_VALUE"""),5.35)</f>
        <v>5.35</v>
      </c>
      <c r="F1864" s="1">
        <f ca="1">IFERROR(__xludf.DUMMYFUNCTION("""COMPUTED_VALUE"""),333100)</f>
        <v>333100</v>
      </c>
      <c r="I1864" s="1"/>
    </row>
    <row r="1865" spans="1:9">
      <c r="A1865" s="3">
        <f ca="1">IFERROR(__xludf.DUMMYFUNCTION("""COMPUTED_VALUE"""),31912.6666666666)</f>
        <v>31912.666666666599</v>
      </c>
      <c r="B1865" s="1">
        <f ca="1">IFERROR(__xludf.DUMMYFUNCTION("""COMPUTED_VALUE"""),5.2)</f>
        <v>5.2</v>
      </c>
      <c r="C1865" s="1">
        <f ca="1">IFERROR(__xludf.DUMMYFUNCTION("""COMPUTED_VALUE"""),5.34)</f>
        <v>5.34</v>
      </c>
      <c r="D1865" s="1">
        <f ca="1">IFERROR(__xludf.DUMMYFUNCTION("""COMPUTED_VALUE"""),5.16)</f>
        <v>5.16</v>
      </c>
      <c r="E1865" s="1">
        <f ca="1">IFERROR(__xludf.DUMMYFUNCTION("""COMPUTED_VALUE"""),5.2)</f>
        <v>5.2</v>
      </c>
      <c r="F1865" s="1">
        <f ca="1">IFERROR(__xludf.DUMMYFUNCTION("""COMPUTED_VALUE"""),716300)</f>
        <v>716300</v>
      </c>
      <c r="I1865" s="1"/>
    </row>
    <row r="1866" spans="1:9">
      <c r="A1866" s="3">
        <f ca="1">IFERROR(__xludf.DUMMYFUNCTION("""COMPUTED_VALUE"""),31915.6666666666)</f>
        <v>31915.666666666599</v>
      </c>
      <c r="B1866" s="1">
        <f ca="1">IFERROR(__xludf.DUMMYFUNCTION("""COMPUTED_VALUE"""),5.17)</f>
        <v>5.17</v>
      </c>
      <c r="C1866" s="1">
        <f ca="1">IFERROR(__xludf.DUMMYFUNCTION("""COMPUTED_VALUE"""),5.21)</f>
        <v>5.21</v>
      </c>
      <c r="D1866" s="1">
        <f ca="1">IFERROR(__xludf.DUMMYFUNCTION("""COMPUTED_VALUE"""),5.05)</f>
        <v>5.05</v>
      </c>
      <c r="E1866" s="1">
        <f ca="1">IFERROR(__xludf.DUMMYFUNCTION("""COMPUTED_VALUE"""),5.17)</f>
        <v>5.17</v>
      </c>
      <c r="F1866" s="1">
        <f ca="1">IFERROR(__xludf.DUMMYFUNCTION("""COMPUTED_VALUE"""),703200)</f>
        <v>703200</v>
      </c>
      <c r="I1866" s="1"/>
    </row>
    <row r="1867" spans="1:9">
      <c r="A1867" s="3">
        <f ca="1">IFERROR(__xludf.DUMMYFUNCTION("""COMPUTED_VALUE"""),31916.6666666666)</f>
        <v>31916.666666666599</v>
      </c>
      <c r="B1867" s="1">
        <f ca="1">IFERROR(__xludf.DUMMYFUNCTION("""COMPUTED_VALUE"""),5.05)</f>
        <v>5.05</v>
      </c>
      <c r="C1867" s="1">
        <f ca="1">IFERROR(__xludf.DUMMYFUNCTION("""COMPUTED_VALUE"""),5.24)</f>
        <v>5.24</v>
      </c>
      <c r="D1867" s="1">
        <f ca="1">IFERROR(__xludf.DUMMYFUNCTION("""COMPUTED_VALUE"""),5.05)</f>
        <v>5.05</v>
      </c>
      <c r="E1867" s="1">
        <f ca="1">IFERROR(__xludf.DUMMYFUNCTION("""COMPUTED_VALUE"""),5.05)</f>
        <v>5.05</v>
      </c>
      <c r="F1867" s="1">
        <f ca="1">IFERROR(__xludf.DUMMYFUNCTION("""COMPUTED_VALUE"""),674000)</f>
        <v>674000</v>
      </c>
      <c r="I1867" s="1"/>
    </row>
    <row r="1868" spans="1:9">
      <c r="A1868" s="3">
        <f ca="1">IFERROR(__xludf.DUMMYFUNCTION("""COMPUTED_VALUE"""),31917.6666666666)</f>
        <v>31917.666666666599</v>
      </c>
      <c r="B1868" s="1">
        <f ca="1">IFERROR(__xludf.DUMMYFUNCTION("""COMPUTED_VALUE"""),5.16)</f>
        <v>5.16</v>
      </c>
      <c r="C1868" s="1">
        <f ca="1">IFERROR(__xludf.DUMMYFUNCTION("""COMPUTED_VALUE"""),5.2)</f>
        <v>5.2</v>
      </c>
      <c r="D1868" s="1">
        <f ca="1">IFERROR(__xludf.DUMMYFUNCTION("""COMPUTED_VALUE"""),5.02)</f>
        <v>5.0199999999999996</v>
      </c>
      <c r="E1868" s="1">
        <f ca="1">IFERROR(__xludf.DUMMYFUNCTION("""COMPUTED_VALUE"""),5.16)</f>
        <v>5.16</v>
      </c>
      <c r="F1868" s="1">
        <f ca="1">IFERROR(__xludf.DUMMYFUNCTION("""COMPUTED_VALUE"""),636400)</f>
        <v>636400</v>
      </c>
      <c r="I1868" s="1"/>
    </row>
    <row r="1869" spans="1:9">
      <c r="A1869" s="3">
        <f ca="1">IFERROR(__xludf.DUMMYFUNCTION("""COMPUTED_VALUE"""),31918.6666666666)</f>
        <v>31918.666666666599</v>
      </c>
      <c r="B1869" s="1">
        <f ca="1">IFERROR(__xludf.DUMMYFUNCTION("""COMPUTED_VALUE"""),5.16)</f>
        <v>5.16</v>
      </c>
      <c r="C1869" s="1">
        <f ca="1">IFERROR(__xludf.DUMMYFUNCTION("""COMPUTED_VALUE"""),5.28)</f>
        <v>5.28</v>
      </c>
      <c r="D1869" s="1">
        <f ca="1">IFERROR(__xludf.DUMMYFUNCTION("""COMPUTED_VALUE"""),5.16)</f>
        <v>5.16</v>
      </c>
      <c r="E1869" s="1">
        <f ca="1">IFERROR(__xludf.DUMMYFUNCTION("""COMPUTED_VALUE"""),5.16)</f>
        <v>5.16</v>
      </c>
      <c r="F1869" s="1">
        <f ca="1">IFERROR(__xludf.DUMMYFUNCTION("""COMPUTED_VALUE"""),344300)</f>
        <v>344300</v>
      </c>
      <c r="I1869" s="1"/>
    </row>
    <row r="1870" spans="1:9">
      <c r="A1870" s="3">
        <f ca="1">IFERROR(__xludf.DUMMYFUNCTION("""COMPUTED_VALUE"""),31919.6666666666)</f>
        <v>31919.666666666599</v>
      </c>
      <c r="B1870" s="1">
        <f ca="1">IFERROR(__xludf.DUMMYFUNCTION("""COMPUTED_VALUE"""),5.19)</f>
        <v>5.19</v>
      </c>
      <c r="C1870" s="1">
        <f ca="1">IFERROR(__xludf.DUMMYFUNCTION("""COMPUTED_VALUE"""),5.23)</f>
        <v>5.23</v>
      </c>
      <c r="D1870" s="1">
        <f ca="1">IFERROR(__xludf.DUMMYFUNCTION("""COMPUTED_VALUE"""),5.16)</f>
        <v>5.16</v>
      </c>
      <c r="E1870" s="1">
        <f ca="1">IFERROR(__xludf.DUMMYFUNCTION("""COMPUTED_VALUE"""),5.19)</f>
        <v>5.19</v>
      </c>
      <c r="F1870" s="1">
        <f ca="1">IFERROR(__xludf.DUMMYFUNCTION("""COMPUTED_VALUE"""),279200)</f>
        <v>279200</v>
      </c>
      <c r="I1870" s="1"/>
    </row>
    <row r="1871" spans="1:9">
      <c r="A1871" s="3">
        <f ca="1">IFERROR(__xludf.DUMMYFUNCTION("""COMPUTED_VALUE"""),31923.6666666666)</f>
        <v>31923.666666666599</v>
      </c>
      <c r="B1871" s="1">
        <f ca="1">IFERROR(__xludf.DUMMYFUNCTION("""COMPUTED_VALUE"""),5.29)</f>
        <v>5.29</v>
      </c>
      <c r="C1871" s="1">
        <f ca="1">IFERROR(__xludf.DUMMYFUNCTION("""COMPUTED_VALUE"""),5.31)</f>
        <v>5.31</v>
      </c>
      <c r="D1871" s="1">
        <f ca="1">IFERROR(__xludf.DUMMYFUNCTION("""COMPUTED_VALUE"""),5.26)</f>
        <v>5.26</v>
      </c>
      <c r="E1871" s="1">
        <f ca="1">IFERROR(__xludf.DUMMYFUNCTION("""COMPUTED_VALUE"""),5.29)</f>
        <v>5.29</v>
      </c>
      <c r="F1871" s="1">
        <f ca="1">IFERROR(__xludf.DUMMYFUNCTION("""COMPUTED_VALUE"""),452200)</f>
        <v>452200</v>
      </c>
      <c r="I1871" s="1"/>
    </row>
    <row r="1872" spans="1:9">
      <c r="A1872" s="3">
        <f ca="1">IFERROR(__xludf.DUMMYFUNCTION("""COMPUTED_VALUE"""),31924.6666666666)</f>
        <v>31924.666666666599</v>
      </c>
      <c r="B1872" s="1">
        <f ca="1">IFERROR(__xludf.DUMMYFUNCTION("""COMPUTED_VALUE"""),5.27)</f>
        <v>5.27</v>
      </c>
      <c r="C1872" s="1">
        <f ca="1">IFERROR(__xludf.DUMMYFUNCTION("""COMPUTED_VALUE"""),5.33)</f>
        <v>5.33</v>
      </c>
      <c r="D1872" s="1">
        <f ca="1">IFERROR(__xludf.DUMMYFUNCTION("""COMPUTED_VALUE"""),5.27)</f>
        <v>5.27</v>
      </c>
      <c r="E1872" s="1">
        <f ca="1">IFERROR(__xludf.DUMMYFUNCTION("""COMPUTED_VALUE"""),5.27)</f>
        <v>5.27</v>
      </c>
      <c r="F1872" s="1">
        <f ca="1">IFERROR(__xludf.DUMMYFUNCTION("""COMPUTED_VALUE"""),440900)</f>
        <v>440900</v>
      </c>
      <c r="I1872" s="1"/>
    </row>
    <row r="1873" spans="1:9">
      <c r="A1873" s="3">
        <f ca="1">IFERROR(__xludf.DUMMYFUNCTION("""COMPUTED_VALUE"""),31925.6666666666)</f>
        <v>31925.666666666599</v>
      </c>
      <c r="B1873" s="1">
        <f ca="1">IFERROR(__xludf.DUMMYFUNCTION("""COMPUTED_VALUE"""),5.31)</f>
        <v>5.31</v>
      </c>
      <c r="C1873" s="1">
        <f ca="1">IFERROR(__xludf.DUMMYFUNCTION("""COMPUTED_VALUE"""),5.32)</f>
        <v>5.32</v>
      </c>
      <c r="D1873" s="1">
        <f ca="1">IFERROR(__xludf.DUMMYFUNCTION("""COMPUTED_VALUE"""),5.17)</f>
        <v>5.17</v>
      </c>
      <c r="E1873" s="1">
        <f ca="1">IFERROR(__xludf.DUMMYFUNCTION("""COMPUTED_VALUE"""),5.31)</f>
        <v>5.31</v>
      </c>
      <c r="F1873" s="1">
        <f ca="1">IFERROR(__xludf.DUMMYFUNCTION("""COMPUTED_VALUE"""),384200)</f>
        <v>384200</v>
      </c>
      <c r="I1873" s="1"/>
    </row>
    <row r="1874" spans="1:9">
      <c r="A1874" s="3">
        <f ca="1">IFERROR(__xludf.DUMMYFUNCTION("""COMPUTED_VALUE"""),31926.6666666666)</f>
        <v>31926.666666666599</v>
      </c>
      <c r="B1874" s="1">
        <f ca="1">IFERROR(__xludf.DUMMYFUNCTION("""COMPUTED_VALUE"""),5.38)</f>
        <v>5.38</v>
      </c>
      <c r="C1874" s="1">
        <f ca="1">IFERROR(__xludf.DUMMYFUNCTION("""COMPUTED_VALUE"""),5.4)</f>
        <v>5.4</v>
      </c>
      <c r="D1874" s="1">
        <f ca="1">IFERROR(__xludf.DUMMYFUNCTION("""COMPUTED_VALUE"""),5.34)</f>
        <v>5.34</v>
      </c>
      <c r="E1874" s="1">
        <f ca="1">IFERROR(__xludf.DUMMYFUNCTION("""COMPUTED_VALUE"""),5.38)</f>
        <v>5.38</v>
      </c>
      <c r="F1874" s="1">
        <f ca="1">IFERROR(__xludf.DUMMYFUNCTION("""COMPUTED_VALUE"""),406200)</f>
        <v>406200</v>
      </c>
      <c r="I1874" s="1"/>
    </row>
    <row r="1875" spans="1:9">
      <c r="A1875" s="3">
        <f ca="1">IFERROR(__xludf.DUMMYFUNCTION("""COMPUTED_VALUE"""),31929.6666666666)</f>
        <v>31929.666666666599</v>
      </c>
      <c r="B1875" s="1">
        <f ca="1">IFERROR(__xludf.DUMMYFUNCTION("""COMPUTED_VALUE"""),5.34)</f>
        <v>5.34</v>
      </c>
      <c r="C1875" s="1">
        <f ca="1">IFERROR(__xludf.DUMMYFUNCTION("""COMPUTED_VALUE"""),5.42)</f>
        <v>5.42</v>
      </c>
      <c r="D1875" s="1">
        <f ca="1">IFERROR(__xludf.DUMMYFUNCTION("""COMPUTED_VALUE"""),5.33)</f>
        <v>5.33</v>
      </c>
      <c r="E1875" s="1">
        <f ca="1">IFERROR(__xludf.DUMMYFUNCTION("""COMPUTED_VALUE"""),5.34)</f>
        <v>5.34</v>
      </c>
      <c r="F1875" s="1">
        <f ca="1">IFERROR(__xludf.DUMMYFUNCTION("""COMPUTED_VALUE"""),369000)</f>
        <v>369000</v>
      </c>
      <c r="I1875" s="1"/>
    </row>
    <row r="1876" spans="1:9">
      <c r="A1876" s="3">
        <f ca="1">IFERROR(__xludf.DUMMYFUNCTION("""COMPUTED_VALUE"""),31930.6666666666)</f>
        <v>31930.666666666599</v>
      </c>
      <c r="B1876" s="1">
        <f ca="1">IFERROR(__xludf.DUMMYFUNCTION("""COMPUTED_VALUE"""),5.4)</f>
        <v>5.4</v>
      </c>
      <c r="C1876" s="1">
        <f ca="1">IFERROR(__xludf.DUMMYFUNCTION("""COMPUTED_VALUE"""),5.44)</f>
        <v>5.44</v>
      </c>
      <c r="D1876" s="1">
        <f ca="1">IFERROR(__xludf.DUMMYFUNCTION("""COMPUTED_VALUE"""),5.31)</f>
        <v>5.31</v>
      </c>
      <c r="E1876" s="1">
        <f ca="1">IFERROR(__xludf.DUMMYFUNCTION("""COMPUTED_VALUE"""),5.4)</f>
        <v>5.4</v>
      </c>
      <c r="F1876" s="1">
        <f ca="1">IFERROR(__xludf.DUMMYFUNCTION("""COMPUTED_VALUE"""),407900)</f>
        <v>407900</v>
      </c>
      <c r="I1876" s="1"/>
    </row>
    <row r="1877" spans="1:9">
      <c r="A1877" s="3">
        <f ca="1">IFERROR(__xludf.DUMMYFUNCTION("""COMPUTED_VALUE"""),31931.6666666666)</f>
        <v>31931.666666666599</v>
      </c>
      <c r="B1877" s="1">
        <f ca="1">IFERROR(__xludf.DUMMYFUNCTION("""COMPUTED_VALUE"""),5.52)</f>
        <v>5.52</v>
      </c>
      <c r="C1877" s="1">
        <f ca="1">IFERROR(__xludf.DUMMYFUNCTION("""COMPUTED_VALUE"""),5.53)</f>
        <v>5.53</v>
      </c>
      <c r="D1877" s="1">
        <f ca="1">IFERROR(__xludf.DUMMYFUNCTION("""COMPUTED_VALUE"""),5.41)</f>
        <v>5.41</v>
      </c>
      <c r="E1877" s="1">
        <f ca="1">IFERROR(__xludf.DUMMYFUNCTION("""COMPUTED_VALUE"""),5.52)</f>
        <v>5.52</v>
      </c>
      <c r="F1877" s="1">
        <f ca="1">IFERROR(__xludf.DUMMYFUNCTION("""COMPUTED_VALUE"""),452500)</f>
        <v>452500</v>
      </c>
      <c r="I1877" s="1"/>
    </row>
    <row r="1878" spans="1:9">
      <c r="A1878" s="3">
        <f ca="1">IFERROR(__xludf.DUMMYFUNCTION("""COMPUTED_VALUE"""),31932.6666666666)</f>
        <v>31932.666666666599</v>
      </c>
      <c r="B1878" s="1">
        <f ca="1">IFERROR(__xludf.DUMMYFUNCTION("""COMPUTED_VALUE"""),5.52)</f>
        <v>5.52</v>
      </c>
      <c r="C1878" s="1">
        <f ca="1">IFERROR(__xludf.DUMMYFUNCTION("""COMPUTED_VALUE"""),5.53)</f>
        <v>5.53</v>
      </c>
      <c r="D1878" s="1">
        <f ca="1">IFERROR(__xludf.DUMMYFUNCTION("""COMPUTED_VALUE"""),5.42)</f>
        <v>5.42</v>
      </c>
      <c r="E1878" s="1">
        <f ca="1">IFERROR(__xludf.DUMMYFUNCTION("""COMPUTED_VALUE"""),5.52)</f>
        <v>5.52</v>
      </c>
      <c r="F1878" s="1">
        <f ca="1">IFERROR(__xludf.DUMMYFUNCTION("""COMPUTED_VALUE"""),196800)</f>
        <v>196800</v>
      </c>
      <c r="I1878" s="1"/>
    </row>
    <row r="1879" spans="1:9">
      <c r="A1879" s="3">
        <f ca="1">IFERROR(__xludf.DUMMYFUNCTION("""COMPUTED_VALUE"""),31933.6666666666)</f>
        <v>31933.666666666599</v>
      </c>
      <c r="B1879" s="1">
        <f ca="1">IFERROR(__xludf.DUMMYFUNCTION("""COMPUTED_VALUE"""),5.48)</f>
        <v>5.48</v>
      </c>
      <c r="C1879" s="1">
        <f ca="1">IFERROR(__xludf.DUMMYFUNCTION("""COMPUTED_VALUE"""),5.56)</f>
        <v>5.56</v>
      </c>
      <c r="D1879" s="1">
        <f ca="1">IFERROR(__xludf.DUMMYFUNCTION("""COMPUTED_VALUE"""),5.48)</f>
        <v>5.48</v>
      </c>
      <c r="E1879" s="1">
        <f ca="1">IFERROR(__xludf.DUMMYFUNCTION("""COMPUTED_VALUE"""),5.48)</f>
        <v>5.48</v>
      </c>
      <c r="F1879" s="1">
        <f ca="1">IFERROR(__xludf.DUMMYFUNCTION("""COMPUTED_VALUE"""),323100)</f>
        <v>323100</v>
      </c>
      <c r="I1879" s="1"/>
    </row>
    <row r="1880" spans="1:9">
      <c r="A1880" s="3">
        <f ca="1">IFERROR(__xludf.DUMMYFUNCTION("""COMPUTED_VALUE"""),31936.6666666666)</f>
        <v>31936.666666666599</v>
      </c>
      <c r="B1880" s="1">
        <f ca="1">IFERROR(__xludf.DUMMYFUNCTION("""COMPUTED_VALUE"""),5.58)</f>
        <v>5.58</v>
      </c>
      <c r="C1880" s="1">
        <f ca="1">IFERROR(__xludf.DUMMYFUNCTION("""COMPUTED_VALUE"""),5.6)</f>
        <v>5.6</v>
      </c>
      <c r="D1880" s="1">
        <f ca="1">IFERROR(__xludf.DUMMYFUNCTION("""COMPUTED_VALUE"""),5.45)</f>
        <v>5.45</v>
      </c>
      <c r="E1880" s="1">
        <f ca="1">IFERROR(__xludf.DUMMYFUNCTION("""COMPUTED_VALUE"""),5.58)</f>
        <v>5.58</v>
      </c>
      <c r="F1880" s="1">
        <f ca="1">IFERROR(__xludf.DUMMYFUNCTION("""COMPUTED_VALUE"""),258300)</f>
        <v>258300</v>
      </c>
      <c r="I1880" s="1"/>
    </row>
    <row r="1881" spans="1:9">
      <c r="A1881" s="3">
        <f ca="1">IFERROR(__xludf.DUMMYFUNCTION("""COMPUTED_VALUE"""),31937.6666666666)</f>
        <v>31937.666666666599</v>
      </c>
      <c r="B1881" s="1">
        <f ca="1">IFERROR(__xludf.DUMMYFUNCTION("""COMPUTED_VALUE"""),5.57)</f>
        <v>5.57</v>
      </c>
      <c r="C1881" s="1">
        <f ca="1">IFERROR(__xludf.DUMMYFUNCTION("""COMPUTED_VALUE"""),5.59)</f>
        <v>5.59</v>
      </c>
      <c r="D1881" s="1">
        <f ca="1">IFERROR(__xludf.DUMMYFUNCTION("""COMPUTED_VALUE"""),5.55)</f>
        <v>5.55</v>
      </c>
      <c r="E1881" s="1">
        <f ca="1">IFERROR(__xludf.DUMMYFUNCTION("""COMPUTED_VALUE"""),5.57)</f>
        <v>5.57</v>
      </c>
      <c r="F1881" s="1">
        <f ca="1">IFERROR(__xludf.DUMMYFUNCTION("""COMPUTED_VALUE"""),304300)</f>
        <v>304300</v>
      </c>
      <c r="I1881" s="1"/>
    </row>
    <row r="1882" spans="1:9">
      <c r="A1882" s="3">
        <f ca="1">IFERROR(__xludf.DUMMYFUNCTION("""COMPUTED_VALUE"""),31938.6666666666)</f>
        <v>31938.666666666599</v>
      </c>
      <c r="B1882" s="1">
        <f ca="1">IFERROR(__xludf.DUMMYFUNCTION("""COMPUTED_VALUE"""),5.52)</f>
        <v>5.52</v>
      </c>
      <c r="C1882" s="1">
        <f ca="1">IFERROR(__xludf.DUMMYFUNCTION("""COMPUTED_VALUE"""),5.65)</f>
        <v>5.65</v>
      </c>
      <c r="D1882" s="1">
        <f ca="1">IFERROR(__xludf.DUMMYFUNCTION("""COMPUTED_VALUE"""),5.48)</f>
        <v>5.48</v>
      </c>
      <c r="E1882" s="1">
        <f ca="1">IFERROR(__xludf.DUMMYFUNCTION("""COMPUTED_VALUE"""),5.52)</f>
        <v>5.52</v>
      </c>
      <c r="F1882" s="1">
        <f ca="1">IFERROR(__xludf.DUMMYFUNCTION("""COMPUTED_VALUE"""),472400)</f>
        <v>472400</v>
      </c>
      <c r="I1882" s="1"/>
    </row>
    <row r="1883" spans="1:9">
      <c r="A1883" s="3">
        <f ca="1">IFERROR(__xludf.DUMMYFUNCTION("""COMPUTED_VALUE"""),31939.6666666666)</f>
        <v>31939.666666666599</v>
      </c>
      <c r="B1883" s="1">
        <f ca="1">IFERROR(__xludf.DUMMYFUNCTION("""COMPUTED_VALUE"""),5.56)</f>
        <v>5.56</v>
      </c>
      <c r="C1883" s="1">
        <f ca="1">IFERROR(__xludf.DUMMYFUNCTION("""COMPUTED_VALUE"""),5.59)</f>
        <v>5.59</v>
      </c>
      <c r="D1883" s="1">
        <f ca="1">IFERROR(__xludf.DUMMYFUNCTION("""COMPUTED_VALUE"""),5.53)</f>
        <v>5.53</v>
      </c>
      <c r="E1883" s="1">
        <f ca="1">IFERROR(__xludf.DUMMYFUNCTION("""COMPUTED_VALUE"""),5.56)</f>
        <v>5.56</v>
      </c>
      <c r="F1883" s="1">
        <f ca="1">IFERROR(__xludf.DUMMYFUNCTION("""COMPUTED_VALUE"""),266800)</f>
        <v>266800</v>
      </c>
      <c r="I1883" s="1"/>
    </row>
    <row r="1884" spans="1:9">
      <c r="A1884" s="3">
        <f ca="1">IFERROR(__xludf.DUMMYFUNCTION("""COMPUTED_VALUE"""),31940.6666666666)</f>
        <v>31940.666666666599</v>
      </c>
      <c r="B1884" s="1">
        <f ca="1">IFERROR(__xludf.DUMMYFUNCTION("""COMPUTED_VALUE"""),5.71)</f>
        <v>5.71</v>
      </c>
      <c r="C1884" s="1">
        <f ca="1">IFERROR(__xludf.DUMMYFUNCTION("""COMPUTED_VALUE"""),5.71)</f>
        <v>5.71</v>
      </c>
      <c r="D1884" s="1">
        <f ca="1">IFERROR(__xludf.DUMMYFUNCTION("""COMPUTED_VALUE"""),5.6)</f>
        <v>5.6</v>
      </c>
      <c r="E1884" s="1">
        <f ca="1">IFERROR(__xludf.DUMMYFUNCTION("""COMPUTED_VALUE"""),5.71)</f>
        <v>5.71</v>
      </c>
      <c r="F1884" s="1">
        <f ca="1">IFERROR(__xludf.DUMMYFUNCTION("""COMPUTED_VALUE"""),435000)</f>
        <v>435000</v>
      </c>
      <c r="I1884" s="1"/>
    </row>
    <row r="1885" spans="1:9">
      <c r="A1885" s="3">
        <f ca="1">IFERROR(__xludf.DUMMYFUNCTION("""COMPUTED_VALUE"""),31943.6666666666)</f>
        <v>31943.666666666599</v>
      </c>
      <c r="B1885" s="1">
        <f ca="1">IFERROR(__xludf.DUMMYFUNCTION("""COMPUTED_VALUE"""),5.71)</f>
        <v>5.71</v>
      </c>
      <c r="C1885" s="1">
        <f ca="1">IFERROR(__xludf.DUMMYFUNCTION("""COMPUTED_VALUE"""),5.74)</f>
        <v>5.74</v>
      </c>
      <c r="D1885" s="1">
        <f ca="1">IFERROR(__xludf.DUMMYFUNCTION("""COMPUTED_VALUE"""),5.63)</f>
        <v>5.63</v>
      </c>
      <c r="E1885" s="1">
        <f ca="1">IFERROR(__xludf.DUMMYFUNCTION("""COMPUTED_VALUE"""),5.71)</f>
        <v>5.71</v>
      </c>
      <c r="F1885" s="1">
        <f ca="1">IFERROR(__xludf.DUMMYFUNCTION("""COMPUTED_VALUE"""),296600)</f>
        <v>296600</v>
      </c>
      <c r="I1885" s="1"/>
    </row>
    <row r="1886" spans="1:9">
      <c r="A1886" s="3">
        <f ca="1">IFERROR(__xludf.DUMMYFUNCTION("""COMPUTED_VALUE"""),31944.6666666666)</f>
        <v>31944.666666666599</v>
      </c>
      <c r="B1886" s="1">
        <f ca="1">IFERROR(__xludf.DUMMYFUNCTION("""COMPUTED_VALUE"""),5.7)</f>
        <v>5.7</v>
      </c>
      <c r="C1886" s="1">
        <f ca="1">IFERROR(__xludf.DUMMYFUNCTION("""COMPUTED_VALUE"""),5.74)</f>
        <v>5.74</v>
      </c>
      <c r="D1886" s="1">
        <f ca="1">IFERROR(__xludf.DUMMYFUNCTION("""COMPUTED_VALUE"""),5.66)</f>
        <v>5.66</v>
      </c>
      <c r="E1886" s="1">
        <f ca="1">IFERROR(__xludf.DUMMYFUNCTION("""COMPUTED_VALUE"""),5.7)</f>
        <v>5.7</v>
      </c>
      <c r="F1886" s="1">
        <f ca="1">IFERROR(__xludf.DUMMYFUNCTION("""COMPUTED_VALUE"""),228300)</f>
        <v>228300</v>
      </c>
      <c r="I1886" s="1"/>
    </row>
    <row r="1887" spans="1:9">
      <c r="A1887" s="3">
        <f ca="1">IFERROR(__xludf.DUMMYFUNCTION("""COMPUTED_VALUE"""),31945.6666666666)</f>
        <v>31945.666666666599</v>
      </c>
      <c r="B1887" s="1">
        <f ca="1">IFERROR(__xludf.DUMMYFUNCTION("""COMPUTED_VALUE"""),5.69)</f>
        <v>5.69</v>
      </c>
      <c r="C1887" s="1">
        <f ca="1">IFERROR(__xludf.DUMMYFUNCTION("""COMPUTED_VALUE"""),5.73)</f>
        <v>5.73</v>
      </c>
      <c r="D1887" s="1">
        <f ca="1">IFERROR(__xludf.DUMMYFUNCTION("""COMPUTED_VALUE"""),5.67)</f>
        <v>5.67</v>
      </c>
      <c r="E1887" s="1">
        <f ca="1">IFERROR(__xludf.DUMMYFUNCTION("""COMPUTED_VALUE"""),5.69)</f>
        <v>5.69</v>
      </c>
      <c r="F1887" s="1">
        <f ca="1">IFERROR(__xludf.DUMMYFUNCTION("""COMPUTED_VALUE"""),290300)</f>
        <v>290300</v>
      </c>
      <c r="I1887" s="1"/>
    </row>
    <row r="1888" spans="1:9">
      <c r="A1888" s="3">
        <f ca="1">IFERROR(__xludf.DUMMYFUNCTION("""COMPUTED_VALUE"""),31946.6666666666)</f>
        <v>31946.666666666599</v>
      </c>
      <c r="B1888" s="1">
        <f ca="1">IFERROR(__xludf.DUMMYFUNCTION("""COMPUTED_VALUE"""),5.83)</f>
        <v>5.83</v>
      </c>
      <c r="C1888" s="1">
        <f ca="1">IFERROR(__xludf.DUMMYFUNCTION("""COMPUTED_VALUE"""),5.88)</f>
        <v>5.88</v>
      </c>
      <c r="D1888" s="1">
        <f ca="1">IFERROR(__xludf.DUMMYFUNCTION("""COMPUTED_VALUE"""),5.7)</f>
        <v>5.7</v>
      </c>
      <c r="E1888" s="1">
        <f ca="1">IFERROR(__xludf.DUMMYFUNCTION("""COMPUTED_VALUE"""),5.83)</f>
        <v>5.83</v>
      </c>
      <c r="F1888" s="1">
        <f ca="1">IFERROR(__xludf.DUMMYFUNCTION("""COMPUTED_VALUE"""),551400)</f>
        <v>551400</v>
      </c>
      <c r="I1888" s="1"/>
    </row>
    <row r="1889" spans="1:9">
      <c r="A1889" s="3">
        <f ca="1">IFERROR(__xludf.DUMMYFUNCTION("""COMPUTED_VALUE"""),31947.6666666666)</f>
        <v>31947.666666666599</v>
      </c>
      <c r="B1889" s="1">
        <f ca="1">IFERROR(__xludf.DUMMYFUNCTION("""COMPUTED_VALUE"""),5.84)</f>
        <v>5.84</v>
      </c>
      <c r="C1889" s="1">
        <f ca="1">IFERROR(__xludf.DUMMYFUNCTION("""COMPUTED_VALUE"""),5.84)</f>
        <v>5.84</v>
      </c>
      <c r="D1889" s="1">
        <f ca="1">IFERROR(__xludf.DUMMYFUNCTION("""COMPUTED_VALUE"""),5.78)</f>
        <v>5.78</v>
      </c>
      <c r="E1889" s="1">
        <f ca="1">IFERROR(__xludf.DUMMYFUNCTION("""COMPUTED_VALUE"""),5.84)</f>
        <v>5.84</v>
      </c>
      <c r="F1889" s="1">
        <f ca="1">IFERROR(__xludf.DUMMYFUNCTION("""COMPUTED_VALUE"""),866700)</f>
        <v>866700</v>
      </c>
      <c r="I1889" s="1"/>
    </row>
    <row r="1890" spans="1:9">
      <c r="A1890" s="3">
        <f ca="1">IFERROR(__xludf.DUMMYFUNCTION("""COMPUTED_VALUE"""),31950.6666666666)</f>
        <v>31950.666666666599</v>
      </c>
      <c r="B1890" s="1">
        <f ca="1">IFERROR(__xludf.DUMMYFUNCTION("""COMPUTED_VALUE"""),5.91)</f>
        <v>5.91</v>
      </c>
      <c r="C1890" s="1">
        <f ca="1">IFERROR(__xludf.DUMMYFUNCTION("""COMPUTED_VALUE"""),5.91)</f>
        <v>5.91</v>
      </c>
      <c r="D1890" s="1">
        <f ca="1">IFERROR(__xludf.DUMMYFUNCTION("""COMPUTED_VALUE"""),5.85)</f>
        <v>5.85</v>
      </c>
      <c r="E1890" s="1">
        <f ca="1">IFERROR(__xludf.DUMMYFUNCTION("""COMPUTED_VALUE"""),5.91)</f>
        <v>5.91</v>
      </c>
      <c r="F1890" s="1">
        <f ca="1">IFERROR(__xludf.DUMMYFUNCTION("""COMPUTED_VALUE"""),485600)</f>
        <v>485600</v>
      </c>
      <c r="I1890" s="1"/>
    </row>
    <row r="1891" spans="1:9">
      <c r="A1891" s="3">
        <f ca="1">IFERROR(__xludf.DUMMYFUNCTION("""COMPUTED_VALUE"""),31951.6666666666)</f>
        <v>31951.666666666599</v>
      </c>
      <c r="B1891" s="1">
        <f ca="1">IFERROR(__xludf.DUMMYFUNCTION("""COMPUTED_VALUE"""),5.91)</f>
        <v>5.91</v>
      </c>
      <c r="C1891" s="1">
        <f ca="1">IFERROR(__xludf.DUMMYFUNCTION("""COMPUTED_VALUE"""),5.95)</f>
        <v>5.95</v>
      </c>
      <c r="D1891" s="1">
        <f ca="1">IFERROR(__xludf.DUMMYFUNCTION("""COMPUTED_VALUE"""),5.83)</f>
        <v>5.83</v>
      </c>
      <c r="E1891" s="1">
        <f ca="1">IFERROR(__xludf.DUMMYFUNCTION("""COMPUTED_VALUE"""),5.91)</f>
        <v>5.91</v>
      </c>
      <c r="F1891" s="1">
        <f ca="1">IFERROR(__xludf.DUMMYFUNCTION("""COMPUTED_VALUE"""),478900)</f>
        <v>478900</v>
      </c>
      <c r="I1891" s="1"/>
    </row>
    <row r="1892" spans="1:9">
      <c r="A1892" s="3">
        <f ca="1">IFERROR(__xludf.DUMMYFUNCTION("""COMPUTED_VALUE"""),31952.6666666666)</f>
        <v>31952.666666666599</v>
      </c>
      <c r="B1892" s="1">
        <f ca="1">IFERROR(__xludf.DUMMYFUNCTION("""COMPUTED_VALUE"""),5.79)</f>
        <v>5.79</v>
      </c>
      <c r="C1892" s="1">
        <f ca="1">IFERROR(__xludf.DUMMYFUNCTION("""COMPUTED_VALUE"""),5.89)</f>
        <v>5.89</v>
      </c>
      <c r="D1892" s="1">
        <f ca="1">IFERROR(__xludf.DUMMYFUNCTION("""COMPUTED_VALUE"""),5.77)</f>
        <v>5.77</v>
      </c>
      <c r="E1892" s="1">
        <f ca="1">IFERROR(__xludf.DUMMYFUNCTION("""COMPUTED_VALUE"""),5.79)</f>
        <v>5.79</v>
      </c>
      <c r="F1892" s="1">
        <f ca="1">IFERROR(__xludf.DUMMYFUNCTION("""COMPUTED_VALUE"""),213200)</f>
        <v>213200</v>
      </c>
      <c r="I1892" s="1"/>
    </row>
    <row r="1893" spans="1:9">
      <c r="A1893" s="3">
        <f ca="1">IFERROR(__xludf.DUMMYFUNCTION("""COMPUTED_VALUE"""),31953.6666666666)</f>
        <v>31953.666666666599</v>
      </c>
      <c r="B1893" s="1">
        <f ca="1">IFERROR(__xludf.DUMMYFUNCTION("""COMPUTED_VALUE"""),5.84)</f>
        <v>5.84</v>
      </c>
      <c r="C1893" s="1">
        <f ca="1">IFERROR(__xludf.DUMMYFUNCTION("""COMPUTED_VALUE"""),5.85)</f>
        <v>5.85</v>
      </c>
      <c r="D1893" s="1">
        <f ca="1">IFERROR(__xludf.DUMMYFUNCTION("""COMPUTED_VALUE"""),5.79)</f>
        <v>5.79</v>
      </c>
      <c r="E1893" s="1">
        <f ca="1">IFERROR(__xludf.DUMMYFUNCTION("""COMPUTED_VALUE"""),5.84)</f>
        <v>5.84</v>
      </c>
      <c r="F1893" s="1">
        <f ca="1">IFERROR(__xludf.DUMMYFUNCTION("""COMPUTED_VALUE"""),508800)</f>
        <v>508800</v>
      </c>
      <c r="I1893" s="1"/>
    </row>
    <row r="1894" spans="1:9">
      <c r="A1894" s="3">
        <f ca="1">IFERROR(__xludf.DUMMYFUNCTION("""COMPUTED_VALUE"""),31954.6666666666)</f>
        <v>31954.666666666599</v>
      </c>
      <c r="B1894" s="1">
        <f ca="1">IFERROR(__xludf.DUMMYFUNCTION("""COMPUTED_VALUE"""),5.79)</f>
        <v>5.79</v>
      </c>
      <c r="C1894" s="1">
        <f ca="1">IFERROR(__xludf.DUMMYFUNCTION("""COMPUTED_VALUE"""),5.84)</f>
        <v>5.84</v>
      </c>
      <c r="D1894" s="1">
        <f ca="1">IFERROR(__xludf.DUMMYFUNCTION("""COMPUTED_VALUE"""),5.78)</f>
        <v>5.78</v>
      </c>
      <c r="E1894" s="1">
        <f ca="1">IFERROR(__xludf.DUMMYFUNCTION("""COMPUTED_VALUE"""),5.79)</f>
        <v>5.79</v>
      </c>
      <c r="F1894" s="1">
        <f ca="1">IFERROR(__xludf.DUMMYFUNCTION("""COMPUTED_VALUE"""),250600)</f>
        <v>250600</v>
      </c>
      <c r="I1894" s="1"/>
    </row>
    <row r="1895" spans="1:9">
      <c r="A1895" s="3">
        <f ca="1">IFERROR(__xludf.DUMMYFUNCTION("""COMPUTED_VALUE"""),31957.6666666666)</f>
        <v>31957.666666666599</v>
      </c>
      <c r="B1895" s="1">
        <f ca="1">IFERROR(__xludf.DUMMYFUNCTION("""COMPUTED_VALUE"""),5.84)</f>
        <v>5.84</v>
      </c>
      <c r="C1895" s="1">
        <f ca="1">IFERROR(__xludf.DUMMYFUNCTION("""COMPUTED_VALUE"""),5.85)</f>
        <v>5.85</v>
      </c>
      <c r="D1895" s="1">
        <f ca="1">IFERROR(__xludf.DUMMYFUNCTION("""COMPUTED_VALUE"""),5.77)</f>
        <v>5.77</v>
      </c>
      <c r="E1895" s="1">
        <f ca="1">IFERROR(__xludf.DUMMYFUNCTION("""COMPUTED_VALUE"""),5.84)</f>
        <v>5.84</v>
      </c>
      <c r="F1895" s="1">
        <f ca="1">IFERROR(__xludf.DUMMYFUNCTION("""COMPUTED_VALUE"""),300400)</f>
        <v>300400</v>
      </c>
      <c r="I1895" s="1"/>
    </row>
    <row r="1896" spans="1:9">
      <c r="A1896" s="3">
        <f ca="1">IFERROR(__xludf.DUMMYFUNCTION("""COMPUTED_VALUE"""),31958.6666666666)</f>
        <v>31958.666666666599</v>
      </c>
      <c r="B1896" s="1">
        <f ca="1">IFERROR(__xludf.DUMMYFUNCTION("""COMPUTED_VALUE"""),5.74)</f>
        <v>5.74</v>
      </c>
      <c r="C1896" s="1">
        <f ca="1">IFERROR(__xludf.DUMMYFUNCTION("""COMPUTED_VALUE"""),5.86)</f>
        <v>5.86</v>
      </c>
      <c r="D1896" s="1">
        <f ca="1">IFERROR(__xludf.DUMMYFUNCTION("""COMPUTED_VALUE"""),5.73)</f>
        <v>5.73</v>
      </c>
      <c r="E1896" s="1">
        <f ca="1">IFERROR(__xludf.DUMMYFUNCTION("""COMPUTED_VALUE"""),5.74)</f>
        <v>5.74</v>
      </c>
      <c r="F1896" s="1">
        <f ca="1">IFERROR(__xludf.DUMMYFUNCTION("""COMPUTED_VALUE"""),415500)</f>
        <v>415500</v>
      </c>
      <c r="I1896" s="1"/>
    </row>
    <row r="1897" spans="1:9">
      <c r="A1897" s="3">
        <f ca="1">IFERROR(__xludf.DUMMYFUNCTION("""COMPUTED_VALUE"""),31959.6666666666)</f>
        <v>31959.666666666599</v>
      </c>
      <c r="B1897" s="1">
        <f ca="1">IFERROR(__xludf.DUMMYFUNCTION("""COMPUTED_VALUE"""),5.69)</f>
        <v>5.69</v>
      </c>
      <c r="C1897" s="1">
        <f ca="1">IFERROR(__xludf.DUMMYFUNCTION("""COMPUTED_VALUE"""),5.77)</f>
        <v>5.77</v>
      </c>
      <c r="D1897" s="1">
        <f ca="1">IFERROR(__xludf.DUMMYFUNCTION("""COMPUTED_VALUE"""),5.69)</f>
        <v>5.69</v>
      </c>
      <c r="E1897" s="1">
        <f ca="1">IFERROR(__xludf.DUMMYFUNCTION("""COMPUTED_VALUE"""),5.69)</f>
        <v>5.69</v>
      </c>
      <c r="F1897" s="1">
        <f ca="1">IFERROR(__xludf.DUMMYFUNCTION("""COMPUTED_VALUE"""),330700)</f>
        <v>330700</v>
      </c>
      <c r="I1897" s="1"/>
    </row>
    <row r="1898" spans="1:9">
      <c r="A1898" s="3">
        <f ca="1">IFERROR(__xludf.DUMMYFUNCTION("""COMPUTED_VALUE"""),31960.6666666666)</f>
        <v>31960.666666666599</v>
      </c>
      <c r="B1898" s="1">
        <f ca="1">IFERROR(__xludf.DUMMYFUNCTION("""COMPUTED_VALUE"""),5.66)</f>
        <v>5.66</v>
      </c>
      <c r="C1898" s="1">
        <f ca="1">IFERROR(__xludf.DUMMYFUNCTION("""COMPUTED_VALUE"""),5.73)</f>
        <v>5.73</v>
      </c>
      <c r="D1898" s="1">
        <f ca="1">IFERROR(__xludf.DUMMYFUNCTION("""COMPUTED_VALUE"""),5.66)</f>
        <v>5.66</v>
      </c>
      <c r="E1898" s="1">
        <f ca="1">IFERROR(__xludf.DUMMYFUNCTION("""COMPUTED_VALUE"""),5.66)</f>
        <v>5.66</v>
      </c>
      <c r="F1898" s="1">
        <f ca="1">IFERROR(__xludf.DUMMYFUNCTION("""COMPUTED_VALUE"""),291800)</f>
        <v>291800</v>
      </c>
      <c r="I1898" s="1"/>
    </row>
    <row r="1899" spans="1:9">
      <c r="A1899" s="3">
        <f ca="1">IFERROR(__xludf.DUMMYFUNCTION("""COMPUTED_VALUE"""),31964.6666666666)</f>
        <v>31964.666666666599</v>
      </c>
      <c r="B1899" s="1">
        <f ca="1">IFERROR(__xludf.DUMMYFUNCTION("""COMPUTED_VALUE"""),5.57)</f>
        <v>5.57</v>
      </c>
      <c r="C1899" s="1">
        <f ca="1">IFERROR(__xludf.DUMMYFUNCTION("""COMPUTED_VALUE"""),5.7)</f>
        <v>5.7</v>
      </c>
      <c r="D1899" s="1">
        <f ca="1">IFERROR(__xludf.DUMMYFUNCTION("""COMPUTED_VALUE"""),5.57)</f>
        <v>5.57</v>
      </c>
      <c r="E1899" s="1">
        <f ca="1">IFERROR(__xludf.DUMMYFUNCTION("""COMPUTED_VALUE"""),5.57)</f>
        <v>5.57</v>
      </c>
      <c r="F1899" s="1">
        <f ca="1">IFERROR(__xludf.DUMMYFUNCTION("""COMPUTED_VALUE"""),458900)</f>
        <v>458900</v>
      </c>
      <c r="I1899" s="1"/>
    </row>
    <row r="1900" spans="1:9">
      <c r="A1900" s="3">
        <f ca="1">IFERROR(__xludf.DUMMYFUNCTION("""COMPUTED_VALUE"""),31965.6666666666)</f>
        <v>31965.666666666599</v>
      </c>
      <c r="B1900" s="1">
        <f ca="1">IFERROR(__xludf.DUMMYFUNCTION("""COMPUTED_VALUE"""),5.67)</f>
        <v>5.67</v>
      </c>
      <c r="C1900" s="1">
        <f ca="1">IFERROR(__xludf.DUMMYFUNCTION("""COMPUTED_VALUE"""),5.72)</f>
        <v>5.72</v>
      </c>
      <c r="D1900" s="1">
        <f ca="1">IFERROR(__xludf.DUMMYFUNCTION("""COMPUTED_VALUE"""),5.57)</f>
        <v>5.57</v>
      </c>
      <c r="E1900" s="1">
        <f ca="1">IFERROR(__xludf.DUMMYFUNCTION("""COMPUTED_VALUE"""),5.67)</f>
        <v>5.67</v>
      </c>
      <c r="F1900" s="1">
        <f ca="1">IFERROR(__xludf.DUMMYFUNCTION("""COMPUTED_VALUE"""),595600)</f>
        <v>595600</v>
      </c>
      <c r="I1900" s="1"/>
    </row>
    <row r="1901" spans="1:9">
      <c r="A1901" s="3">
        <f ca="1">IFERROR(__xludf.DUMMYFUNCTION("""COMPUTED_VALUE"""),31966.6666666666)</f>
        <v>31966.666666666599</v>
      </c>
      <c r="B1901" s="1">
        <f ca="1">IFERROR(__xludf.DUMMYFUNCTION("""COMPUTED_VALUE"""),5.72)</f>
        <v>5.72</v>
      </c>
      <c r="C1901" s="1">
        <f ca="1">IFERROR(__xludf.DUMMYFUNCTION("""COMPUTED_VALUE"""),5.72)</f>
        <v>5.72</v>
      </c>
      <c r="D1901" s="1">
        <f ca="1">IFERROR(__xludf.DUMMYFUNCTION("""COMPUTED_VALUE"""),5.64)</f>
        <v>5.64</v>
      </c>
      <c r="E1901" s="1">
        <f ca="1">IFERROR(__xludf.DUMMYFUNCTION("""COMPUTED_VALUE"""),5.72)</f>
        <v>5.72</v>
      </c>
      <c r="F1901" s="1">
        <f ca="1">IFERROR(__xludf.DUMMYFUNCTION("""COMPUTED_VALUE"""),450500)</f>
        <v>450500</v>
      </c>
      <c r="I1901" s="1"/>
    </row>
    <row r="1902" spans="1:9">
      <c r="A1902" s="3">
        <f ca="1">IFERROR(__xludf.DUMMYFUNCTION("""COMPUTED_VALUE"""),31967.6666666666)</f>
        <v>31967.666666666599</v>
      </c>
      <c r="B1902" s="1">
        <f ca="1">IFERROR(__xludf.DUMMYFUNCTION("""COMPUTED_VALUE"""),5.71)</f>
        <v>5.71</v>
      </c>
      <c r="C1902" s="1">
        <f ca="1">IFERROR(__xludf.DUMMYFUNCTION("""COMPUTED_VALUE"""),5.77)</f>
        <v>5.77</v>
      </c>
      <c r="D1902" s="1">
        <f ca="1">IFERROR(__xludf.DUMMYFUNCTION("""COMPUTED_VALUE"""),5.69)</f>
        <v>5.69</v>
      </c>
      <c r="E1902" s="1">
        <f ca="1">IFERROR(__xludf.DUMMYFUNCTION("""COMPUTED_VALUE"""),5.71)</f>
        <v>5.71</v>
      </c>
      <c r="F1902" s="1">
        <f ca="1">IFERROR(__xludf.DUMMYFUNCTION("""COMPUTED_VALUE"""),730200)</f>
        <v>730200</v>
      </c>
      <c r="I1902" s="1"/>
    </row>
    <row r="1903" spans="1:9">
      <c r="A1903" s="3">
        <f ca="1">IFERROR(__xludf.DUMMYFUNCTION("""COMPUTED_VALUE"""),31968.6666666666)</f>
        <v>31968.666666666599</v>
      </c>
      <c r="B1903" s="1">
        <f ca="1">IFERROR(__xludf.DUMMYFUNCTION("""COMPUTED_VALUE"""),5.81)</f>
        <v>5.81</v>
      </c>
      <c r="C1903" s="1">
        <f ca="1">IFERROR(__xludf.DUMMYFUNCTION("""COMPUTED_VALUE"""),5.84)</f>
        <v>5.84</v>
      </c>
      <c r="D1903" s="1">
        <f ca="1">IFERROR(__xludf.DUMMYFUNCTION("""COMPUTED_VALUE"""),5.73)</f>
        <v>5.73</v>
      </c>
      <c r="E1903" s="1">
        <f ca="1">IFERROR(__xludf.DUMMYFUNCTION("""COMPUTED_VALUE"""),5.81)</f>
        <v>5.81</v>
      </c>
      <c r="F1903" s="1">
        <f ca="1">IFERROR(__xludf.DUMMYFUNCTION("""COMPUTED_VALUE"""),695500)</f>
        <v>695500</v>
      </c>
      <c r="I1903" s="1"/>
    </row>
    <row r="1904" spans="1:9">
      <c r="A1904" s="3">
        <f ca="1">IFERROR(__xludf.DUMMYFUNCTION("""COMPUTED_VALUE"""),31971.6666666666)</f>
        <v>31971.666666666599</v>
      </c>
      <c r="B1904" s="1">
        <f ca="1">IFERROR(__xludf.DUMMYFUNCTION("""COMPUTED_VALUE"""),5.8)</f>
        <v>5.8</v>
      </c>
      <c r="C1904" s="1">
        <f ca="1">IFERROR(__xludf.DUMMYFUNCTION("""COMPUTED_VALUE"""),5.82)</f>
        <v>5.82</v>
      </c>
      <c r="D1904" s="1">
        <f ca="1">IFERROR(__xludf.DUMMYFUNCTION("""COMPUTED_VALUE"""),5.73)</f>
        <v>5.73</v>
      </c>
      <c r="E1904" s="1">
        <f ca="1">IFERROR(__xludf.DUMMYFUNCTION("""COMPUTED_VALUE"""),5.8)</f>
        <v>5.8</v>
      </c>
      <c r="F1904" s="1">
        <f ca="1">IFERROR(__xludf.DUMMYFUNCTION("""COMPUTED_VALUE"""),574800)</f>
        <v>574800</v>
      </c>
      <c r="I1904" s="1"/>
    </row>
    <row r="1905" spans="1:9">
      <c r="A1905" s="3">
        <f ca="1">IFERROR(__xludf.DUMMYFUNCTION("""COMPUTED_VALUE"""),31972.6666666666)</f>
        <v>31972.666666666599</v>
      </c>
      <c r="B1905" s="1">
        <f ca="1">IFERROR(__xludf.DUMMYFUNCTION("""COMPUTED_VALUE"""),5.89)</f>
        <v>5.89</v>
      </c>
      <c r="C1905" s="1">
        <f ca="1">IFERROR(__xludf.DUMMYFUNCTION("""COMPUTED_VALUE"""),5.89)</f>
        <v>5.89</v>
      </c>
      <c r="D1905" s="1">
        <f ca="1">IFERROR(__xludf.DUMMYFUNCTION("""COMPUTED_VALUE"""),5.75)</f>
        <v>5.75</v>
      </c>
      <c r="E1905" s="1">
        <f ca="1">IFERROR(__xludf.DUMMYFUNCTION("""COMPUTED_VALUE"""),5.89)</f>
        <v>5.89</v>
      </c>
      <c r="F1905" s="1">
        <f ca="1">IFERROR(__xludf.DUMMYFUNCTION("""COMPUTED_VALUE"""),564900)</f>
        <v>564900</v>
      </c>
      <c r="I1905" s="1"/>
    </row>
    <row r="1906" spans="1:9">
      <c r="A1906" s="3">
        <f ca="1">IFERROR(__xludf.DUMMYFUNCTION("""COMPUTED_VALUE"""),31973.6666666666)</f>
        <v>31973.666666666599</v>
      </c>
      <c r="B1906" s="1">
        <f ca="1">IFERROR(__xludf.DUMMYFUNCTION("""COMPUTED_VALUE"""),5.85)</f>
        <v>5.85</v>
      </c>
      <c r="C1906" s="1">
        <f ca="1">IFERROR(__xludf.DUMMYFUNCTION("""COMPUTED_VALUE"""),5.9)</f>
        <v>5.9</v>
      </c>
      <c r="D1906" s="1">
        <f ca="1">IFERROR(__xludf.DUMMYFUNCTION("""COMPUTED_VALUE"""),5.82)</f>
        <v>5.82</v>
      </c>
      <c r="E1906" s="1">
        <f ca="1">IFERROR(__xludf.DUMMYFUNCTION("""COMPUTED_VALUE"""),5.85)</f>
        <v>5.85</v>
      </c>
      <c r="F1906" s="1">
        <f ca="1">IFERROR(__xludf.DUMMYFUNCTION("""COMPUTED_VALUE"""),436400)</f>
        <v>436400</v>
      </c>
      <c r="I1906" s="1"/>
    </row>
    <row r="1907" spans="1:9">
      <c r="A1907" s="3">
        <f ca="1">IFERROR(__xludf.DUMMYFUNCTION("""COMPUTED_VALUE"""),31974.6666666666)</f>
        <v>31974.666666666599</v>
      </c>
      <c r="B1907" s="1">
        <f ca="1">IFERROR(__xludf.DUMMYFUNCTION("""COMPUTED_VALUE"""),5.93)</f>
        <v>5.93</v>
      </c>
      <c r="C1907" s="1">
        <f ca="1">IFERROR(__xludf.DUMMYFUNCTION("""COMPUTED_VALUE"""),5.94)</f>
        <v>5.94</v>
      </c>
      <c r="D1907" s="1">
        <f ca="1">IFERROR(__xludf.DUMMYFUNCTION("""COMPUTED_VALUE"""),5.82)</f>
        <v>5.82</v>
      </c>
      <c r="E1907" s="1">
        <f ca="1">IFERROR(__xludf.DUMMYFUNCTION("""COMPUTED_VALUE"""),5.93)</f>
        <v>5.93</v>
      </c>
      <c r="F1907" s="1">
        <f ca="1">IFERROR(__xludf.DUMMYFUNCTION("""COMPUTED_VALUE"""),556200)</f>
        <v>556200</v>
      </c>
      <c r="I1907" s="1"/>
    </row>
    <row r="1908" spans="1:9">
      <c r="A1908" s="3">
        <f ca="1">IFERROR(__xludf.DUMMYFUNCTION("""COMPUTED_VALUE"""),31975.6666666666)</f>
        <v>31975.666666666599</v>
      </c>
      <c r="B1908" s="1">
        <f ca="1">IFERROR(__xludf.DUMMYFUNCTION("""COMPUTED_VALUE"""),5.91)</f>
        <v>5.91</v>
      </c>
      <c r="C1908" s="1">
        <f ca="1">IFERROR(__xludf.DUMMYFUNCTION("""COMPUTED_VALUE"""),5.99)</f>
        <v>5.99</v>
      </c>
      <c r="D1908" s="1">
        <f ca="1">IFERROR(__xludf.DUMMYFUNCTION("""COMPUTED_VALUE"""),5.91)</f>
        <v>5.91</v>
      </c>
      <c r="E1908" s="1">
        <f ca="1">IFERROR(__xludf.DUMMYFUNCTION("""COMPUTED_VALUE"""),5.91)</f>
        <v>5.91</v>
      </c>
      <c r="F1908" s="1">
        <f ca="1">IFERROR(__xludf.DUMMYFUNCTION("""COMPUTED_VALUE"""),779100)</f>
        <v>779100</v>
      </c>
      <c r="I1908" s="1"/>
    </row>
    <row r="1909" spans="1:9">
      <c r="A1909" s="3">
        <f ca="1">IFERROR(__xludf.DUMMYFUNCTION("""COMPUTED_VALUE"""),31978.6666666666)</f>
        <v>31978.666666666599</v>
      </c>
      <c r="B1909" s="1">
        <f ca="1">IFERROR(__xludf.DUMMYFUNCTION("""COMPUTED_VALUE"""),5.84)</f>
        <v>5.84</v>
      </c>
      <c r="C1909" s="1">
        <f ca="1">IFERROR(__xludf.DUMMYFUNCTION("""COMPUTED_VALUE"""),5.92)</f>
        <v>5.92</v>
      </c>
      <c r="D1909" s="1">
        <f ca="1">IFERROR(__xludf.DUMMYFUNCTION("""COMPUTED_VALUE"""),5.82)</f>
        <v>5.82</v>
      </c>
      <c r="E1909" s="1">
        <f ca="1">IFERROR(__xludf.DUMMYFUNCTION("""COMPUTED_VALUE"""),5.84)</f>
        <v>5.84</v>
      </c>
      <c r="F1909" s="1">
        <f ca="1">IFERROR(__xludf.DUMMYFUNCTION("""COMPUTED_VALUE"""),361400)</f>
        <v>361400</v>
      </c>
      <c r="I1909" s="1"/>
    </row>
    <row r="1910" spans="1:9">
      <c r="A1910" s="3">
        <f ca="1">IFERROR(__xludf.DUMMYFUNCTION("""COMPUTED_VALUE"""),31979.6666666666)</f>
        <v>31979.666666666599</v>
      </c>
      <c r="B1910" s="1">
        <f ca="1">IFERROR(__xludf.DUMMYFUNCTION("""COMPUTED_VALUE"""),5.85)</f>
        <v>5.85</v>
      </c>
      <c r="C1910" s="1">
        <f ca="1">IFERROR(__xludf.DUMMYFUNCTION("""COMPUTED_VALUE"""),5.91)</f>
        <v>5.91</v>
      </c>
      <c r="D1910" s="1">
        <f ca="1">IFERROR(__xludf.DUMMYFUNCTION("""COMPUTED_VALUE"""),5.81)</f>
        <v>5.81</v>
      </c>
      <c r="E1910" s="1">
        <f ca="1">IFERROR(__xludf.DUMMYFUNCTION("""COMPUTED_VALUE"""),5.85)</f>
        <v>5.85</v>
      </c>
      <c r="F1910" s="1">
        <f ca="1">IFERROR(__xludf.DUMMYFUNCTION("""COMPUTED_VALUE"""),399100)</f>
        <v>399100</v>
      </c>
      <c r="I1910" s="1"/>
    </row>
    <row r="1911" spans="1:9">
      <c r="A1911" s="3">
        <f ca="1">IFERROR(__xludf.DUMMYFUNCTION("""COMPUTED_VALUE"""),31980.6666666666)</f>
        <v>31980.666666666599</v>
      </c>
      <c r="B1911" s="1">
        <f ca="1">IFERROR(__xludf.DUMMYFUNCTION("""COMPUTED_VALUE"""),5.91)</f>
        <v>5.91</v>
      </c>
      <c r="C1911" s="1">
        <f ca="1">IFERROR(__xludf.DUMMYFUNCTION("""COMPUTED_VALUE"""),5.95)</f>
        <v>5.95</v>
      </c>
      <c r="D1911" s="1">
        <f ca="1">IFERROR(__xludf.DUMMYFUNCTION("""COMPUTED_VALUE"""),5.84)</f>
        <v>5.84</v>
      </c>
      <c r="E1911" s="1">
        <f ca="1">IFERROR(__xludf.DUMMYFUNCTION("""COMPUTED_VALUE"""),5.91)</f>
        <v>5.91</v>
      </c>
      <c r="F1911" s="1">
        <f ca="1">IFERROR(__xludf.DUMMYFUNCTION("""COMPUTED_VALUE"""),394500)</f>
        <v>394500</v>
      </c>
      <c r="I1911" s="1"/>
    </row>
    <row r="1912" spans="1:9">
      <c r="A1912" s="3">
        <f ca="1">IFERROR(__xludf.DUMMYFUNCTION("""COMPUTED_VALUE"""),31981.6666666666)</f>
        <v>31981.666666666599</v>
      </c>
      <c r="B1912" s="1">
        <f ca="1">IFERROR(__xludf.DUMMYFUNCTION("""COMPUTED_VALUE"""),5.88)</f>
        <v>5.88</v>
      </c>
      <c r="C1912" s="1">
        <f ca="1">IFERROR(__xludf.DUMMYFUNCTION("""COMPUTED_VALUE"""),5.98)</f>
        <v>5.98</v>
      </c>
      <c r="D1912" s="1">
        <f ca="1">IFERROR(__xludf.DUMMYFUNCTION("""COMPUTED_VALUE"""),5.81)</f>
        <v>5.81</v>
      </c>
      <c r="E1912" s="1">
        <f ca="1">IFERROR(__xludf.DUMMYFUNCTION("""COMPUTED_VALUE"""),5.88)</f>
        <v>5.88</v>
      </c>
      <c r="F1912" s="1">
        <f ca="1">IFERROR(__xludf.DUMMYFUNCTION("""COMPUTED_VALUE"""),276400)</f>
        <v>276400</v>
      </c>
      <c r="I1912" s="1"/>
    </row>
    <row r="1913" spans="1:9">
      <c r="A1913" s="3">
        <f ca="1">IFERROR(__xludf.DUMMYFUNCTION("""COMPUTED_VALUE"""),31982.6666666666)</f>
        <v>31982.666666666599</v>
      </c>
      <c r="B1913" s="1">
        <f ca="1">IFERROR(__xludf.DUMMYFUNCTION("""COMPUTED_VALUE"""),5.85)</f>
        <v>5.85</v>
      </c>
      <c r="C1913" s="1">
        <f ca="1">IFERROR(__xludf.DUMMYFUNCTION("""COMPUTED_VALUE"""),5.87)</f>
        <v>5.87</v>
      </c>
      <c r="D1913" s="1">
        <f ca="1">IFERROR(__xludf.DUMMYFUNCTION("""COMPUTED_VALUE"""),5.81)</f>
        <v>5.81</v>
      </c>
      <c r="E1913" s="1">
        <f ca="1">IFERROR(__xludf.DUMMYFUNCTION("""COMPUTED_VALUE"""),5.85)</f>
        <v>5.85</v>
      </c>
      <c r="F1913" s="1">
        <f ca="1">IFERROR(__xludf.DUMMYFUNCTION("""COMPUTED_VALUE"""),216800)</f>
        <v>216800</v>
      </c>
      <c r="I1913" s="1"/>
    </row>
    <row r="1914" spans="1:9">
      <c r="A1914" s="3">
        <f ca="1">IFERROR(__xludf.DUMMYFUNCTION("""COMPUTED_VALUE"""),31985.6666666666)</f>
        <v>31985.666666666599</v>
      </c>
      <c r="B1914" s="1">
        <f ca="1">IFERROR(__xludf.DUMMYFUNCTION("""COMPUTED_VALUE"""),5.84)</f>
        <v>5.84</v>
      </c>
      <c r="C1914" s="1">
        <f ca="1">IFERROR(__xludf.DUMMYFUNCTION("""COMPUTED_VALUE"""),5.85)</f>
        <v>5.85</v>
      </c>
      <c r="D1914" s="1">
        <f ca="1">IFERROR(__xludf.DUMMYFUNCTION("""COMPUTED_VALUE"""),5.82)</f>
        <v>5.82</v>
      </c>
      <c r="E1914" s="1">
        <f ca="1">IFERROR(__xludf.DUMMYFUNCTION("""COMPUTED_VALUE"""),5.84)</f>
        <v>5.84</v>
      </c>
      <c r="F1914" s="1">
        <f ca="1">IFERROR(__xludf.DUMMYFUNCTION("""COMPUTED_VALUE"""),200600)</f>
        <v>200600</v>
      </c>
      <c r="I1914" s="1"/>
    </row>
    <row r="1915" spans="1:9">
      <c r="A1915" s="3">
        <f ca="1">IFERROR(__xludf.DUMMYFUNCTION("""COMPUTED_VALUE"""),31986.6666666666)</f>
        <v>31986.666666666599</v>
      </c>
      <c r="B1915" s="1">
        <f ca="1">IFERROR(__xludf.DUMMYFUNCTION("""COMPUTED_VALUE"""),5.82)</f>
        <v>5.82</v>
      </c>
      <c r="C1915" s="1">
        <f ca="1">IFERROR(__xludf.DUMMYFUNCTION("""COMPUTED_VALUE"""),5.87)</f>
        <v>5.87</v>
      </c>
      <c r="D1915" s="1">
        <f ca="1">IFERROR(__xludf.DUMMYFUNCTION("""COMPUTED_VALUE"""),5.82)</f>
        <v>5.82</v>
      </c>
      <c r="E1915" s="1">
        <f ca="1">IFERROR(__xludf.DUMMYFUNCTION("""COMPUTED_VALUE"""),5.82)</f>
        <v>5.82</v>
      </c>
      <c r="F1915" s="1">
        <f ca="1">IFERROR(__xludf.DUMMYFUNCTION("""COMPUTED_VALUE"""),332400)</f>
        <v>332400</v>
      </c>
      <c r="I1915" s="1"/>
    </row>
    <row r="1916" spans="1:9">
      <c r="A1916" s="3">
        <f ca="1">IFERROR(__xludf.DUMMYFUNCTION("""COMPUTED_VALUE"""),31987.6666666666)</f>
        <v>31987.666666666599</v>
      </c>
      <c r="B1916" s="1">
        <f ca="1">IFERROR(__xludf.DUMMYFUNCTION("""COMPUTED_VALUE"""),5.95)</f>
        <v>5.95</v>
      </c>
      <c r="C1916" s="1">
        <f ca="1">IFERROR(__xludf.DUMMYFUNCTION("""COMPUTED_VALUE"""),5.98)</f>
        <v>5.98</v>
      </c>
      <c r="D1916" s="1">
        <f ca="1">IFERROR(__xludf.DUMMYFUNCTION("""COMPUTED_VALUE"""),5.82)</f>
        <v>5.82</v>
      </c>
      <c r="E1916" s="1">
        <f ca="1">IFERROR(__xludf.DUMMYFUNCTION("""COMPUTED_VALUE"""),5.95)</f>
        <v>5.95</v>
      </c>
      <c r="F1916" s="1">
        <f ca="1">IFERROR(__xludf.DUMMYFUNCTION("""COMPUTED_VALUE"""),471800)</f>
        <v>471800</v>
      </c>
      <c r="I1916" s="1"/>
    </row>
    <row r="1917" spans="1:9">
      <c r="A1917" s="3">
        <f ca="1">IFERROR(__xludf.DUMMYFUNCTION("""COMPUTED_VALUE"""),31988.6666666666)</f>
        <v>31988.666666666599</v>
      </c>
      <c r="B1917" s="1">
        <f ca="1">IFERROR(__xludf.DUMMYFUNCTION("""COMPUTED_VALUE"""),6.03)</f>
        <v>6.03</v>
      </c>
      <c r="C1917" s="1">
        <f ca="1">IFERROR(__xludf.DUMMYFUNCTION("""COMPUTED_VALUE"""),6.05)</f>
        <v>6.05</v>
      </c>
      <c r="D1917" s="1">
        <f ca="1">IFERROR(__xludf.DUMMYFUNCTION("""COMPUTED_VALUE"""),5.91)</f>
        <v>5.91</v>
      </c>
      <c r="E1917" s="1">
        <f ca="1">IFERROR(__xludf.DUMMYFUNCTION("""COMPUTED_VALUE"""),6.03)</f>
        <v>6.03</v>
      </c>
      <c r="F1917" s="1">
        <f ca="1">IFERROR(__xludf.DUMMYFUNCTION("""COMPUTED_VALUE"""),589300)</f>
        <v>589300</v>
      </c>
      <c r="I1917" s="1"/>
    </row>
    <row r="1918" spans="1:9">
      <c r="A1918" s="3">
        <f ca="1">IFERROR(__xludf.DUMMYFUNCTION("""COMPUTED_VALUE"""),31989.6666666666)</f>
        <v>31989.666666666599</v>
      </c>
      <c r="B1918" s="1">
        <f ca="1">IFERROR(__xludf.DUMMYFUNCTION("""COMPUTED_VALUE"""),5.95)</f>
        <v>5.95</v>
      </c>
      <c r="C1918" s="1">
        <f ca="1">IFERROR(__xludf.DUMMYFUNCTION("""COMPUTED_VALUE"""),6.02)</f>
        <v>6.02</v>
      </c>
      <c r="D1918" s="1">
        <f ca="1">IFERROR(__xludf.DUMMYFUNCTION("""COMPUTED_VALUE"""),5.95)</f>
        <v>5.95</v>
      </c>
      <c r="E1918" s="1">
        <f ca="1">IFERROR(__xludf.DUMMYFUNCTION("""COMPUTED_VALUE"""),5.95)</f>
        <v>5.95</v>
      </c>
      <c r="F1918" s="1">
        <f ca="1">IFERROR(__xludf.DUMMYFUNCTION("""COMPUTED_VALUE"""),292100)</f>
        <v>292100</v>
      </c>
      <c r="I1918" s="1"/>
    </row>
    <row r="1919" spans="1:9">
      <c r="A1919" s="3">
        <f ca="1">IFERROR(__xludf.DUMMYFUNCTION("""COMPUTED_VALUE"""),31992.6666666666)</f>
        <v>31992.666666666599</v>
      </c>
      <c r="B1919" s="1">
        <f ca="1">IFERROR(__xludf.DUMMYFUNCTION("""COMPUTED_VALUE"""),5.89)</f>
        <v>5.89</v>
      </c>
      <c r="C1919" s="1">
        <f ca="1">IFERROR(__xludf.DUMMYFUNCTION("""COMPUTED_VALUE"""),5.94)</f>
        <v>5.94</v>
      </c>
      <c r="D1919" s="1">
        <f ca="1">IFERROR(__xludf.DUMMYFUNCTION("""COMPUTED_VALUE"""),5.88)</f>
        <v>5.88</v>
      </c>
      <c r="E1919" s="1">
        <f ca="1">IFERROR(__xludf.DUMMYFUNCTION("""COMPUTED_VALUE"""),5.89)</f>
        <v>5.89</v>
      </c>
      <c r="F1919" s="1">
        <f ca="1">IFERROR(__xludf.DUMMYFUNCTION("""COMPUTED_VALUE"""),400400)</f>
        <v>400400</v>
      </c>
      <c r="I1919" s="1"/>
    </row>
    <row r="1920" spans="1:9">
      <c r="A1920" s="3">
        <f ca="1">IFERROR(__xludf.DUMMYFUNCTION("""COMPUTED_VALUE"""),31993.6666666666)</f>
        <v>31993.666666666599</v>
      </c>
      <c r="B1920" s="1">
        <f ca="1">IFERROR(__xludf.DUMMYFUNCTION("""COMPUTED_VALUE"""),5.89)</f>
        <v>5.89</v>
      </c>
      <c r="C1920" s="1">
        <f ca="1">IFERROR(__xludf.DUMMYFUNCTION("""COMPUTED_VALUE"""),5.89)</f>
        <v>5.89</v>
      </c>
      <c r="D1920" s="1">
        <f ca="1">IFERROR(__xludf.DUMMYFUNCTION("""COMPUTED_VALUE"""),5.78)</f>
        <v>5.78</v>
      </c>
      <c r="E1920" s="1">
        <f ca="1">IFERROR(__xludf.DUMMYFUNCTION("""COMPUTED_VALUE"""),5.89)</f>
        <v>5.89</v>
      </c>
      <c r="F1920" s="1">
        <f ca="1">IFERROR(__xludf.DUMMYFUNCTION("""COMPUTED_VALUE"""),415000)</f>
        <v>415000</v>
      </c>
      <c r="I1920" s="1"/>
    </row>
    <row r="1921" spans="1:9">
      <c r="A1921" s="3">
        <f ca="1">IFERROR(__xludf.DUMMYFUNCTION("""COMPUTED_VALUE"""),31994.6666666666)</f>
        <v>31994.666666666599</v>
      </c>
      <c r="B1921" s="1">
        <f ca="1">IFERROR(__xludf.DUMMYFUNCTION("""COMPUTED_VALUE"""),6.03)</f>
        <v>6.03</v>
      </c>
      <c r="C1921" s="1">
        <f ca="1">IFERROR(__xludf.DUMMYFUNCTION("""COMPUTED_VALUE"""),6.07)</f>
        <v>6.07</v>
      </c>
      <c r="D1921" s="1">
        <f ca="1">IFERROR(__xludf.DUMMYFUNCTION("""COMPUTED_VALUE"""),5.92)</f>
        <v>5.92</v>
      </c>
      <c r="E1921" s="1">
        <f ca="1">IFERROR(__xludf.DUMMYFUNCTION("""COMPUTED_VALUE"""),6.03)</f>
        <v>6.03</v>
      </c>
      <c r="F1921" s="1">
        <f ca="1">IFERROR(__xludf.DUMMYFUNCTION("""COMPUTED_VALUE"""),508700)</f>
        <v>508700</v>
      </c>
      <c r="I1921" s="1"/>
    </row>
    <row r="1922" spans="1:9">
      <c r="A1922" s="3">
        <f ca="1">IFERROR(__xludf.DUMMYFUNCTION("""COMPUTED_VALUE"""),31995.6666666666)</f>
        <v>31995.666666666599</v>
      </c>
      <c r="B1922" s="1">
        <f ca="1">IFERROR(__xludf.DUMMYFUNCTION("""COMPUTED_VALUE"""),6.11)</f>
        <v>6.11</v>
      </c>
      <c r="C1922" s="1">
        <f ca="1">IFERROR(__xludf.DUMMYFUNCTION("""COMPUTED_VALUE"""),6.11)</f>
        <v>6.11</v>
      </c>
      <c r="D1922" s="1">
        <f ca="1">IFERROR(__xludf.DUMMYFUNCTION("""COMPUTED_VALUE"""),5.97)</f>
        <v>5.97</v>
      </c>
      <c r="E1922" s="1">
        <f ca="1">IFERROR(__xludf.DUMMYFUNCTION("""COMPUTED_VALUE"""),6.11)</f>
        <v>6.11</v>
      </c>
      <c r="F1922" s="1">
        <f ca="1">IFERROR(__xludf.DUMMYFUNCTION("""COMPUTED_VALUE"""),344100)</f>
        <v>344100</v>
      </c>
      <c r="I1922" s="1"/>
    </row>
    <row r="1923" spans="1:9">
      <c r="A1923" s="3">
        <f ca="1">IFERROR(__xludf.DUMMYFUNCTION("""COMPUTED_VALUE"""),31996.6666666666)</f>
        <v>31996.666666666599</v>
      </c>
      <c r="B1923" s="1">
        <f ca="1">IFERROR(__xludf.DUMMYFUNCTION("""COMPUTED_VALUE"""),6.17)</f>
        <v>6.17</v>
      </c>
      <c r="C1923" s="1">
        <f ca="1">IFERROR(__xludf.DUMMYFUNCTION("""COMPUTED_VALUE"""),6.21)</f>
        <v>6.21</v>
      </c>
      <c r="D1923" s="1">
        <f ca="1">IFERROR(__xludf.DUMMYFUNCTION("""COMPUTED_VALUE"""),6.12)</f>
        <v>6.12</v>
      </c>
      <c r="E1923" s="1">
        <f ca="1">IFERROR(__xludf.DUMMYFUNCTION("""COMPUTED_VALUE"""),6.17)</f>
        <v>6.17</v>
      </c>
      <c r="F1923" s="1">
        <f ca="1">IFERROR(__xludf.DUMMYFUNCTION("""COMPUTED_VALUE"""),635400)</f>
        <v>635400</v>
      </c>
      <c r="I1923" s="1"/>
    </row>
    <row r="1924" spans="1:9">
      <c r="A1924" s="3">
        <f ca="1">IFERROR(__xludf.DUMMYFUNCTION("""COMPUTED_VALUE"""),31999.6666666666)</f>
        <v>31999.666666666599</v>
      </c>
      <c r="B1924" s="1">
        <f ca="1">IFERROR(__xludf.DUMMYFUNCTION("""COMPUTED_VALUE"""),6.25)</f>
        <v>6.25</v>
      </c>
      <c r="C1924" s="1">
        <f ca="1">IFERROR(__xludf.DUMMYFUNCTION("""COMPUTED_VALUE"""),6.25)</f>
        <v>6.25</v>
      </c>
      <c r="D1924" s="1">
        <f ca="1">IFERROR(__xludf.DUMMYFUNCTION("""COMPUTED_VALUE"""),6.16)</f>
        <v>6.16</v>
      </c>
      <c r="E1924" s="1">
        <f ca="1">IFERROR(__xludf.DUMMYFUNCTION("""COMPUTED_VALUE"""),6.25)</f>
        <v>6.25</v>
      </c>
      <c r="F1924" s="1">
        <f ca="1">IFERROR(__xludf.DUMMYFUNCTION("""COMPUTED_VALUE"""),501900)</f>
        <v>501900</v>
      </c>
      <c r="I1924" s="1"/>
    </row>
    <row r="1925" spans="1:9">
      <c r="A1925" s="3">
        <f ca="1">IFERROR(__xludf.DUMMYFUNCTION("""COMPUTED_VALUE"""),32000.6666666666)</f>
        <v>32000.666666666599</v>
      </c>
      <c r="B1925" s="1">
        <f ca="1">IFERROR(__xludf.DUMMYFUNCTION("""COMPUTED_VALUE"""),6.41)</f>
        <v>6.41</v>
      </c>
      <c r="C1925" s="1">
        <f ca="1">IFERROR(__xludf.DUMMYFUNCTION("""COMPUTED_VALUE"""),6.43)</f>
        <v>6.43</v>
      </c>
      <c r="D1925" s="1">
        <f ca="1">IFERROR(__xludf.DUMMYFUNCTION("""COMPUTED_VALUE"""),6.23)</f>
        <v>6.23</v>
      </c>
      <c r="E1925" s="1">
        <f ca="1">IFERROR(__xludf.DUMMYFUNCTION("""COMPUTED_VALUE"""),6.41)</f>
        <v>6.41</v>
      </c>
      <c r="F1925" s="1">
        <f ca="1">IFERROR(__xludf.DUMMYFUNCTION("""COMPUTED_VALUE"""),824800)</f>
        <v>824800</v>
      </c>
      <c r="I1925" s="1"/>
    </row>
    <row r="1926" spans="1:9">
      <c r="A1926" s="3">
        <f ca="1">IFERROR(__xludf.DUMMYFUNCTION("""COMPUTED_VALUE"""),32001.6666666666)</f>
        <v>32001.666666666599</v>
      </c>
      <c r="B1926" s="1">
        <f ca="1">IFERROR(__xludf.DUMMYFUNCTION("""COMPUTED_VALUE"""),6.32)</f>
        <v>6.32</v>
      </c>
      <c r="C1926" s="1">
        <f ca="1">IFERROR(__xludf.DUMMYFUNCTION("""COMPUTED_VALUE"""),6.41)</f>
        <v>6.41</v>
      </c>
      <c r="D1926" s="1">
        <f ca="1">IFERROR(__xludf.DUMMYFUNCTION("""COMPUTED_VALUE"""),6.27)</f>
        <v>6.27</v>
      </c>
      <c r="E1926" s="1">
        <f ca="1">IFERROR(__xludf.DUMMYFUNCTION("""COMPUTED_VALUE"""),6.32)</f>
        <v>6.32</v>
      </c>
      <c r="F1926" s="1">
        <f ca="1">IFERROR(__xludf.DUMMYFUNCTION("""COMPUTED_VALUE"""),581100)</f>
        <v>581100</v>
      </c>
      <c r="I1926" s="1"/>
    </row>
    <row r="1927" spans="1:9">
      <c r="A1927" s="3">
        <f ca="1">IFERROR(__xludf.DUMMYFUNCTION("""COMPUTED_VALUE"""),32002.6666666666)</f>
        <v>32002.666666666599</v>
      </c>
      <c r="B1927" s="1">
        <f ca="1">IFERROR(__xludf.DUMMYFUNCTION("""COMPUTED_VALUE"""),6.32)</f>
        <v>6.32</v>
      </c>
      <c r="C1927" s="1">
        <f ca="1">IFERROR(__xludf.DUMMYFUNCTION("""COMPUTED_VALUE"""),6.41)</f>
        <v>6.41</v>
      </c>
      <c r="D1927" s="1">
        <f ca="1">IFERROR(__xludf.DUMMYFUNCTION("""COMPUTED_VALUE"""),6.31)</f>
        <v>6.31</v>
      </c>
      <c r="E1927" s="1">
        <f ca="1">IFERROR(__xludf.DUMMYFUNCTION("""COMPUTED_VALUE"""),6.32)</f>
        <v>6.32</v>
      </c>
      <c r="F1927" s="1">
        <f ca="1">IFERROR(__xludf.DUMMYFUNCTION("""COMPUTED_VALUE"""),724100)</f>
        <v>724100</v>
      </c>
      <c r="I1927" s="1"/>
    </row>
    <row r="1928" spans="1:9">
      <c r="A1928" s="3">
        <f ca="1">IFERROR(__xludf.DUMMYFUNCTION("""COMPUTED_VALUE"""),32003.6666666666)</f>
        <v>32003.666666666599</v>
      </c>
      <c r="B1928" s="1">
        <f ca="1">IFERROR(__xludf.DUMMYFUNCTION("""COMPUTED_VALUE"""),6.28)</f>
        <v>6.28</v>
      </c>
      <c r="C1928" s="1">
        <f ca="1">IFERROR(__xludf.DUMMYFUNCTION("""COMPUTED_VALUE"""),6.36)</f>
        <v>6.36</v>
      </c>
      <c r="D1928" s="1">
        <f ca="1">IFERROR(__xludf.DUMMYFUNCTION("""COMPUTED_VALUE"""),6.26)</f>
        <v>6.26</v>
      </c>
      <c r="E1928" s="1">
        <f ca="1">IFERROR(__xludf.DUMMYFUNCTION("""COMPUTED_VALUE"""),6.28)</f>
        <v>6.28</v>
      </c>
      <c r="F1928" s="1">
        <f ca="1">IFERROR(__xludf.DUMMYFUNCTION("""COMPUTED_VALUE"""),619200)</f>
        <v>619200</v>
      </c>
      <c r="I1928" s="1"/>
    </row>
    <row r="1929" spans="1:9">
      <c r="A1929" s="3">
        <f ca="1">IFERROR(__xludf.DUMMYFUNCTION("""COMPUTED_VALUE"""),32006.6666666666)</f>
        <v>32006.666666666599</v>
      </c>
      <c r="B1929" s="1">
        <f ca="1">IFERROR(__xludf.DUMMYFUNCTION("""COMPUTED_VALUE"""),6.35)</f>
        <v>6.35</v>
      </c>
      <c r="C1929" s="1">
        <f ca="1">IFERROR(__xludf.DUMMYFUNCTION("""COMPUTED_VALUE"""),6.36)</f>
        <v>6.36</v>
      </c>
      <c r="D1929" s="1">
        <f ca="1">IFERROR(__xludf.DUMMYFUNCTION("""COMPUTED_VALUE"""),6.29)</f>
        <v>6.29</v>
      </c>
      <c r="E1929" s="1">
        <f ca="1">IFERROR(__xludf.DUMMYFUNCTION("""COMPUTED_VALUE"""),6.35)</f>
        <v>6.35</v>
      </c>
      <c r="F1929" s="1">
        <f ca="1">IFERROR(__xludf.DUMMYFUNCTION("""COMPUTED_VALUE"""),365500)</f>
        <v>365500</v>
      </c>
      <c r="I1929" s="1"/>
    </row>
    <row r="1930" spans="1:9">
      <c r="A1930" s="3">
        <f ca="1">IFERROR(__xludf.DUMMYFUNCTION("""COMPUTED_VALUE"""),32007.6666666666)</f>
        <v>32007.666666666599</v>
      </c>
      <c r="B1930" s="1">
        <f ca="1">IFERROR(__xludf.DUMMYFUNCTION("""COMPUTED_VALUE"""),6.34)</f>
        <v>6.34</v>
      </c>
      <c r="C1930" s="1">
        <f ca="1">IFERROR(__xludf.DUMMYFUNCTION("""COMPUTED_VALUE"""),6.35)</f>
        <v>6.35</v>
      </c>
      <c r="D1930" s="1">
        <f ca="1">IFERROR(__xludf.DUMMYFUNCTION("""COMPUTED_VALUE"""),6.22)</f>
        <v>6.22</v>
      </c>
      <c r="E1930" s="1">
        <f ca="1">IFERROR(__xludf.DUMMYFUNCTION("""COMPUTED_VALUE"""),6.34)</f>
        <v>6.34</v>
      </c>
      <c r="F1930" s="1">
        <f ca="1">IFERROR(__xludf.DUMMYFUNCTION("""COMPUTED_VALUE"""),583400)</f>
        <v>583400</v>
      </c>
      <c r="I1930" s="1"/>
    </row>
    <row r="1931" spans="1:9">
      <c r="A1931" s="3">
        <f ca="1">IFERROR(__xludf.DUMMYFUNCTION("""COMPUTED_VALUE"""),32008.6666666666)</f>
        <v>32008.666666666599</v>
      </c>
      <c r="B1931" s="1">
        <f ca="1">IFERROR(__xludf.DUMMYFUNCTION("""COMPUTED_VALUE"""),6.34)</f>
        <v>6.34</v>
      </c>
      <c r="C1931" s="1">
        <f ca="1">IFERROR(__xludf.DUMMYFUNCTION("""COMPUTED_VALUE"""),6.38)</f>
        <v>6.38</v>
      </c>
      <c r="D1931" s="1">
        <f ca="1">IFERROR(__xludf.DUMMYFUNCTION("""COMPUTED_VALUE"""),6.3)</f>
        <v>6.3</v>
      </c>
      <c r="E1931" s="1">
        <f ca="1">IFERROR(__xludf.DUMMYFUNCTION("""COMPUTED_VALUE"""),6.34)</f>
        <v>6.34</v>
      </c>
      <c r="F1931" s="1">
        <f ca="1">IFERROR(__xludf.DUMMYFUNCTION("""COMPUTED_VALUE"""),455500)</f>
        <v>455500</v>
      </c>
      <c r="I1931" s="1"/>
    </row>
    <row r="1932" spans="1:9">
      <c r="A1932" s="3">
        <f ca="1">IFERROR(__xludf.DUMMYFUNCTION("""COMPUTED_VALUE"""),32009.6666666666)</f>
        <v>32009.666666666599</v>
      </c>
      <c r="B1932" s="1">
        <f ca="1">IFERROR(__xludf.DUMMYFUNCTION("""COMPUTED_VALUE"""),6.5)</f>
        <v>6.5</v>
      </c>
      <c r="C1932" s="1">
        <f ca="1">IFERROR(__xludf.DUMMYFUNCTION("""COMPUTED_VALUE"""),6.5)</f>
        <v>6.5</v>
      </c>
      <c r="D1932" s="1">
        <f ca="1">IFERROR(__xludf.DUMMYFUNCTION("""COMPUTED_VALUE"""),6.38)</f>
        <v>6.38</v>
      </c>
      <c r="E1932" s="1">
        <f ca="1">IFERROR(__xludf.DUMMYFUNCTION("""COMPUTED_VALUE"""),6.5)</f>
        <v>6.5</v>
      </c>
      <c r="F1932" s="1">
        <f ca="1">IFERROR(__xludf.DUMMYFUNCTION("""COMPUTED_VALUE"""),602200)</f>
        <v>602200</v>
      </c>
      <c r="I1932" s="1"/>
    </row>
    <row r="1933" spans="1:9">
      <c r="A1933" s="3">
        <f ca="1">IFERROR(__xludf.DUMMYFUNCTION("""COMPUTED_VALUE"""),32010.6666666666)</f>
        <v>32010.666666666599</v>
      </c>
      <c r="B1933" s="1">
        <f ca="1">IFERROR(__xludf.DUMMYFUNCTION("""COMPUTED_VALUE"""),6.52)</f>
        <v>6.52</v>
      </c>
      <c r="C1933" s="1">
        <f ca="1">IFERROR(__xludf.DUMMYFUNCTION("""COMPUTED_VALUE"""),6.55)</f>
        <v>6.55</v>
      </c>
      <c r="D1933" s="1">
        <f ca="1">IFERROR(__xludf.DUMMYFUNCTION("""COMPUTED_VALUE"""),6.45)</f>
        <v>6.45</v>
      </c>
      <c r="E1933" s="1">
        <f ca="1">IFERROR(__xludf.DUMMYFUNCTION("""COMPUTED_VALUE"""),6.52)</f>
        <v>6.52</v>
      </c>
      <c r="F1933" s="1">
        <f ca="1">IFERROR(__xludf.DUMMYFUNCTION("""COMPUTED_VALUE"""),863200)</f>
        <v>863200</v>
      </c>
      <c r="I1933" s="1"/>
    </row>
    <row r="1934" spans="1:9">
      <c r="A1934" s="3">
        <f ca="1">IFERROR(__xludf.DUMMYFUNCTION("""COMPUTED_VALUE"""),32013.6666666666)</f>
        <v>32013.666666666599</v>
      </c>
      <c r="B1934" s="1">
        <f ca="1">IFERROR(__xludf.DUMMYFUNCTION("""COMPUTED_VALUE"""),6.44)</f>
        <v>6.44</v>
      </c>
      <c r="C1934" s="1">
        <f ca="1">IFERROR(__xludf.DUMMYFUNCTION("""COMPUTED_VALUE"""),6.55)</f>
        <v>6.55</v>
      </c>
      <c r="D1934" s="1">
        <f ca="1">IFERROR(__xludf.DUMMYFUNCTION("""COMPUTED_VALUE"""),6.44)</f>
        <v>6.44</v>
      </c>
      <c r="E1934" s="1">
        <f ca="1">IFERROR(__xludf.DUMMYFUNCTION("""COMPUTED_VALUE"""),6.44)</f>
        <v>6.44</v>
      </c>
      <c r="F1934" s="1">
        <f ca="1">IFERROR(__xludf.DUMMYFUNCTION("""COMPUTED_VALUE"""),378200)</f>
        <v>378200</v>
      </c>
      <c r="I1934" s="1"/>
    </row>
    <row r="1935" spans="1:9">
      <c r="A1935" s="3">
        <f ca="1">IFERROR(__xludf.DUMMYFUNCTION("""COMPUTED_VALUE"""),32014.6666666666)</f>
        <v>32014.666666666599</v>
      </c>
      <c r="B1935" s="1">
        <f ca="1">IFERROR(__xludf.DUMMYFUNCTION("""COMPUTED_VALUE"""),6.54)</f>
        <v>6.54</v>
      </c>
      <c r="C1935" s="1">
        <f ca="1">IFERROR(__xludf.DUMMYFUNCTION("""COMPUTED_VALUE"""),6.59)</f>
        <v>6.59</v>
      </c>
      <c r="D1935" s="1">
        <f ca="1">IFERROR(__xludf.DUMMYFUNCTION("""COMPUTED_VALUE"""),6.46)</f>
        <v>6.46</v>
      </c>
      <c r="E1935" s="1">
        <f ca="1">IFERROR(__xludf.DUMMYFUNCTION("""COMPUTED_VALUE"""),6.54)</f>
        <v>6.54</v>
      </c>
      <c r="F1935" s="1">
        <f ca="1">IFERROR(__xludf.DUMMYFUNCTION("""COMPUTED_VALUE"""),485100)</f>
        <v>485100</v>
      </c>
      <c r="I1935" s="1"/>
    </row>
    <row r="1936" spans="1:9">
      <c r="A1936" s="3">
        <f ca="1">IFERROR(__xludf.DUMMYFUNCTION("""COMPUTED_VALUE"""),32015.6666666666)</f>
        <v>32015.666666666599</v>
      </c>
      <c r="B1936" s="1">
        <f ca="1">IFERROR(__xludf.DUMMYFUNCTION("""COMPUTED_VALUE"""),6.48)</f>
        <v>6.48</v>
      </c>
      <c r="C1936" s="1">
        <f ca="1">IFERROR(__xludf.DUMMYFUNCTION("""COMPUTED_VALUE"""),6.55)</f>
        <v>6.55</v>
      </c>
      <c r="D1936" s="1">
        <f ca="1">IFERROR(__xludf.DUMMYFUNCTION("""COMPUTED_VALUE"""),6.48)</f>
        <v>6.48</v>
      </c>
      <c r="E1936" s="1">
        <f ca="1">IFERROR(__xludf.DUMMYFUNCTION("""COMPUTED_VALUE"""),6.48)</f>
        <v>6.48</v>
      </c>
      <c r="F1936" s="1">
        <f ca="1">IFERROR(__xludf.DUMMYFUNCTION("""COMPUTED_VALUE"""),386000)</f>
        <v>386000</v>
      </c>
      <c r="I1936" s="1"/>
    </row>
    <row r="1937" spans="1:9">
      <c r="A1937" s="3">
        <f ca="1">IFERROR(__xludf.DUMMYFUNCTION("""COMPUTED_VALUE"""),32016.6666666666)</f>
        <v>32016.666666666599</v>
      </c>
      <c r="B1937" s="1">
        <f ca="1">IFERROR(__xludf.DUMMYFUNCTION("""COMPUTED_VALUE"""),6.36)</f>
        <v>6.36</v>
      </c>
      <c r="C1937" s="1">
        <f ca="1">IFERROR(__xludf.DUMMYFUNCTION("""COMPUTED_VALUE"""),6.48)</f>
        <v>6.48</v>
      </c>
      <c r="D1937" s="1">
        <f ca="1">IFERROR(__xludf.DUMMYFUNCTION("""COMPUTED_VALUE"""),6.36)</f>
        <v>6.36</v>
      </c>
      <c r="E1937" s="1">
        <f ca="1">IFERROR(__xludf.DUMMYFUNCTION("""COMPUTED_VALUE"""),6.36)</f>
        <v>6.36</v>
      </c>
      <c r="F1937" s="1">
        <f ca="1">IFERROR(__xludf.DUMMYFUNCTION("""COMPUTED_VALUE"""),289600)</f>
        <v>289600</v>
      </c>
      <c r="I1937" s="1"/>
    </row>
    <row r="1938" spans="1:9">
      <c r="A1938" s="3">
        <f ca="1">IFERROR(__xludf.DUMMYFUNCTION("""COMPUTED_VALUE"""),32017.6666666666)</f>
        <v>32017.666666666599</v>
      </c>
      <c r="B1938" s="1">
        <f ca="1">IFERROR(__xludf.DUMMYFUNCTION("""COMPUTED_VALUE"""),6.23)</f>
        <v>6.23</v>
      </c>
      <c r="C1938" s="1">
        <f ca="1">IFERROR(__xludf.DUMMYFUNCTION("""COMPUTED_VALUE"""),6.37)</f>
        <v>6.37</v>
      </c>
      <c r="D1938" s="1">
        <f ca="1">IFERROR(__xludf.DUMMYFUNCTION("""COMPUTED_VALUE"""),6.22)</f>
        <v>6.22</v>
      </c>
      <c r="E1938" s="1">
        <f ca="1">IFERROR(__xludf.DUMMYFUNCTION("""COMPUTED_VALUE"""),6.23)</f>
        <v>6.23</v>
      </c>
      <c r="F1938" s="1">
        <f ca="1">IFERROR(__xludf.DUMMYFUNCTION("""COMPUTED_VALUE"""),487100)</f>
        <v>487100</v>
      </c>
      <c r="I1938" s="1"/>
    </row>
    <row r="1939" spans="1:9">
      <c r="A1939" s="3">
        <f ca="1">IFERROR(__xludf.DUMMYFUNCTION("""COMPUTED_VALUE"""),32020.6666666666)</f>
        <v>32020.666666666599</v>
      </c>
      <c r="B1939" s="1">
        <f ca="1">IFERROR(__xludf.DUMMYFUNCTION("""COMPUTED_VALUE"""),6.23)</f>
        <v>6.23</v>
      </c>
      <c r="C1939" s="1">
        <f ca="1">IFERROR(__xludf.DUMMYFUNCTION("""COMPUTED_VALUE"""),6.25)</f>
        <v>6.25</v>
      </c>
      <c r="D1939" s="1">
        <f ca="1">IFERROR(__xludf.DUMMYFUNCTION("""COMPUTED_VALUE"""),6.16)</f>
        <v>6.16</v>
      </c>
      <c r="E1939" s="1">
        <f ca="1">IFERROR(__xludf.DUMMYFUNCTION("""COMPUTED_VALUE"""),6.23)</f>
        <v>6.23</v>
      </c>
      <c r="F1939" s="1">
        <f ca="1">IFERROR(__xludf.DUMMYFUNCTION("""COMPUTED_VALUE"""),509000)</f>
        <v>509000</v>
      </c>
      <c r="I1939" s="1"/>
    </row>
    <row r="1940" spans="1:9">
      <c r="A1940" s="3">
        <f ca="1">IFERROR(__xludf.DUMMYFUNCTION("""COMPUTED_VALUE"""),32021.6666666666)</f>
        <v>32021.666666666599</v>
      </c>
      <c r="B1940" s="1">
        <f ca="1">IFERROR(__xludf.DUMMYFUNCTION("""COMPUTED_VALUE"""),6.01)</f>
        <v>6.01</v>
      </c>
      <c r="C1940" s="1">
        <f ca="1">IFERROR(__xludf.DUMMYFUNCTION("""COMPUTED_VALUE"""),6.28)</f>
        <v>6.28</v>
      </c>
      <c r="D1940" s="1">
        <f ca="1">IFERROR(__xludf.DUMMYFUNCTION("""COMPUTED_VALUE"""),5.97)</f>
        <v>5.97</v>
      </c>
      <c r="E1940" s="1">
        <f ca="1">IFERROR(__xludf.DUMMYFUNCTION("""COMPUTED_VALUE"""),6.01)</f>
        <v>6.01</v>
      </c>
      <c r="F1940" s="1">
        <f ca="1">IFERROR(__xludf.DUMMYFUNCTION("""COMPUTED_VALUE"""),538500)</f>
        <v>538500</v>
      </c>
      <c r="I1940" s="1"/>
    </row>
    <row r="1941" spans="1:9">
      <c r="A1941" s="3">
        <f ca="1">IFERROR(__xludf.DUMMYFUNCTION("""COMPUTED_VALUE"""),32022.6666666666)</f>
        <v>32022.666666666599</v>
      </c>
      <c r="B1941" s="1">
        <f ca="1">IFERROR(__xludf.DUMMYFUNCTION("""COMPUTED_VALUE"""),6.03)</f>
        <v>6.03</v>
      </c>
      <c r="C1941" s="1">
        <f ca="1">IFERROR(__xludf.DUMMYFUNCTION("""COMPUTED_VALUE"""),6.03)</f>
        <v>6.03</v>
      </c>
      <c r="D1941" s="1">
        <f ca="1">IFERROR(__xludf.DUMMYFUNCTION("""COMPUTED_VALUE"""),5.9)</f>
        <v>5.9</v>
      </c>
      <c r="E1941" s="1">
        <f ca="1">IFERROR(__xludf.DUMMYFUNCTION("""COMPUTED_VALUE"""),6.03)</f>
        <v>6.03</v>
      </c>
      <c r="F1941" s="1">
        <f ca="1">IFERROR(__xludf.DUMMYFUNCTION("""COMPUTED_VALUE"""),794500)</f>
        <v>794500</v>
      </c>
      <c r="I1941" s="1"/>
    </row>
    <row r="1942" spans="1:9">
      <c r="A1942" s="3">
        <f ca="1">IFERROR(__xludf.DUMMYFUNCTION("""COMPUTED_VALUE"""),32023.6666666666)</f>
        <v>32023.666666666599</v>
      </c>
      <c r="B1942" s="1">
        <f ca="1">IFERROR(__xludf.DUMMYFUNCTION("""COMPUTED_VALUE"""),5.98)</f>
        <v>5.98</v>
      </c>
      <c r="C1942" s="1">
        <f ca="1">IFERROR(__xludf.DUMMYFUNCTION("""COMPUTED_VALUE"""),6.09)</f>
        <v>6.09</v>
      </c>
      <c r="D1942" s="1">
        <f ca="1">IFERROR(__xludf.DUMMYFUNCTION("""COMPUTED_VALUE"""),5.9)</f>
        <v>5.9</v>
      </c>
      <c r="E1942" s="1">
        <f ca="1">IFERROR(__xludf.DUMMYFUNCTION("""COMPUTED_VALUE"""),5.98)</f>
        <v>5.98</v>
      </c>
      <c r="F1942" s="1">
        <f ca="1">IFERROR(__xludf.DUMMYFUNCTION("""COMPUTED_VALUE"""),625600)</f>
        <v>625600</v>
      </c>
      <c r="I1942" s="1"/>
    </row>
    <row r="1943" spans="1:9">
      <c r="A1943" s="3">
        <f ca="1">IFERROR(__xludf.DUMMYFUNCTION("""COMPUTED_VALUE"""),32024.6666666666)</f>
        <v>32024.666666666599</v>
      </c>
      <c r="B1943" s="1">
        <f ca="1">IFERROR(__xludf.DUMMYFUNCTION("""COMPUTED_VALUE"""),5.95)</f>
        <v>5.95</v>
      </c>
      <c r="C1943" s="1">
        <f ca="1">IFERROR(__xludf.DUMMYFUNCTION("""COMPUTED_VALUE"""),6.05)</f>
        <v>6.05</v>
      </c>
      <c r="D1943" s="1">
        <f ca="1">IFERROR(__xludf.DUMMYFUNCTION("""COMPUTED_VALUE"""),5.92)</f>
        <v>5.92</v>
      </c>
      <c r="E1943" s="1">
        <f ca="1">IFERROR(__xludf.DUMMYFUNCTION("""COMPUTED_VALUE"""),5.95)</f>
        <v>5.95</v>
      </c>
      <c r="F1943" s="1">
        <f ca="1">IFERROR(__xludf.DUMMYFUNCTION("""COMPUTED_VALUE"""),524800)</f>
        <v>524800</v>
      </c>
      <c r="I1943" s="1"/>
    </row>
    <row r="1944" spans="1:9">
      <c r="A1944" s="3">
        <f ca="1">IFERROR(__xludf.DUMMYFUNCTION("""COMPUTED_VALUE"""),32028.6666666666)</f>
        <v>32028.666666666599</v>
      </c>
      <c r="B1944" s="1">
        <f ca="1">IFERROR(__xludf.DUMMYFUNCTION("""COMPUTED_VALUE"""),5.91)</f>
        <v>5.91</v>
      </c>
      <c r="C1944" s="1">
        <f ca="1">IFERROR(__xludf.DUMMYFUNCTION("""COMPUTED_VALUE"""),5.95)</f>
        <v>5.95</v>
      </c>
      <c r="D1944" s="1">
        <f ca="1">IFERROR(__xludf.DUMMYFUNCTION("""COMPUTED_VALUE"""),5.78)</f>
        <v>5.78</v>
      </c>
      <c r="E1944" s="1">
        <f ca="1">IFERROR(__xludf.DUMMYFUNCTION("""COMPUTED_VALUE"""),5.91)</f>
        <v>5.91</v>
      </c>
      <c r="F1944" s="1">
        <f ca="1">IFERROR(__xludf.DUMMYFUNCTION("""COMPUTED_VALUE"""),978400)</f>
        <v>978400</v>
      </c>
      <c r="I1944" s="1"/>
    </row>
    <row r="1945" spans="1:9">
      <c r="A1945" s="3">
        <f ca="1">IFERROR(__xludf.DUMMYFUNCTION("""COMPUTED_VALUE"""),32029.6666666666)</f>
        <v>32029.666666666599</v>
      </c>
      <c r="B1945" s="1">
        <f ca="1">IFERROR(__xludf.DUMMYFUNCTION("""COMPUTED_VALUE"""),5.88)</f>
        <v>5.88</v>
      </c>
      <c r="C1945" s="1">
        <f ca="1">IFERROR(__xludf.DUMMYFUNCTION("""COMPUTED_VALUE"""),5.93)</f>
        <v>5.93</v>
      </c>
      <c r="D1945" s="1">
        <f ca="1">IFERROR(__xludf.DUMMYFUNCTION("""COMPUTED_VALUE"""),5.83)</f>
        <v>5.83</v>
      </c>
      <c r="E1945" s="1">
        <f ca="1">IFERROR(__xludf.DUMMYFUNCTION("""COMPUTED_VALUE"""),5.88)</f>
        <v>5.88</v>
      </c>
      <c r="F1945" s="1">
        <f ca="1">IFERROR(__xludf.DUMMYFUNCTION("""COMPUTED_VALUE"""),451100)</f>
        <v>451100</v>
      </c>
      <c r="I1945" s="1"/>
    </row>
    <row r="1946" spans="1:9">
      <c r="A1946" s="3">
        <f ca="1">IFERROR(__xludf.DUMMYFUNCTION("""COMPUTED_VALUE"""),32030.6666666666)</f>
        <v>32030.666666666599</v>
      </c>
      <c r="B1946" s="1">
        <f ca="1">IFERROR(__xludf.DUMMYFUNCTION("""COMPUTED_VALUE"""),5.93)</f>
        <v>5.93</v>
      </c>
      <c r="C1946" s="1">
        <f ca="1">IFERROR(__xludf.DUMMYFUNCTION("""COMPUTED_VALUE"""),5.96)</f>
        <v>5.96</v>
      </c>
      <c r="D1946" s="1">
        <f ca="1">IFERROR(__xludf.DUMMYFUNCTION("""COMPUTED_VALUE"""),5.88)</f>
        <v>5.88</v>
      </c>
      <c r="E1946" s="1">
        <f ca="1">IFERROR(__xludf.DUMMYFUNCTION("""COMPUTED_VALUE"""),5.93)</f>
        <v>5.93</v>
      </c>
      <c r="F1946" s="1">
        <f ca="1">IFERROR(__xludf.DUMMYFUNCTION("""COMPUTED_VALUE"""),544500)</f>
        <v>544500</v>
      </c>
      <c r="I1946" s="1"/>
    </row>
    <row r="1947" spans="1:9">
      <c r="A1947" s="3">
        <f ca="1">IFERROR(__xludf.DUMMYFUNCTION("""COMPUTED_VALUE"""),32031.6666666666)</f>
        <v>32031.666666666599</v>
      </c>
      <c r="B1947" s="1">
        <f ca="1">IFERROR(__xludf.DUMMYFUNCTION("""COMPUTED_VALUE"""),6)</f>
        <v>6</v>
      </c>
      <c r="C1947" s="1">
        <f ca="1">IFERROR(__xludf.DUMMYFUNCTION("""COMPUTED_VALUE"""),6.09)</f>
        <v>6.09</v>
      </c>
      <c r="D1947" s="1">
        <f ca="1">IFERROR(__xludf.DUMMYFUNCTION("""COMPUTED_VALUE"""),5.93)</f>
        <v>5.93</v>
      </c>
      <c r="E1947" s="1">
        <f ca="1">IFERROR(__xludf.DUMMYFUNCTION("""COMPUTED_VALUE"""),6)</f>
        <v>6</v>
      </c>
      <c r="F1947" s="1">
        <f ca="1">IFERROR(__xludf.DUMMYFUNCTION("""COMPUTED_VALUE"""),656700)</f>
        <v>656700</v>
      </c>
      <c r="I1947" s="1"/>
    </row>
    <row r="1948" spans="1:9">
      <c r="A1948" s="3">
        <f ca="1">IFERROR(__xludf.DUMMYFUNCTION("""COMPUTED_VALUE"""),32034.6666666666)</f>
        <v>32034.666666666599</v>
      </c>
      <c r="B1948" s="1">
        <f ca="1">IFERROR(__xludf.DUMMYFUNCTION("""COMPUTED_VALUE"""),6.04)</f>
        <v>6.04</v>
      </c>
      <c r="C1948" s="1">
        <f ca="1">IFERROR(__xludf.DUMMYFUNCTION("""COMPUTED_VALUE"""),6.06)</f>
        <v>6.06</v>
      </c>
      <c r="D1948" s="1">
        <f ca="1">IFERROR(__xludf.DUMMYFUNCTION("""COMPUTED_VALUE"""),6)</f>
        <v>6</v>
      </c>
      <c r="E1948" s="1">
        <f ca="1">IFERROR(__xludf.DUMMYFUNCTION("""COMPUTED_VALUE"""),6.04)</f>
        <v>6.04</v>
      </c>
      <c r="F1948" s="1">
        <f ca="1">IFERROR(__xludf.DUMMYFUNCTION("""COMPUTED_VALUE"""),304400)</f>
        <v>304400</v>
      </c>
      <c r="I1948" s="1"/>
    </row>
    <row r="1949" spans="1:9">
      <c r="A1949" s="3">
        <f ca="1">IFERROR(__xludf.DUMMYFUNCTION("""COMPUTED_VALUE"""),32035.6666666666)</f>
        <v>32035.666666666599</v>
      </c>
      <c r="B1949" s="1">
        <f ca="1">IFERROR(__xludf.DUMMYFUNCTION("""COMPUTED_VALUE"""),5.99)</f>
        <v>5.99</v>
      </c>
      <c r="C1949" s="1">
        <f ca="1">IFERROR(__xludf.DUMMYFUNCTION("""COMPUTED_VALUE"""),6.03)</f>
        <v>6.03</v>
      </c>
      <c r="D1949" s="1">
        <f ca="1">IFERROR(__xludf.DUMMYFUNCTION("""COMPUTED_VALUE"""),5.96)</f>
        <v>5.96</v>
      </c>
      <c r="E1949" s="1">
        <f ca="1">IFERROR(__xludf.DUMMYFUNCTION("""COMPUTED_VALUE"""),5.99)</f>
        <v>5.99</v>
      </c>
      <c r="F1949" s="1">
        <f ca="1">IFERROR(__xludf.DUMMYFUNCTION("""COMPUTED_VALUE"""),246800)</f>
        <v>246800</v>
      </c>
      <c r="I1949" s="1"/>
    </row>
    <row r="1950" spans="1:9">
      <c r="A1950" s="3">
        <f ca="1">IFERROR(__xludf.DUMMYFUNCTION("""COMPUTED_VALUE"""),32036.6666666666)</f>
        <v>32036.666666666599</v>
      </c>
      <c r="B1950" s="1">
        <f ca="1">IFERROR(__xludf.DUMMYFUNCTION("""COMPUTED_VALUE"""),5.75)</f>
        <v>5.75</v>
      </c>
      <c r="C1950" s="1">
        <f ca="1">IFERROR(__xludf.DUMMYFUNCTION("""COMPUTED_VALUE"""),5.98)</f>
        <v>5.98</v>
      </c>
      <c r="D1950" s="1">
        <f ca="1">IFERROR(__xludf.DUMMYFUNCTION("""COMPUTED_VALUE"""),5.75)</f>
        <v>5.75</v>
      </c>
      <c r="E1950" s="1">
        <f ca="1">IFERROR(__xludf.DUMMYFUNCTION("""COMPUTED_VALUE"""),5.75)</f>
        <v>5.75</v>
      </c>
      <c r="F1950" s="1">
        <f ca="1">IFERROR(__xludf.DUMMYFUNCTION("""COMPUTED_VALUE"""),723900)</f>
        <v>723900</v>
      </c>
      <c r="I1950" s="1"/>
    </row>
    <row r="1951" spans="1:9">
      <c r="A1951" s="3">
        <f ca="1">IFERROR(__xludf.DUMMYFUNCTION("""COMPUTED_VALUE"""),32037.6666666666)</f>
        <v>32037.666666666599</v>
      </c>
      <c r="B1951" s="1">
        <f ca="1">IFERROR(__xludf.DUMMYFUNCTION("""COMPUTED_VALUE"""),5.78)</f>
        <v>5.78</v>
      </c>
      <c r="C1951" s="1">
        <f ca="1">IFERROR(__xludf.DUMMYFUNCTION("""COMPUTED_VALUE"""),5.82)</f>
        <v>5.82</v>
      </c>
      <c r="D1951" s="1">
        <f ca="1">IFERROR(__xludf.DUMMYFUNCTION("""COMPUTED_VALUE"""),5.77)</f>
        <v>5.77</v>
      </c>
      <c r="E1951" s="1">
        <f ca="1">IFERROR(__xludf.DUMMYFUNCTION("""COMPUTED_VALUE"""),5.78)</f>
        <v>5.78</v>
      </c>
      <c r="F1951" s="1">
        <f ca="1">IFERROR(__xludf.DUMMYFUNCTION("""COMPUTED_VALUE"""),700300)</f>
        <v>700300</v>
      </c>
      <c r="I1951" s="1"/>
    </row>
    <row r="1952" spans="1:9">
      <c r="A1952" s="3">
        <f ca="1">IFERROR(__xludf.DUMMYFUNCTION("""COMPUTED_VALUE"""),32038.6666666666)</f>
        <v>32038.666666666599</v>
      </c>
      <c r="B1952" s="1">
        <f ca="1">IFERROR(__xludf.DUMMYFUNCTION("""COMPUTED_VALUE"""),5.8)</f>
        <v>5.8</v>
      </c>
      <c r="C1952" s="1">
        <f ca="1">IFERROR(__xludf.DUMMYFUNCTION("""COMPUTED_VALUE"""),5.88)</f>
        <v>5.88</v>
      </c>
      <c r="D1952" s="1">
        <f ca="1">IFERROR(__xludf.DUMMYFUNCTION("""COMPUTED_VALUE"""),5.8)</f>
        <v>5.8</v>
      </c>
      <c r="E1952" s="1">
        <f ca="1">IFERROR(__xludf.DUMMYFUNCTION("""COMPUTED_VALUE"""),5.8)</f>
        <v>5.8</v>
      </c>
      <c r="F1952" s="1">
        <f ca="1">IFERROR(__xludf.DUMMYFUNCTION("""COMPUTED_VALUE"""),1152600)</f>
        <v>1152600</v>
      </c>
      <c r="I1952" s="1"/>
    </row>
    <row r="1953" spans="1:9">
      <c r="A1953" s="3">
        <f ca="1">IFERROR(__xludf.DUMMYFUNCTION("""COMPUTED_VALUE"""),32041.6666666666)</f>
        <v>32041.666666666599</v>
      </c>
      <c r="B1953" s="1">
        <f ca="1">IFERROR(__xludf.DUMMYFUNCTION("""COMPUTED_VALUE"""),5.6)</f>
        <v>5.6</v>
      </c>
      <c r="C1953" s="1">
        <f ca="1">IFERROR(__xludf.DUMMYFUNCTION("""COMPUTED_VALUE"""),5.88)</f>
        <v>5.88</v>
      </c>
      <c r="D1953" s="1">
        <f ca="1">IFERROR(__xludf.DUMMYFUNCTION("""COMPUTED_VALUE"""),5.59)</f>
        <v>5.59</v>
      </c>
      <c r="E1953" s="1">
        <f ca="1">IFERROR(__xludf.DUMMYFUNCTION("""COMPUTED_VALUE"""),5.6)</f>
        <v>5.6</v>
      </c>
      <c r="F1953" s="1">
        <f ca="1">IFERROR(__xludf.DUMMYFUNCTION("""COMPUTED_VALUE"""),865000)</f>
        <v>865000</v>
      </c>
      <c r="I1953" s="1"/>
    </row>
    <row r="1954" spans="1:9">
      <c r="A1954" s="3">
        <f ca="1">IFERROR(__xludf.DUMMYFUNCTION("""COMPUTED_VALUE"""),32042.6666666666)</f>
        <v>32042.666666666599</v>
      </c>
      <c r="B1954" s="1">
        <f ca="1">IFERROR(__xludf.DUMMYFUNCTION("""COMPUTED_VALUE"""),5.8)</f>
        <v>5.8</v>
      </c>
      <c r="C1954" s="1">
        <f ca="1">IFERROR(__xludf.DUMMYFUNCTION("""COMPUTED_VALUE"""),5.84)</f>
        <v>5.84</v>
      </c>
      <c r="D1954" s="1">
        <f ca="1">IFERROR(__xludf.DUMMYFUNCTION("""COMPUTED_VALUE"""),5.61)</f>
        <v>5.61</v>
      </c>
      <c r="E1954" s="1">
        <f ca="1">IFERROR(__xludf.DUMMYFUNCTION("""COMPUTED_VALUE"""),5.8)</f>
        <v>5.8</v>
      </c>
      <c r="F1954" s="1">
        <f ca="1">IFERROR(__xludf.DUMMYFUNCTION("""COMPUTED_VALUE"""),851000)</f>
        <v>851000</v>
      </c>
      <c r="I1954" s="1"/>
    </row>
    <row r="1955" spans="1:9">
      <c r="A1955" s="3">
        <f ca="1">IFERROR(__xludf.DUMMYFUNCTION("""COMPUTED_VALUE"""),32043.6666666666)</f>
        <v>32043.666666666599</v>
      </c>
      <c r="B1955" s="1">
        <f ca="1">IFERROR(__xludf.DUMMYFUNCTION("""COMPUTED_VALUE"""),5.92)</f>
        <v>5.92</v>
      </c>
      <c r="C1955" s="1">
        <f ca="1">IFERROR(__xludf.DUMMYFUNCTION("""COMPUTED_VALUE"""),5.95)</f>
        <v>5.95</v>
      </c>
      <c r="D1955" s="1">
        <f ca="1">IFERROR(__xludf.DUMMYFUNCTION("""COMPUTED_VALUE"""),5.83)</f>
        <v>5.83</v>
      </c>
      <c r="E1955" s="1">
        <f ca="1">IFERROR(__xludf.DUMMYFUNCTION("""COMPUTED_VALUE"""),5.92)</f>
        <v>5.92</v>
      </c>
      <c r="F1955" s="1">
        <f ca="1">IFERROR(__xludf.DUMMYFUNCTION("""COMPUTED_VALUE"""),660200)</f>
        <v>660200</v>
      </c>
      <c r="I1955" s="1"/>
    </row>
    <row r="1956" spans="1:9">
      <c r="A1956" s="3">
        <f ca="1">IFERROR(__xludf.DUMMYFUNCTION("""COMPUTED_VALUE"""),32044.6666666666)</f>
        <v>32044.666666666599</v>
      </c>
      <c r="B1956" s="1">
        <f ca="1">IFERROR(__xludf.DUMMYFUNCTION("""COMPUTED_VALUE"""),5.9)</f>
        <v>5.9</v>
      </c>
      <c r="C1956" s="1">
        <f ca="1">IFERROR(__xludf.DUMMYFUNCTION("""COMPUTED_VALUE"""),5.95)</f>
        <v>5.95</v>
      </c>
      <c r="D1956" s="1">
        <f ca="1">IFERROR(__xludf.DUMMYFUNCTION("""COMPUTED_VALUE"""),5.86)</f>
        <v>5.86</v>
      </c>
      <c r="E1956" s="1">
        <f ca="1">IFERROR(__xludf.DUMMYFUNCTION("""COMPUTED_VALUE"""),5.9)</f>
        <v>5.9</v>
      </c>
      <c r="F1956" s="1">
        <f ca="1">IFERROR(__xludf.DUMMYFUNCTION("""COMPUTED_VALUE"""),360200)</f>
        <v>360200</v>
      </c>
      <c r="I1956" s="1"/>
    </row>
    <row r="1957" spans="1:9">
      <c r="A1957" s="3">
        <f ca="1">IFERROR(__xludf.DUMMYFUNCTION("""COMPUTED_VALUE"""),32045.6666666666)</f>
        <v>32045.666666666599</v>
      </c>
      <c r="B1957" s="1">
        <f ca="1">IFERROR(__xludf.DUMMYFUNCTION("""COMPUTED_VALUE"""),5.84)</f>
        <v>5.84</v>
      </c>
      <c r="C1957" s="1">
        <f ca="1">IFERROR(__xludf.DUMMYFUNCTION("""COMPUTED_VALUE"""),5.91)</f>
        <v>5.91</v>
      </c>
      <c r="D1957" s="1">
        <f ca="1">IFERROR(__xludf.DUMMYFUNCTION("""COMPUTED_VALUE"""),5.72)</f>
        <v>5.72</v>
      </c>
      <c r="E1957" s="1">
        <f ca="1">IFERROR(__xludf.DUMMYFUNCTION("""COMPUTED_VALUE"""),5.84)</f>
        <v>5.84</v>
      </c>
      <c r="F1957" s="1">
        <f ca="1">IFERROR(__xludf.DUMMYFUNCTION("""COMPUTED_VALUE"""),924300)</f>
        <v>924300</v>
      </c>
      <c r="I1957" s="1"/>
    </row>
    <row r="1958" spans="1:9">
      <c r="A1958" s="3">
        <f ca="1">IFERROR(__xludf.DUMMYFUNCTION("""COMPUTED_VALUE"""),32048.6666666666)</f>
        <v>32048.666666666599</v>
      </c>
      <c r="B1958" s="1">
        <f ca="1">IFERROR(__xludf.DUMMYFUNCTION("""COMPUTED_VALUE"""),5.97)</f>
        <v>5.97</v>
      </c>
      <c r="C1958" s="1">
        <f ca="1">IFERROR(__xludf.DUMMYFUNCTION("""COMPUTED_VALUE"""),6)</f>
        <v>6</v>
      </c>
      <c r="D1958" s="1">
        <f ca="1">IFERROR(__xludf.DUMMYFUNCTION("""COMPUTED_VALUE"""),5.88)</f>
        <v>5.88</v>
      </c>
      <c r="E1958" s="1">
        <f ca="1">IFERROR(__xludf.DUMMYFUNCTION("""COMPUTED_VALUE"""),5.97)</f>
        <v>5.97</v>
      </c>
      <c r="F1958" s="1">
        <f ca="1">IFERROR(__xludf.DUMMYFUNCTION("""COMPUTED_VALUE"""),821100)</f>
        <v>821100</v>
      </c>
      <c r="I1958" s="1"/>
    </row>
    <row r="1959" spans="1:9">
      <c r="A1959" s="3">
        <f ca="1">IFERROR(__xludf.DUMMYFUNCTION("""COMPUTED_VALUE"""),32049.6666666666)</f>
        <v>32049.666666666599</v>
      </c>
      <c r="B1959" s="1">
        <f ca="1">IFERROR(__xludf.DUMMYFUNCTION("""COMPUTED_VALUE"""),5.91)</f>
        <v>5.91</v>
      </c>
      <c r="C1959" s="1">
        <f ca="1">IFERROR(__xludf.DUMMYFUNCTION("""COMPUTED_VALUE"""),6.03)</f>
        <v>6.03</v>
      </c>
      <c r="D1959" s="1">
        <f ca="1">IFERROR(__xludf.DUMMYFUNCTION("""COMPUTED_VALUE"""),5.89)</f>
        <v>5.89</v>
      </c>
      <c r="E1959" s="1">
        <f ca="1">IFERROR(__xludf.DUMMYFUNCTION("""COMPUTED_VALUE"""),5.91)</f>
        <v>5.91</v>
      </c>
      <c r="F1959" s="1">
        <f ca="1">IFERROR(__xludf.DUMMYFUNCTION("""COMPUTED_VALUE"""),427300)</f>
        <v>427300</v>
      </c>
      <c r="I1959" s="1"/>
    </row>
    <row r="1960" spans="1:9">
      <c r="A1960" s="3">
        <f ca="1">IFERROR(__xludf.DUMMYFUNCTION("""COMPUTED_VALUE"""),32050.6666666666)</f>
        <v>32050.666666666599</v>
      </c>
      <c r="B1960" s="1">
        <f ca="1">IFERROR(__xludf.DUMMYFUNCTION("""COMPUTED_VALUE"""),5.97)</f>
        <v>5.97</v>
      </c>
      <c r="C1960" s="1">
        <f ca="1">IFERROR(__xludf.DUMMYFUNCTION("""COMPUTED_VALUE"""),5.97)</f>
        <v>5.97</v>
      </c>
      <c r="D1960" s="1">
        <f ca="1">IFERROR(__xludf.DUMMYFUNCTION("""COMPUTED_VALUE"""),5.88)</f>
        <v>5.88</v>
      </c>
      <c r="E1960" s="1">
        <f ca="1">IFERROR(__xludf.DUMMYFUNCTION("""COMPUTED_VALUE"""),5.97)</f>
        <v>5.97</v>
      </c>
      <c r="F1960" s="1">
        <f ca="1">IFERROR(__xludf.DUMMYFUNCTION("""COMPUTED_VALUE"""),586900)</f>
        <v>586900</v>
      </c>
      <c r="I1960" s="1"/>
    </row>
    <row r="1961" spans="1:9">
      <c r="A1961" s="3">
        <f ca="1">IFERROR(__xludf.DUMMYFUNCTION("""COMPUTED_VALUE"""),32051.6666666666)</f>
        <v>32051.666666666599</v>
      </c>
      <c r="B1961" s="1">
        <f ca="1">IFERROR(__xludf.DUMMYFUNCTION("""COMPUTED_VALUE"""),6.09)</f>
        <v>6.09</v>
      </c>
      <c r="C1961" s="1">
        <f ca="1">IFERROR(__xludf.DUMMYFUNCTION("""COMPUTED_VALUE"""),6.1)</f>
        <v>6.1</v>
      </c>
      <c r="D1961" s="1">
        <f ca="1">IFERROR(__xludf.DUMMYFUNCTION("""COMPUTED_VALUE"""),5.98)</f>
        <v>5.98</v>
      </c>
      <c r="E1961" s="1">
        <f ca="1">IFERROR(__xludf.DUMMYFUNCTION("""COMPUTED_VALUE"""),6.09)</f>
        <v>6.09</v>
      </c>
      <c r="F1961" s="1">
        <f ca="1">IFERROR(__xludf.DUMMYFUNCTION("""COMPUTED_VALUE"""),581400)</f>
        <v>581400</v>
      </c>
      <c r="I1961" s="1"/>
    </row>
    <row r="1962" spans="1:9">
      <c r="A1962" s="3">
        <f ca="1">IFERROR(__xludf.DUMMYFUNCTION("""COMPUTED_VALUE"""),32052.6666666666)</f>
        <v>32052.666666666599</v>
      </c>
      <c r="B1962" s="1">
        <f ca="1">IFERROR(__xludf.DUMMYFUNCTION("""COMPUTED_VALUE"""),6.2)</f>
        <v>6.2</v>
      </c>
      <c r="C1962" s="1">
        <f ca="1">IFERROR(__xludf.DUMMYFUNCTION("""COMPUTED_VALUE"""),6.2)</f>
        <v>6.2</v>
      </c>
      <c r="D1962" s="1">
        <f ca="1">IFERROR(__xludf.DUMMYFUNCTION("""COMPUTED_VALUE"""),6.09)</f>
        <v>6.09</v>
      </c>
      <c r="E1962" s="1">
        <f ca="1">IFERROR(__xludf.DUMMYFUNCTION("""COMPUTED_VALUE"""),6.2)</f>
        <v>6.2</v>
      </c>
      <c r="F1962" s="1">
        <f ca="1">IFERROR(__xludf.DUMMYFUNCTION("""COMPUTED_VALUE"""),730500)</f>
        <v>730500</v>
      </c>
      <c r="I1962" s="1"/>
    </row>
    <row r="1963" spans="1:9">
      <c r="A1963" s="3">
        <f ca="1">IFERROR(__xludf.DUMMYFUNCTION("""COMPUTED_VALUE"""),32055.6666666666)</f>
        <v>32055.666666666599</v>
      </c>
      <c r="B1963" s="1">
        <f ca="1">IFERROR(__xludf.DUMMYFUNCTION("""COMPUTED_VALUE"""),6.16)</f>
        <v>6.16</v>
      </c>
      <c r="C1963" s="1">
        <f ca="1">IFERROR(__xludf.DUMMYFUNCTION("""COMPUTED_VALUE"""),6.22)</f>
        <v>6.22</v>
      </c>
      <c r="D1963" s="1">
        <f ca="1">IFERROR(__xludf.DUMMYFUNCTION("""COMPUTED_VALUE"""),6.16)</f>
        <v>6.16</v>
      </c>
      <c r="E1963" s="1">
        <f ca="1">IFERROR(__xludf.DUMMYFUNCTION("""COMPUTED_VALUE"""),6.16)</f>
        <v>6.16</v>
      </c>
      <c r="F1963" s="1">
        <f ca="1">IFERROR(__xludf.DUMMYFUNCTION("""COMPUTED_VALUE"""),514900)</f>
        <v>514900</v>
      </c>
      <c r="I1963" s="1"/>
    </row>
    <row r="1964" spans="1:9">
      <c r="A1964" s="3">
        <f ca="1">IFERROR(__xludf.DUMMYFUNCTION("""COMPUTED_VALUE"""),32056.6666666666)</f>
        <v>32056.666666666599</v>
      </c>
      <c r="B1964" s="1">
        <f ca="1">IFERROR(__xludf.DUMMYFUNCTION("""COMPUTED_VALUE"""),5.92)</f>
        <v>5.92</v>
      </c>
      <c r="C1964" s="1">
        <f ca="1">IFERROR(__xludf.DUMMYFUNCTION("""COMPUTED_VALUE"""),6.19)</f>
        <v>6.19</v>
      </c>
      <c r="D1964" s="1">
        <f ca="1">IFERROR(__xludf.DUMMYFUNCTION("""COMPUTED_VALUE"""),5.91)</f>
        <v>5.91</v>
      </c>
      <c r="E1964" s="1">
        <f ca="1">IFERROR(__xludf.DUMMYFUNCTION("""COMPUTED_VALUE"""),5.92)</f>
        <v>5.92</v>
      </c>
      <c r="F1964" s="1">
        <f ca="1">IFERROR(__xludf.DUMMYFUNCTION("""COMPUTED_VALUE"""),709900)</f>
        <v>709900</v>
      </c>
      <c r="I1964" s="1"/>
    </row>
    <row r="1965" spans="1:9">
      <c r="A1965" s="3">
        <f ca="1">IFERROR(__xludf.DUMMYFUNCTION("""COMPUTED_VALUE"""),32057.6666666666)</f>
        <v>32057.666666666599</v>
      </c>
      <c r="B1965" s="1">
        <f ca="1">IFERROR(__xludf.DUMMYFUNCTION("""COMPUTED_VALUE"""),5.86)</f>
        <v>5.86</v>
      </c>
      <c r="C1965" s="1">
        <f ca="1">IFERROR(__xludf.DUMMYFUNCTION("""COMPUTED_VALUE"""),5.92)</f>
        <v>5.92</v>
      </c>
      <c r="D1965" s="1">
        <f ca="1">IFERROR(__xludf.DUMMYFUNCTION("""COMPUTED_VALUE"""),5.79)</f>
        <v>5.79</v>
      </c>
      <c r="E1965" s="1">
        <f ca="1">IFERROR(__xludf.DUMMYFUNCTION("""COMPUTED_VALUE"""),5.86)</f>
        <v>5.86</v>
      </c>
      <c r="F1965" s="1">
        <f ca="1">IFERROR(__xludf.DUMMYFUNCTION("""COMPUTED_VALUE"""),767900)</f>
        <v>767900</v>
      </c>
      <c r="I1965" s="1"/>
    </row>
    <row r="1966" spans="1:9">
      <c r="A1966" s="3">
        <f ca="1">IFERROR(__xludf.DUMMYFUNCTION("""COMPUTED_VALUE"""),32058.6666666666)</f>
        <v>32058.666666666599</v>
      </c>
      <c r="B1966" s="1">
        <f ca="1">IFERROR(__xludf.DUMMYFUNCTION("""COMPUTED_VALUE"""),5.77)</f>
        <v>5.77</v>
      </c>
      <c r="C1966" s="1">
        <f ca="1">IFERROR(__xludf.DUMMYFUNCTION("""COMPUTED_VALUE"""),5.86)</f>
        <v>5.86</v>
      </c>
      <c r="D1966" s="1">
        <f ca="1">IFERROR(__xludf.DUMMYFUNCTION("""COMPUTED_VALUE"""),5.69)</f>
        <v>5.69</v>
      </c>
      <c r="E1966" s="1">
        <f ca="1">IFERROR(__xludf.DUMMYFUNCTION("""COMPUTED_VALUE"""),5.77)</f>
        <v>5.77</v>
      </c>
      <c r="F1966" s="1">
        <f ca="1">IFERROR(__xludf.DUMMYFUNCTION("""COMPUTED_VALUE"""),567000)</f>
        <v>567000</v>
      </c>
      <c r="I1966" s="1"/>
    </row>
    <row r="1967" spans="1:9">
      <c r="A1967" s="3">
        <f ca="1">IFERROR(__xludf.DUMMYFUNCTION("""COMPUTED_VALUE"""),32059.6666666666)</f>
        <v>32059.666666666599</v>
      </c>
      <c r="B1967" s="1">
        <f ca="1">IFERROR(__xludf.DUMMYFUNCTION("""COMPUTED_VALUE"""),5.67)</f>
        <v>5.67</v>
      </c>
      <c r="C1967" s="1">
        <f ca="1">IFERROR(__xludf.DUMMYFUNCTION("""COMPUTED_VALUE"""),5.8)</f>
        <v>5.8</v>
      </c>
      <c r="D1967" s="1">
        <f ca="1">IFERROR(__xludf.DUMMYFUNCTION("""COMPUTED_VALUE"""),5.66)</f>
        <v>5.66</v>
      </c>
      <c r="E1967" s="1">
        <f ca="1">IFERROR(__xludf.DUMMYFUNCTION("""COMPUTED_VALUE"""),5.67)</f>
        <v>5.67</v>
      </c>
      <c r="F1967" s="1">
        <f ca="1">IFERROR(__xludf.DUMMYFUNCTION("""COMPUTED_VALUE"""),485500)</f>
        <v>485500</v>
      </c>
      <c r="I1967" s="1"/>
    </row>
    <row r="1968" spans="1:9">
      <c r="A1968" s="3">
        <f ca="1">IFERROR(__xludf.DUMMYFUNCTION("""COMPUTED_VALUE"""),32062.6666666666)</f>
        <v>32062.666666666599</v>
      </c>
      <c r="B1968" s="1">
        <f ca="1">IFERROR(__xludf.DUMMYFUNCTION("""COMPUTED_VALUE"""),5.66)</f>
        <v>5.66</v>
      </c>
      <c r="C1968" s="1">
        <f ca="1">IFERROR(__xludf.DUMMYFUNCTION("""COMPUTED_VALUE"""),5.71)</f>
        <v>5.71</v>
      </c>
      <c r="D1968" s="1">
        <f ca="1">IFERROR(__xludf.DUMMYFUNCTION("""COMPUTED_VALUE"""),5.63)</f>
        <v>5.63</v>
      </c>
      <c r="E1968" s="1">
        <f ca="1">IFERROR(__xludf.DUMMYFUNCTION("""COMPUTED_VALUE"""),5.66)</f>
        <v>5.66</v>
      </c>
      <c r="F1968" s="1">
        <f ca="1">IFERROR(__xludf.DUMMYFUNCTION("""COMPUTED_VALUE"""),522500)</f>
        <v>522500</v>
      </c>
      <c r="I1968" s="1"/>
    </row>
    <row r="1969" spans="1:9">
      <c r="A1969" s="3">
        <f ca="1">IFERROR(__xludf.DUMMYFUNCTION("""COMPUTED_VALUE"""),32063.6666666666)</f>
        <v>32063.666666666599</v>
      </c>
      <c r="B1969" s="1">
        <f ca="1">IFERROR(__xludf.DUMMYFUNCTION("""COMPUTED_VALUE"""),5.67)</f>
        <v>5.67</v>
      </c>
      <c r="C1969" s="1">
        <f ca="1">IFERROR(__xludf.DUMMYFUNCTION("""COMPUTED_VALUE"""),5.73)</f>
        <v>5.73</v>
      </c>
      <c r="D1969" s="1">
        <f ca="1">IFERROR(__xludf.DUMMYFUNCTION("""COMPUTED_VALUE"""),5.63)</f>
        <v>5.63</v>
      </c>
      <c r="E1969" s="1">
        <f ca="1">IFERROR(__xludf.DUMMYFUNCTION("""COMPUTED_VALUE"""),5.67)</f>
        <v>5.67</v>
      </c>
      <c r="F1969" s="1">
        <f ca="1">IFERROR(__xludf.DUMMYFUNCTION("""COMPUTED_VALUE"""),643400)</f>
        <v>643400</v>
      </c>
      <c r="I1969" s="1"/>
    </row>
    <row r="1970" spans="1:9">
      <c r="A1970" s="3">
        <f ca="1">IFERROR(__xludf.DUMMYFUNCTION("""COMPUTED_VALUE"""),32064.6666666666)</f>
        <v>32064.666666666599</v>
      </c>
      <c r="B1970" s="1">
        <f ca="1">IFERROR(__xludf.DUMMYFUNCTION("""COMPUTED_VALUE"""),5.41)</f>
        <v>5.41</v>
      </c>
      <c r="C1970" s="1">
        <f ca="1">IFERROR(__xludf.DUMMYFUNCTION("""COMPUTED_VALUE"""),5.62)</f>
        <v>5.62</v>
      </c>
      <c r="D1970" s="1">
        <f ca="1">IFERROR(__xludf.DUMMYFUNCTION("""COMPUTED_VALUE"""),5.41)</f>
        <v>5.41</v>
      </c>
      <c r="E1970" s="1">
        <f ca="1">IFERROR(__xludf.DUMMYFUNCTION("""COMPUTED_VALUE"""),5.41)</f>
        <v>5.41</v>
      </c>
      <c r="F1970" s="1">
        <f ca="1">IFERROR(__xludf.DUMMYFUNCTION("""COMPUTED_VALUE"""),1194700)</f>
        <v>1194700</v>
      </c>
      <c r="I1970" s="1"/>
    </row>
    <row r="1971" spans="1:9">
      <c r="A1971" s="3">
        <f ca="1">IFERROR(__xludf.DUMMYFUNCTION("""COMPUTED_VALUE"""),32065.6666666666)</f>
        <v>32065.666666666599</v>
      </c>
      <c r="B1971" s="1">
        <f ca="1">IFERROR(__xludf.DUMMYFUNCTION("""COMPUTED_VALUE"""),5.27)</f>
        <v>5.27</v>
      </c>
      <c r="C1971" s="1">
        <f ca="1">IFERROR(__xludf.DUMMYFUNCTION("""COMPUTED_VALUE"""),5.4)</f>
        <v>5.4</v>
      </c>
      <c r="D1971" s="1">
        <f ca="1">IFERROR(__xludf.DUMMYFUNCTION("""COMPUTED_VALUE"""),5.26)</f>
        <v>5.26</v>
      </c>
      <c r="E1971" s="1">
        <f ca="1">IFERROR(__xludf.DUMMYFUNCTION("""COMPUTED_VALUE"""),5.27)</f>
        <v>5.27</v>
      </c>
      <c r="F1971" s="1">
        <f ca="1">IFERROR(__xludf.DUMMYFUNCTION("""COMPUTED_VALUE"""),1443700)</f>
        <v>1443700</v>
      </c>
      <c r="I1971" s="1"/>
    </row>
    <row r="1972" spans="1:9">
      <c r="A1972" s="3">
        <f ca="1">IFERROR(__xludf.DUMMYFUNCTION("""COMPUTED_VALUE"""),32066.6666666666)</f>
        <v>32066.666666666599</v>
      </c>
      <c r="B1972" s="1">
        <f ca="1">IFERROR(__xludf.DUMMYFUNCTION("""COMPUTED_VALUE"""),4.94)</f>
        <v>4.9400000000000004</v>
      </c>
      <c r="C1972" s="1">
        <f ca="1">IFERROR(__xludf.DUMMYFUNCTION("""COMPUTED_VALUE"""),5.3)</f>
        <v>5.3</v>
      </c>
      <c r="D1972" s="1">
        <f ca="1">IFERROR(__xludf.DUMMYFUNCTION("""COMPUTED_VALUE"""),4.94)</f>
        <v>4.9400000000000004</v>
      </c>
      <c r="E1972" s="1">
        <f ca="1">IFERROR(__xludf.DUMMYFUNCTION("""COMPUTED_VALUE"""),4.94)</f>
        <v>4.9400000000000004</v>
      </c>
      <c r="F1972" s="1">
        <f ca="1">IFERROR(__xludf.DUMMYFUNCTION("""COMPUTED_VALUE"""),1623900)</f>
        <v>1623900</v>
      </c>
      <c r="I1972" s="1"/>
    </row>
    <row r="1973" spans="1:9">
      <c r="A1973" s="3">
        <f ca="1">IFERROR(__xludf.DUMMYFUNCTION("""COMPUTED_VALUE"""),32069.6666666666)</f>
        <v>32069.666666666599</v>
      </c>
      <c r="B1973" s="1">
        <f ca="1">IFERROR(__xludf.DUMMYFUNCTION("""COMPUTED_VALUE"""),4.03)</f>
        <v>4.03</v>
      </c>
      <c r="C1973" s="1">
        <f ca="1">IFERROR(__xludf.DUMMYFUNCTION("""COMPUTED_VALUE"""),4.84)</f>
        <v>4.84</v>
      </c>
      <c r="D1973" s="1">
        <f ca="1">IFERROR(__xludf.DUMMYFUNCTION("""COMPUTED_VALUE"""),4.03)</f>
        <v>4.03</v>
      </c>
      <c r="E1973" s="1">
        <f ca="1">IFERROR(__xludf.DUMMYFUNCTION("""COMPUTED_VALUE"""),4.03)</f>
        <v>4.03</v>
      </c>
      <c r="F1973" s="1">
        <f ca="1">IFERROR(__xludf.DUMMYFUNCTION("""COMPUTED_VALUE"""),2112900)</f>
        <v>2112900</v>
      </c>
      <c r="I1973" s="1"/>
    </row>
    <row r="1974" spans="1:9">
      <c r="A1974" s="3">
        <f ca="1">IFERROR(__xludf.DUMMYFUNCTION("""COMPUTED_VALUE"""),32070.6666666666)</f>
        <v>32070.666666666599</v>
      </c>
      <c r="B1974" s="1">
        <f ca="1">IFERROR(__xludf.DUMMYFUNCTION("""COMPUTED_VALUE"""),4.48)</f>
        <v>4.4800000000000004</v>
      </c>
      <c r="C1974" s="1">
        <f ca="1">IFERROR(__xludf.DUMMYFUNCTION("""COMPUTED_VALUE"""),4.67)</f>
        <v>4.67</v>
      </c>
      <c r="D1974" s="1">
        <f ca="1">IFERROR(__xludf.DUMMYFUNCTION("""COMPUTED_VALUE"""),3.44)</f>
        <v>3.44</v>
      </c>
      <c r="E1974" s="1">
        <f ca="1">IFERROR(__xludf.DUMMYFUNCTION("""COMPUTED_VALUE"""),4.48)</f>
        <v>4.4800000000000004</v>
      </c>
      <c r="F1974" s="1">
        <f ca="1">IFERROR(__xludf.DUMMYFUNCTION("""COMPUTED_VALUE"""),1976400)</f>
        <v>1976400</v>
      </c>
      <c r="I1974" s="1"/>
    </row>
    <row r="1975" spans="1:9">
      <c r="A1975" s="3">
        <f ca="1">IFERROR(__xludf.DUMMYFUNCTION("""COMPUTED_VALUE"""),32071.6666666666)</f>
        <v>32071.666666666599</v>
      </c>
      <c r="B1975" s="1">
        <f ca="1">IFERROR(__xludf.DUMMYFUNCTION("""COMPUTED_VALUE"""),4.64)</f>
        <v>4.6399999999999997</v>
      </c>
      <c r="C1975" s="1">
        <f ca="1">IFERROR(__xludf.DUMMYFUNCTION("""COMPUTED_VALUE"""),4.94)</f>
        <v>4.9400000000000004</v>
      </c>
      <c r="D1975" s="1">
        <f ca="1">IFERROR(__xludf.DUMMYFUNCTION("""COMPUTED_VALUE"""),4.52)</f>
        <v>4.5199999999999996</v>
      </c>
      <c r="E1975" s="1">
        <f ca="1">IFERROR(__xludf.DUMMYFUNCTION("""COMPUTED_VALUE"""),4.64)</f>
        <v>4.6399999999999997</v>
      </c>
      <c r="F1975" s="1">
        <f ca="1">IFERROR(__xludf.DUMMYFUNCTION("""COMPUTED_VALUE"""),1559800)</f>
        <v>1559800</v>
      </c>
      <c r="I1975" s="1"/>
    </row>
    <row r="1976" spans="1:9">
      <c r="A1976" s="3">
        <f ca="1">IFERROR(__xludf.DUMMYFUNCTION("""COMPUTED_VALUE"""),32072.6666666666)</f>
        <v>32072.666666666599</v>
      </c>
      <c r="B1976" s="1">
        <f ca="1">IFERROR(__xludf.DUMMYFUNCTION("""COMPUTED_VALUE"""),4.52)</f>
        <v>4.5199999999999996</v>
      </c>
      <c r="C1976" s="1">
        <f ca="1">IFERROR(__xludf.DUMMYFUNCTION("""COMPUTED_VALUE"""),4.52)</f>
        <v>4.5199999999999996</v>
      </c>
      <c r="D1976" s="1">
        <f ca="1">IFERROR(__xludf.DUMMYFUNCTION("""COMPUTED_VALUE"""),4.03)</f>
        <v>4.03</v>
      </c>
      <c r="E1976" s="1">
        <f ca="1">IFERROR(__xludf.DUMMYFUNCTION("""COMPUTED_VALUE"""),4.52)</f>
        <v>4.5199999999999996</v>
      </c>
      <c r="F1976" s="1">
        <f ca="1">IFERROR(__xludf.DUMMYFUNCTION("""COMPUTED_VALUE"""),1448200)</f>
        <v>1448200</v>
      </c>
      <c r="I1976" s="1"/>
    </row>
    <row r="1977" spans="1:9">
      <c r="A1977" s="3">
        <f ca="1">IFERROR(__xludf.DUMMYFUNCTION("""COMPUTED_VALUE"""),32073.6666666666)</f>
        <v>32073.666666666599</v>
      </c>
      <c r="B1977" s="1">
        <f ca="1">IFERROR(__xludf.DUMMYFUNCTION("""COMPUTED_VALUE"""),4.59)</f>
        <v>4.59</v>
      </c>
      <c r="C1977" s="1">
        <f ca="1">IFERROR(__xludf.DUMMYFUNCTION("""COMPUTED_VALUE"""),4.62)</f>
        <v>4.62</v>
      </c>
      <c r="D1977" s="1">
        <f ca="1">IFERROR(__xludf.DUMMYFUNCTION("""COMPUTED_VALUE"""),4.34)</f>
        <v>4.34</v>
      </c>
      <c r="E1977" s="1">
        <f ca="1">IFERROR(__xludf.DUMMYFUNCTION("""COMPUTED_VALUE"""),4.59)</f>
        <v>4.59</v>
      </c>
      <c r="F1977" s="1">
        <f ca="1">IFERROR(__xludf.DUMMYFUNCTION("""COMPUTED_VALUE"""),856900)</f>
        <v>856900</v>
      </c>
      <c r="I1977" s="1"/>
    </row>
    <row r="1978" spans="1:9">
      <c r="A1978" s="3">
        <f ca="1">IFERROR(__xludf.DUMMYFUNCTION("""COMPUTED_VALUE"""),32076.6666666666)</f>
        <v>32076.666666666599</v>
      </c>
      <c r="B1978" s="1">
        <f ca="1">IFERROR(__xludf.DUMMYFUNCTION("""COMPUTED_VALUE"""),4.23)</f>
        <v>4.2300000000000004</v>
      </c>
      <c r="C1978" s="1">
        <f ca="1">IFERROR(__xludf.DUMMYFUNCTION("""COMPUTED_VALUE"""),4.47)</f>
        <v>4.47</v>
      </c>
      <c r="D1978" s="1">
        <f ca="1">IFERROR(__xludf.DUMMYFUNCTION("""COMPUTED_VALUE"""),4.2)</f>
        <v>4.2</v>
      </c>
      <c r="E1978" s="1">
        <f ca="1">IFERROR(__xludf.DUMMYFUNCTION("""COMPUTED_VALUE"""),4.23)</f>
        <v>4.2300000000000004</v>
      </c>
      <c r="F1978" s="1">
        <f ca="1">IFERROR(__xludf.DUMMYFUNCTION("""COMPUTED_VALUE"""),626000)</f>
        <v>626000</v>
      </c>
      <c r="I1978" s="1"/>
    </row>
    <row r="1979" spans="1:9">
      <c r="A1979" s="3">
        <f ca="1">IFERROR(__xludf.DUMMYFUNCTION("""COMPUTED_VALUE"""),32077.6666666666)</f>
        <v>32077.666666666599</v>
      </c>
      <c r="B1979" s="1">
        <f ca="1">IFERROR(__xludf.DUMMYFUNCTION("""COMPUTED_VALUE"""),4.44)</f>
        <v>4.4400000000000004</v>
      </c>
      <c r="C1979" s="1">
        <f ca="1">IFERROR(__xludf.DUMMYFUNCTION("""COMPUTED_VALUE"""),4.44)</f>
        <v>4.4400000000000004</v>
      </c>
      <c r="D1979" s="1">
        <f ca="1">IFERROR(__xludf.DUMMYFUNCTION("""COMPUTED_VALUE"""),4.26)</f>
        <v>4.26</v>
      </c>
      <c r="E1979" s="1">
        <f ca="1">IFERROR(__xludf.DUMMYFUNCTION("""COMPUTED_VALUE"""),4.44)</f>
        <v>4.4400000000000004</v>
      </c>
      <c r="F1979" s="1">
        <f ca="1">IFERROR(__xludf.DUMMYFUNCTION("""COMPUTED_VALUE"""),647900)</f>
        <v>647900</v>
      </c>
      <c r="I1979" s="1"/>
    </row>
    <row r="1980" spans="1:9">
      <c r="A1980" s="3">
        <f ca="1">IFERROR(__xludf.DUMMYFUNCTION("""COMPUTED_VALUE"""),32078.6666666666)</f>
        <v>32078.666666666599</v>
      </c>
      <c r="B1980" s="1">
        <f ca="1">IFERROR(__xludf.DUMMYFUNCTION("""COMPUTED_VALUE"""),4.6)</f>
        <v>4.5999999999999996</v>
      </c>
      <c r="C1980" s="1">
        <f ca="1">IFERROR(__xludf.DUMMYFUNCTION("""COMPUTED_VALUE"""),4.7)</f>
        <v>4.7</v>
      </c>
      <c r="D1980" s="1">
        <f ca="1">IFERROR(__xludf.DUMMYFUNCTION("""COMPUTED_VALUE"""),4.3)</f>
        <v>4.3</v>
      </c>
      <c r="E1980" s="1">
        <f ca="1">IFERROR(__xludf.DUMMYFUNCTION("""COMPUTED_VALUE"""),4.6)</f>
        <v>4.5999999999999996</v>
      </c>
      <c r="F1980" s="1">
        <f ca="1">IFERROR(__xludf.DUMMYFUNCTION("""COMPUTED_VALUE"""),954500)</f>
        <v>954500</v>
      </c>
      <c r="I1980" s="1"/>
    </row>
    <row r="1981" spans="1:9">
      <c r="A1981" s="3">
        <f ca="1">IFERROR(__xludf.DUMMYFUNCTION("""COMPUTED_VALUE"""),32079.6666666666)</f>
        <v>32079.666666666599</v>
      </c>
      <c r="B1981" s="1">
        <f ca="1">IFERROR(__xludf.DUMMYFUNCTION("""COMPUTED_VALUE"""),4.94)</f>
        <v>4.9400000000000004</v>
      </c>
      <c r="C1981" s="1">
        <f ca="1">IFERROR(__xludf.DUMMYFUNCTION("""COMPUTED_VALUE"""),4.96)</f>
        <v>4.96</v>
      </c>
      <c r="D1981" s="1">
        <f ca="1">IFERROR(__xludf.DUMMYFUNCTION("""COMPUTED_VALUE"""),4.7)</f>
        <v>4.7</v>
      </c>
      <c r="E1981" s="1">
        <f ca="1">IFERROR(__xludf.DUMMYFUNCTION("""COMPUTED_VALUE"""),4.94)</f>
        <v>4.9400000000000004</v>
      </c>
      <c r="F1981" s="1">
        <f ca="1">IFERROR(__xludf.DUMMYFUNCTION("""COMPUTED_VALUE"""),747700)</f>
        <v>747700</v>
      </c>
      <c r="I1981" s="1"/>
    </row>
    <row r="1982" spans="1:9">
      <c r="A1982" s="3">
        <f ca="1">IFERROR(__xludf.DUMMYFUNCTION("""COMPUTED_VALUE"""),32080.6666666666)</f>
        <v>32080.666666666599</v>
      </c>
      <c r="B1982" s="1">
        <f ca="1">IFERROR(__xludf.DUMMYFUNCTION("""COMPUTED_VALUE"""),5)</f>
        <v>5</v>
      </c>
      <c r="C1982" s="1">
        <f ca="1">IFERROR(__xludf.DUMMYFUNCTION("""COMPUTED_VALUE"""),5.13)</f>
        <v>5.13</v>
      </c>
      <c r="D1982" s="1">
        <f ca="1">IFERROR(__xludf.DUMMYFUNCTION("""COMPUTED_VALUE"""),4.94)</f>
        <v>4.9400000000000004</v>
      </c>
      <c r="E1982" s="1">
        <f ca="1">IFERROR(__xludf.DUMMYFUNCTION("""COMPUTED_VALUE"""),5)</f>
        <v>5</v>
      </c>
      <c r="F1982" s="1">
        <f ca="1">IFERROR(__xludf.DUMMYFUNCTION("""COMPUTED_VALUE"""),816600)</f>
        <v>816600</v>
      </c>
      <c r="I1982" s="1"/>
    </row>
    <row r="1983" spans="1:9">
      <c r="A1983" s="3">
        <f ca="1">IFERROR(__xludf.DUMMYFUNCTION("""COMPUTED_VALUE"""),32083.6666666666)</f>
        <v>32083.666666666599</v>
      </c>
      <c r="B1983" s="1">
        <f ca="1">IFERROR(__xludf.DUMMYFUNCTION("""COMPUTED_VALUE"""),4.98)</f>
        <v>4.9800000000000004</v>
      </c>
      <c r="C1983" s="1">
        <f ca="1">IFERROR(__xludf.DUMMYFUNCTION("""COMPUTED_VALUE"""),5)</f>
        <v>5</v>
      </c>
      <c r="D1983" s="1">
        <f ca="1">IFERROR(__xludf.DUMMYFUNCTION("""COMPUTED_VALUE"""),4.88)</f>
        <v>4.88</v>
      </c>
      <c r="E1983" s="1">
        <f ca="1">IFERROR(__xludf.DUMMYFUNCTION("""COMPUTED_VALUE"""),4.98)</f>
        <v>4.9800000000000004</v>
      </c>
      <c r="F1983" s="1">
        <f ca="1">IFERROR(__xludf.DUMMYFUNCTION("""COMPUTED_VALUE"""),338800)</f>
        <v>338800</v>
      </c>
      <c r="I1983" s="1"/>
    </row>
    <row r="1984" spans="1:9">
      <c r="A1984" s="3">
        <f ca="1">IFERROR(__xludf.DUMMYFUNCTION("""COMPUTED_VALUE"""),32084.6666666666)</f>
        <v>32084.666666666599</v>
      </c>
      <c r="B1984" s="1">
        <f ca="1">IFERROR(__xludf.DUMMYFUNCTION("""COMPUTED_VALUE"""),4.86)</f>
        <v>4.8600000000000003</v>
      </c>
      <c r="C1984" s="1">
        <f ca="1">IFERROR(__xludf.DUMMYFUNCTION("""COMPUTED_VALUE"""),4.91)</f>
        <v>4.91</v>
      </c>
      <c r="D1984" s="1">
        <f ca="1">IFERROR(__xludf.DUMMYFUNCTION("""COMPUTED_VALUE"""),4.78)</f>
        <v>4.78</v>
      </c>
      <c r="E1984" s="1">
        <f ca="1">IFERROR(__xludf.DUMMYFUNCTION("""COMPUTED_VALUE"""),4.86)</f>
        <v>4.8600000000000003</v>
      </c>
      <c r="F1984" s="1">
        <f ca="1">IFERROR(__xludf.DUMMYFUNCTION("""COMPUTED_VALUE"""),657900)</f>
        <v>657900</v>
      </c>
      <c r="I1984" s="1"/>
    </row>
    <row r="1985" spans="1:9">
      <c r="A1985" s="3">
        <f ca="1">IFERROR(__xludf.DUMMYFUNCTION("""COMPUTED_VALUE"""),32085.6666666666)</f>
        <v>32085.666666666599</v>
      </c>
      <c r="B1985" s="1">
        <f ca="1">IFERROR(__xludf.DUMMYFUNCTION("""COMPUTED_VALUE"""),4.86)</f>
        <v>4.8600000000000003</v>
      </c>
      <c r="C1985" s="1">
        <f ca="1">IFERROR(__xludf.DUMMYFUNCTION("""COMPUTED_VALUE"""),4.92)</f>
        <v>4.92</v>
      </c>
      <c r="D1985" s="1">
        <f ca="1">IFERROR(__xludf.DUMMYFUNCTION("""COMPUTED_VALUE"""),4.8)</f>
        <v>4.8</v>
      </c>
      <c r="E1985" s="1">
        <f ca="1">IFERROR(__xludf.DUMMYFUNCTION("""COMPUTED_VALUE"""),4.86)</f>
        <v>4.8600000000000003</v>
      </c>
      <c r="F1985" s="1">
        <f ca="1">IFERROR(__xludf.DUMMYFUNCTION("""COMPUTED_VALUE"""),352300)</f>
        <v>352300</v>
      </c>
      <c r="I1985" s="1"/>
    </row>
    <row r="1986" spans="1:9">
      <c r="A1986" s="3">
        <f ca="1">IFERROR(__xludf.DUMMYFUNCTION("""COMPUTED_VALUE"""),32086.6666666666)</f>
        <v>32086.666666666599</v>
      </c>
      <c r="B1986" s="1">
        <f ca="1">IFERROR(__xludf.DUMMYFUNCTION("""COMPUTED_VALUE"""),4.97)</f>
        <v>4.97</v>
      </c>
      <c r="C1986" s="1">
        <f ca="1">IFERROR(__xludf.DUMMYFUNCTION("""COMPUTED_VALUE"""),4.99)</f>
        <v>4.99</v>
      </c>
      <c r="D1986" s="1">
        <f ca="1">IFERROR(__xludf.DUMMYFUNCTION("""COMPUTED_VALUE"""),4.83)</f>
        <v>4.83</v>
      </c>
      <c r="E1986" s="1">
        <f ca="1">IFERROR(__xludf.DUMMYFUNCTION("""COMPUTED_VALUE"""),4.97)</f>
        <v>4.97</v>
      </c>
      <c r="F1986" s="1">
        <f ca="1">IFERROR(__xludf.DUMMYFUNCTION("""COMPUTED_VALUE"""),498000)</f>
        <v>498000</v>
      </c>
      <c r="I1986" s="1"/>
    </row>
    <row r="1987" spans="1:9">
      <c r="A1987" s="3">
        <f ca="1">IFERROR(__xludf.DUMMYFUNCTION("""COMPUTED_VALUE"""),32087.6666666666)</f>
        <v>32087.666666666599</v>
      </c>
      <c r="B1987" s="1">
        <f ca="1">IFERROR(__xludf.DUMMYFUNCTION("""COMPUTED_VALUE"""),4.77)</f>
        <v>4.7699999999999996</v>
      </c>
      <c r="C1987" s="1">
        <f ca="1">IFERROR(__xludf.DUMMYFUNCTION("""COMPUTED_VALUE"""),5.02)</f>
        <v>5.0199999999999996</v>
      </c>
      <c r="D1987" s="1">
        <f ca="1">IFERROR(__xludf.DUMMYFUNCTION("""COMPUTED_VALUE"""),4.77)</f>
        <v>4.7699999999999996</v>
      </c>
      <c r="E1987" s="1">
        <f ca="1">IFERROR(__xludf.DUMMYFUNCTION("""COMPUTED_VALUE"""),4.77)</f>
        <v>4.7699999999999996</v>
      </c>
      <c r="F1987" s="1">
        <f ca="1">IFERROR(__xludf.DUMMYFUNCTION("""COMPUTED_VALUE"""),378300)</f>
        <v>378300</v>
      </c>
      <c r="I1987" s="1"/>
    </row>
    <row r="1988" spans="1:9">
      <c r="A1988" s="3">
        <f ca="1">IFERROR(__xludf.DUMMYFUNCTION("""COMPUTED_VALUE"""),32090.6666666666)</f>
        <v>32090.666666666599</v>
      </c>
      <c r="B1988" s="1">
        <f ca="1">IFERROR(__xludf.DUMMYFUNCTION("""COMPUTED_VALUE"""),4.57)</f>
        <v>4.57</v>
      </c>
      <c r="C1988" s="1">
        <f ca="1">IFERROR(__xludf.DUMMYFUNCTION("""COMPUTED_VALUE"""),4.77)</f>
        <v>4.7699999999999996</v>
      </c>
      <c r="D1988" s="1">
        <f ca="1">IFERROR(__xludf.DUMMYFUNCTION("""COMPUTED_VALUE"""),4.55)</f>
        <v>4.55</v>
      </c>
      <c r="E1988" s="1">
        <f ca="1">IFERROR(__xludf.DUMMYFUNCTION("""COMPUTED_VALUE"""),4.57)</f>
        <v>4.57</v>
      </c>
      <c r="F1988" s="1">
        <f ca="1">IFERROR(__xludf.DUMMYFUNCTION("""COMPUTED_VALUE"""),609900)</f>
        <v>609900</v>
      </c>
      <c r="I1988" s="1"/>
    </row>
    <row r="1989" spans="1:9">
      <c r="A1989" s="3">
        <f ca="1">IFERROR(__xludf.DUMMYFUNCTION("""COMPUTED_VALUE"""),32091.6666666666)</f>
        <v>32091.666666666599</v>
      </c>
      <c r="B1989" s="1">
        <f ca="1">IFERROR(__xludf.DUMMYFUNCTION("""COMPUTED_VALUE"""),4.52)</f>
        <v>4.5199999999999996</v>
      </c>
      <c r="C1989" s="1">
        <f ca="1">IFERROR(__xludf.DUMMYFUNCTION("""COMPUTED_VALUE"""),4.69)</f>
        <v>4.6900000000000004</v>
      </c>
      <c r="D1989" s="1">
        <f ca="1">IFERROR(__xludf.DUMMYFUNCTION("""COMPUTED_VALUE"""),4.42)</f>
        <v>4.42</v>
      </c>
      <c r="E1989" s="1">
        <f ca="1">IFERROR(__xludf.DUMMYFUNCTION("""COMPUTED_VALUE"""),4.52)</f>
        <v>4.5199999999999996</v>
      </c>
      <c r="F1989" s="1">
        <f ca="1">IFERROR(__xludf.DUMMYFUNCTION("""COMPUTED_VALUE"""),630700)</f>
        <v>630700</v>
      </c>
      <c r="I1989" s="1"/>
    </row>
    <row r="1990" spans="1:9">
      <c r="A1990" s="3">
        <f ca="1">IFERROR(__xludf.DUMMYFUNCTION("""COMPUTED_VALUE"""),32092.6666666666)</f>
        <v>32092.666666666599</v>
      </c>
      <c r="B1990" s="1">
        <f ca="1">IFERROR(__xludf.DUMMYFUNCTION("""COMPUTED_VALUE"""),4.59)</f>
        <v>4.59</v>
      </c>
      <c r="C1990" s="1">
        <f ca="1">IFERROR(__xludf.DUMMYFUNCTION("""COMPUTED_VALUE"""),4.65)</f>
        <v>4.6500000000000004</v>
      </c>
      <c r="D1990" s="1">
        <f ca="1">IFERROR(__xludf.DUMMYFUNCTION("""COMPUTED_VALUE"""),4.59)</f>
        <v>4.59</v>
      </c>
      <c r="E1990" s="1">
        <f ca="1">IFERROR(__xludf.DUMMYFUNCTION("""COMPUTED_VALUE"""),4.59)</f>
        <v>4.59</v>
      </c>
      <c r="F1990" s="1">
        <f ca="1">IFERROR(__xludf.DUMMYFUNCTION("""COMPUTED_VALUE"""),343100)</f>
        <v>343100</v>
      </c>
      <c r="I1990" s="1"/>
    </row>
    <row r="1991" spans="1:9">
      <c r="A1991" s="3">
        <f ca="1">IFERROR(__xludf.DUMMYFUNCTION("""COMPUTED_VALUE"""),32093.6666666666)</f>
        <v>32093.666666666599</v>
      </c>
      <c r="B1991" s="1">
        <f ca="1">IFERROR(__xludf.DUMMYFUNCTION("""COMPUTED_VALUE"""),4.79)</f>
        <v>4.79</v>
      </c>
      <c r="C1991" s="1">
        <f ca="1">IFERROR(__xludf.DUMMYFUNCTION("""COMPUTED_VALUE"""),4.88)</f>
        <v>4.88</v>
      </c>
      <c r="D1991" s="1">
        <f ca="1">IFERROR(__xludf.DUMMYFUNCTION("""COMPUTED_VALUE"""),4.59)</f>
        <v>4.59</v>
      </c>
      <c r="E1991" s="1">
        <f ca="1">IFERROR(__xludf.DUMMYFUNCTION("""COMPUTED_VALUE"""),4.79)</f>
        <v>4.79</v>
      </c>
      <c r="F1991" s="1">
        <f ca="1">IFERROR(__xludf.DUMMYFUNCTION("""COMPUTED_VALUE"""),507200)</f>
        <v>507200</v>
      </c>
      <c r="I1991" s="1"/>
    </row>
    <row r="1992" spans="1:9">
      <c r="A1992" s="3">
        <f ca="1">IFERROR(__xludf.DUMMYFUNCTION("""COMPUTED_VALUE"""),32094.6666666666)</f>
        <v>32094.666666666599</v>
      </c>
      <c r="B1992" s="1">
        <f ca="1">IFERROR(__xludf.DUMMYFUNCTION("""COMPUTED_VALUE"""),4.83)</f>
        <v>4.83</v>
      </c>
      <c r="C1992" s="1">
        <f ca="1">IFERROR(__xludf.DUMMYFUNCTION("""COMPUTED_VALUE"""),4.88)</f>
        <v>4.88</v>
      </c>
      <c r="D1992" s="1">
        <f ca="1">IFERROR(__xludf.DUMMYFUNCTION("""COMPUTED_VALUE"""),4.77)</f>
        <v>4.7699999999999996</v>
      </c>
      <c r="E1992" s="1">
        <f ca="1">IFERROR(__xludf.DUMMYFUNCTION("""COMPUTED_VALUE"""),4.83)</f>
        <v>4.83</v>
      </c>
      <c r="F1992" s="1">
        <f ca="1">IFERROR(__xludf.DUMMYFUNCTION("""COMPUTED_VALUE"""),537300)</f>
        <v>537300</v>
      </c>
      <c r="I1992" s="1"/>
    </row>
    <row r="1993" spans="1:9">
      <c r="A1993" s="3">
        <f ca="1">IFERROR(__xludf.DUMMYFUNCTION("""COMPUTED_VALUE"""),32097.6666666666)</f>
        <v>32097.666666666599</v>
      </c>
      <c r="B1993" s="1">
        <f ca="1">IFERROR(__xludf.DUMMYFUNCTION("""COMPUTED_VALUE"""),4.88)</f>
        <v>4.88</v>
      </c>
      <c r="C1993" s="1">
        <f ca="1">IFERROR(__xludf.DUMMYFUNCTION("""COMPUTED_VALUE"""),4.9)</f>
        <v>4.9000000000000004</v>
      </c>
      <c r="D1993" s="1">
        <f ca="1">IFERROR(__xludf.DUMMYFUNCTION("""COMPUTED_VALUE"""),4.8)</f>
        <v>4.8</v>
      </c>
      <c r="E1993" s="1">
        <f ca="1">IFERROR(__xludf.DUMMYFUNCTION("""COMPUTED_VALUE"""),4.88)</f>
        <v>4.88</v>
      </c>
      <c r="F1993" s="1">
        <f ca="1">IFERROR(__xludf.DUMMYFUNCTION("""COMPUTED_VALUE"""),408200)</f>
        <v>408200</v>
      </c>
      <c r="I1993" s="1"/>
    </row>
    <row r="1994" spans="1:9">
      <c r="A1994" s="3">
        <f ca="1">IFERROR(__xludf.DUMMYFUNCTION("""COMPUTED_VALUE"""),32098.6666666666)</f>
        <v>32098.666666666599</v>
      </c>
      <c r="B1994" s="1">
        <f ca="1">IFERROR(__xludf.DUMMYFUNCTION("""COMPUTED_VALUE"""),4.8)</f>
        <v>4.8</v>
      </c>
      <c r="C1994" s="1">
        <f ca="1">IFERROR(__xludf.DUMMYFUNCTION("""COMPUTED_VALUE"""),4.88)</f>
        <v>4.88</v>
      </c>
      <c r="D1994" s="1">
        <f ca="1">IFERROR(__xludf.DUMMYFUNCTION("""COMPUTED_VALUE"""),4.76)</f>
        <v>4.76</v>
      </c>
      <c r="E1994" s="1">
        <f ca="1">IFERROR(__xludf.DUMMYFUNCTION("""COMPUTED_VALUE"""),4.8)</f>
        <v>4.8</v>
      </c>
      <c r="F1994" s="1">
        <f ca="1">IFERROR(__xludf.DUMMYFUNCTION("""COMPUTED_VALUE"""),444200)</f>
        <v>444200</v>
      </c>
      <c r="I1994" s="1"/>
    </row>
    <row r="1995" spans="1:9">
      <c r="A1995" s="3">
        <f ca="1">IFERROR(__xludf.DUMMYFUNCTION("""COMPUTED_VALUE"""),32099.6666666666)</f>
        <v>32099.666666666599</v>
      </c>
      <c r="B1995" s="1">
        <f ca="1">IFERROR(__xludf.DUMMYFUNCTION("""COMPUTED_VALUE"""),4.88)</f>
        <v>4.88</v>
      </c>
      <c r="C1995" s="1">
        <f ca="1">IFERROR(__xludf.DUMMYFUNCTION("""COMPUTED_VALUE"""),4.9)</f>
        <v>4.9000000000000004</v>
      </c>
      <c r="D1995" s="1">
        <f ca="1">IFERROR(__xludf.DUMMYFUNCTION("""COMPUTED_VALUE"""),4.73)</f>
        <v>4.7300000000000004</v>
      </c>
      <c r="E1995" s="1">
        <f ca="1">IFERROR(__xludf.DUMMYFUNCTION("""COMPUTED_VALUE"""),4.88)</f>
        <v>4.88</v>
      </c>
      <c r="F1995" s="1">
        <f ca="1">IFERROR(__xludf.DUMMYFUNCTION("""COMPUTED_VALUE"""),348200)</f>
        <v>348200</v>
      </c>
      <c r="I1995" s="1"/>
    </row>
    <row r="1996" spans="1:9">
      <c r="A1996" s="3">
        <f ca="1">IFERROR(__xludf.DUMMYFUNCTION("""COMPUTED_VALUE"""),32100.6666666666)</f>
        <v>32100.666666666599</v>
      </c>
      <c r="B1996" s="1">
        <f ca="1">IFERROR(__xludf.DUMMYFUNCTION("""COMPUTED_VALUE"""),4.77)</f>
        <v>4.7699999999999996</v>
      </c>
      <c r="C1996" s="1">
        <f ca="1">IFERROR(__xludf.DUMMYFUNCTION("""COMPUTED_VALUE"""),4.88)</f>
        <v>4.88</v>
      </c>
      <c r="D1996" s="1">
        <f ca="1">IFERROR(__xludf.DUMMYFUNCTION("""COMPUTED_VALUE"""),4.73)</f>
        <v>4.7300000000000004</v>
      </c>
      <c r="E1996" s="1">
        <f ca="1">IFERROR(__xludf.DUMMYFUNCTION("""COMPUTED_VALUE"""),4.77)</f>
        <v>4.7699999999999996</v>
      </c>
      <c r="F1996" s="1">
        <f ca="1">IFERROR(__xludf.DUMMYFUNCTION("""COMPUTED_VALUE"""),357300)</f>
        <v>357300</v>
      </c>
      <c r="I1996" s="1"/>
    </row>
    <row r="1997" spans="1:9">
      <c r="A1997" s="3">
        <f ca="1">IFERROR(__xludf.DUMMYFUNCTION("""COMPUTED_VALUE"""),32101.6666666666)</f>
        <v>32101.666666666599</v>
      </c>
      <c r="B1997" s="1">
        <f ca="1">IFERROR(__xludf.DUMMYFUNCTION("""COMPUTED_VALUE"""),4.86)</f>
        <v>4.8600000000000003</v>
      </c>
      <c r="C1997" s="1">
        <f ca="1">IFERROR(__xludf.DUMMYFUNCTION("""COMPUTED_VALUE"""),4.86)</f>
        <v>4.8600000000000003</v>
      </c>
      <c r="D1997" s="1">
        <f ca="1">IFERROR(__xludf.DUMMYFUNCTION("""COMPUTED_VALUE"""),4.7)</f>
        <v>4.7</v>
      </c>
      <c r="E1997" s="1">
        <f ca="1">IFERROR(__xludf.DUMMYFUNCTION("""COMPUTED_VALUE"""),4.86)</f>
        <v>4.8600000000000003</v>
      </c>
      <c r="F1997" s="1">
        <f ca="1">IFERROR(__xludf.DUMMYFUNCTION("""COMPUTED_VALUE"""),501100)</f>
        <v>501100</v>
      </c>
      <c r="I1997" s="1"/>
    </row>
    <row r="1998" spans="1:9">
      <c r="A1998" s="3">
        <f ca="1">IFERROR(__xludf.DUMMYFUNCTION("""COMPUTED_VALUE"""),32104.6666666666)</f>
        <v>32104.666666666599</v>
      </c>
      <c r="B1998" s="1">
        <f ca="1">IFERROR(__xludf.DUMMYFUNCTION("""COMPUTED_VALUE"""),4.92)</f>
        <v>4.92</v>
      </c>
      <c r="C1998" s="1">
        <f ca="1">IFERROR(__xludf.DUMMYFUNCTION("""COMPUTED_VALUE"""),4.92)</f>
        <v>4.92</v>
      </c>
      <c r="D1998" s="1">
        <f ca="1">IFERROR(__xludf.DUMMYFUNCTION("""COMPUTED_VALUE"""),4.84)</f>
        <v>4.84</v>
      </c>
      <c r="E1998" s="1">
        <f ca="1">IFERROR(__xludf.DUMMYFUNCTION("""COMPUTED_VALUE"""),4.92)</f>
        <v>4.92</v>
      </c>
      <c r="F1998" s="1">
        <f ca="1">IFERROR(__xludf.DUMMYFUNCTION("""COMPUTED_VALUE"""),334300)</f>
        <v>334300</v>
      </c>
      <c r="I1998" s="1"/>
    </row>
    <row r="1999" spans="1:9">
      <c r="A1999" s="3">
        <f ca="1">IFERROR(__xludf.DUMMYFUNCTION("""COMPUTED_VALUE"""),32105.6666666666)</f>
        <v>32105.666666666599</v>
      </c>
      <c r="B1999" s="1">
        <f ca="1">IFERROR(__xludf.DUMMYFUNCTION("""COMPUTED_VALUE"""),4.98)</f>
        <v>4.9800000000000004</v>
      </c>
      <c r="C1999" s="1">
        <f ca="1">IFERROR(__xludf.DUMMYFUNCTION("""COMPUTED_VALUE"""),5.04)</f>
        <v>5.04</v>
      </c>
      <c r="D1999" s="1">
        <f ca="1">IFERROR(__xludf.DUMMYFUNCTION("""COMPUTED_VALUE"""),4.94)</f>
        <v>4.9400000000000004</v>
      </c>
      <c r="E1999" s="1">
        <f ca="1">IFERROR(__xludf.DUMMYFUNCTION("""COMPUTED_VALUE"""),4.98)</f>
        <v>4.9800000000000004</v>
      </c>
      <c r="F1999" s="1">
        <f ca="1">IFERROR(__xludf.DUMMYFUNCTION("""COMPUTED_VALUE"""),700200)</f>
        <v>700200</v>
      </c>
      <c r="I1999" s="1"/>
    </row>
    <row r="2000" spans="1:9">
      <c r="A2000" s="3">
        <f ca="1">IFERROR(__xludf.DUMMYFUNCTION("""COMPUTED_VALUE"""),32106.6666666666)</f>
        <v>32106.666666666599</v>
      </c>
      <c r="B2000" s="1">
        <f ca="1">IFERROR(__xludf.DUMMYFUNCTION("""COMPUTED_VALUE"""),4.9)</f>
        <v>4.9000000000000004</v>
      </c>
      <c r="C2000" s="1">
        <f ca="1">IFERROR(__xludf.DUMMYFUNCTION("""COMPUTED_VALUE"""),4.98)</f>
        <v>4.9800000000000004</v>
      </c>
      <c r="D2000" s="1">
        <f ca="1">IFERROR(__xludf.DUMMYFUNCTION("""COMPUTED_VALUE"""),4.89)</f>
        <v>4.8899999999999997</v>
      </c>
      <c r="E2000" s="1">
        <f ca="1">IFERROR(__xludf.DUMMYFUNCTION("""COMPUTED_VALUE"""),4.9)</f>
        <v>4.9000000000000004</v>
      </c>
      <c r="F2000" s="1">
        <f ca="1">IFERROR(__xludf.DUMMYFUNCTION("""COMPUTED_VALUE"""),259900)</f>
        <v>259900</v>
      </c>
      <c r="I2000" s="1"/>
    </row>
    <row r="2001" spans="1:9">
      <c r="A2001" s="3">
        <f ca="1">IFERROR(__xludf.DUMMYFUNCTION("""COMPUTED_VALUE"""),32108.6666666666)</f>
        <v>32108.666666666599</v>
      </c>
      <c r="B2001" s="1">
        <f ca="1">IFERROR(__xludf.DUMMYFUNCTION("""COMPUTED_VALUE"""),4.76)</f>
        <v>4.76</v>
      </c>
      <c r="C2001" s="1">
        <f ca="1">IFERROR(__xludf.DUMMYFUNCTION("""COMPUTED_VALUE"""),4.9)</f>
        <v>4.9000000000000004</v>
      </c>
      <c r="D2001" s="1">
        <f ca="1">IFERROR(__xludf.DUMMYFUNCTION("""COMPUTED_VALUE"""),4.76)</f>
        <v>4.76</v>
      </c>
      <c r="E2001" s="1">
        <f ca="1">IFERROR(__xludf.DUMMYFUNCTION("""COMPUTED_VALUE"""),4.76)</f>
        <v>4.76</v>
      </c>
      <c r="F2001" s="1">
        <f ca="1">IFERROR(__xludf.DUMMYFUNCTION("""COMPUTED_VALUE"""),121900)</f>
        <v>121900</v>
      </c>
      <c r="I2001" s="1"/>
    </row>
    <row r="2002" spans="1:9">
      <c r="A2002" s="3">
        <f ca="1">IFERROR(__xludf.DUMMYFUNCTION("""COMPUTED_VALUE"""),32111.6666666666)</f>
        <v>32111.666666666599</v>
      </c>
      <c r="B2002" s="1">
        <f ca="1">IFERROR(__xludf.DUMMYFUNCTION("""COMPUTED_VALUE"""),4.56)</f>
        <v>4.5599999999999996</v>
      </c>
      <c r="C2002" s="1">
        <f ca="1">IFERROR(__xludf.DUMMYFUNCTION("""COMPUTED_VALUE"""),4.69)</f>
        <v>4.6900000000000004</v>
      </c>
      <c r="D2002" s="1">
        <f ca="1">IFERROR(__xludf.DUMMYFUNCTION("""COMPUTED_VALUE"""),4.43)</f>
        <v>4.43</v>
      </c>
      <c r="E2002" s="1">
        <f ca="1">IFERROR(__xludf.DUMMYFUNCTION("""COMPUTED_VALUE"""),4.56)</f>
        <v>4.5599999999999996</v>
      </c>
      <c r="F2002" s="1">
        <f ca="1">IFERROR(__xludf.DUMMYFUNCTION("""COMPUTED_VALUE"""),669300)</f>
        <v>669300</v>
      </c>
      <c r="I2002" s="1"/>
    </row>
    <row r="2003" spans="1:9">
      <c r="A2003" s="3">
        <f ca="1">IFERROR(__xludf.DUMMYFUNCTION("""COMPUTED_VALUE"""),32112.6666666666)</f>
        <v>32112.666666666599</v>
      </c>
      <c r="B2003" s="1">
        <f ca="1">IFERROR(__xludf.DUMMYFUNCTION("""COMPUTED_VALUE"""),4.64)</f>
        <v>4.6399999999999997</v>
      </c>
      <c r="C2003" s="1">
        <f ca="1">IFERROR(__xludf.DUMMYFUNCTION("""COMPUTED_VALUE"""),4.7)</f>
        <v>4.7</v>
      </c>
      <c r="D2003" s="1">
        <f ca="1">IFERROR(__xludf.DUMMYFUNCTION("""COMPUTED_VALUE"""),4.59)</f>
        <v>4.59</v>
      </c>
      <c r="E2003" s="1">
        <f ca="1">IFERROR(__xludf.DUMMYFUNCTION("""COMPUTED_VALUE"""),4.64)</f>
        <v>4.6399999999999997</v>
      </c>
      <c r="F2003" s="1">
        <f ca="1">IFERROR(__xludf.DUMMYFUNCTION("""COMPUTED_VALUE"""),495300)</f>
        <v>495300</v>
      </c>
      <c r="I2003" s="1"/>
    </row>
    <row r="2004" spans="1:9">
      <c r="A2004" s="3">
        <f ca="1">IFERROR(__xludf.DUMMYFUNCTION("""COMPUTED_VALUE"""),32113.6666666666)</f>
        <v>32113.666666666599</v>
      </c>
      <c r="B2004" s="1">
        <f ca="1">IFERROR(__xludf.DUMMYFUNCTION("""COMPUTED_VALUE"""),4.74)</f>
        <v>4.74</v>
      </c>
      <c r="C2004" s="1">
        <f ca="1">IFERROR(__xludf.DUMMYFUNCTION("""COMPUTED_VALUE"""),4.8)</f>
        <v>4.8</v>
      </c>
      <c r="D2004" s="1">
        <f ca="1">IFERROR(__xludf.DUMMYFUNCTION("""COMPUTED_VALUE"""),4.66)</f>
        <v>4.66</v>
      </c>
      <c r="E2004" s="1">
        <f ca="1">IFERROR(__xludf.DUMMYFUNCTION("""COMPUTED_VALUE"""),4.74)</f>
        <v>4.74</v>
      </c>
      <c r="F2004" s="1">
        <f ca="1">IFERROR(__xludf.DUMMYFUNCTION("""COMPUTED_VALUE"""),431900)</f>
        <v>431900</v>
      </c>
      <c r="I2004" s="1"/>
    </row>
    <row r="2005" spans="1:9">
      <c r="A2005" s="3">
        <f ca="1">IFERROR(__xludf.DUMMYFUNCTION("""COMPUTED_VALUE"""),32114.6666666666)</f>
        <v>32114.666666666599</v>
      </c>
      <c r="B2005" s="1">
        <f ca="1">IFERROR(__xludf.DUMMYFUNCTION("""COMPUTED_VALUE"""),4.49)</f>
        <v>4.49</v>
      </c>
      <c r="C2005" s="1">
        <f ca="1">IFERROR(__xludf.DUMMYFUNCTION("""COMPUTED_VALUE"""),4.73)</f>
        <v>4.7300000000000004</v>
      </c>
      <c r="D2005" s="1">
        <f ca="1">IFERROR(__xludf.DUMMYFUNCTION("""COMPUTED_VALUE"""),4.49)</f>
        <v>4.49</v>
      </c>
      <c r="E2005" s="1">
        <f ca="1">IFERROR(__xludf.DUMMYFUNCTION("""COMPUTED_VALUE"""),4.49)</f>
        <v>4.49</v>
      </c>
      <c r="F2005" s="1">
        <f ca="1">IFERROR(__xludf.DUMMYFUNCTION("""COMPUTED_VALUE"""),628800)</f>
        <v>628800</v>
      </c>
      <c r="I2005" s="1"/>
    </row>
    <row r="2006" spans="1:9">
      <c r="A2006" s="3">
        <f ca="1">IFERROR(__xludf.DUMMYFUNCTION("""COMPUTED_VALUE"""),32115.6666666666)</f>
        <v>32115.666666666599</v>
      </c>
      <c r="B2006" s="1">
        <f ca="1">IFERROR(__xludf.DUMMYFUNCTION("""COMPUTED_VALUE"""),4.45)</f>
        <v>4.45</v>
      </c>
      <c r="C2006" s="1">
        <f ca="1">IFERROR(__xludf.DUMMYFUNCTION("""COMPUTED_VALUE"""),4.53)</f>
        <v>4.53</v>
      </c>
      <c r="D2006" s="1">
        <f ca="1">IFERROR(__xludf.DUMMYFUNCTION("""COMPUTED_VALUE"""),4.38)</f>
        <v>4.38</v>
      </c>
      <c r="E2006" s="1">
        <f ca="1">IFERROR(__xludf.DUMMYFUNCTION("""COMPUTED_VALUE"""),4.45)</f>
        <v>4.45</v>
      </c>
      <c r="F2006" s="1">
        <f ca="1">IFERROR(__xludf.DUMMYFUNCTION("""COMPUTED_VALUE"""),669100)</f>
        <v>669100</v>
      </c>
      <c r="I2006" s="1"/>
    </row>
    <row r="2007" spans="1:9">
      <c r="A2007" s="3">
        <f ca="1">IFERROR(__xludf.DUMMYFUNCTION("""COMPUTED_VALUE"""),32118.6666666666)</f>
        <v>32118.666666666599</v>
      </c>
      <c r="B2007" s="1">
        <f ca="1">IFERROR(__xludf.DUMMYFUNCTION("""COMPUTED_VALUE"""),4.66)</f>
        <v>4.66</v>
      </c>
      <c r="C2007" s="1">
        <f ca="1">IFERROR(__xludf.DUMMYFUNCTION("""COMPUTED_VALUE"""),4.66)</f>
        <v>4.66</v>
      </c>
      <c r="D2007" s="1">
        <f ca="1">IFERROR(__xludf.DUMMYFUNCTION("""COMPUTED_VALUE"""),4.47)</f>
        <v>4.47</v>
      </c>
      <c r="E2007" s="1">
        <f ca="1">IFERROR(__xludf.DUMMYFUNCTION("""COMPUTED_VALUE"""),4.66)</f>
        <v>4.66</v>
      </c>
      <c r="F2007" s="1">
        <f ca="1">IFERROR(__xludf.DUMMYFUNCTION("""COMPUTED_VALUE"""),338200)</f>
        <v>338200</v>
      </c>
      <c r="I2007" s="1"/>
    </row>
    <row r="2008" spans="1:9">
      <c r="A2008" s="3">
        <f ca="1">IFERROR(__xludf.DUMMYFUNCTION("""COMPUTED_VALUE"""),32119.6666666666)</f>
        <v>32119.666666666599</v>
      </c>
      <c r="B2008" s="1">
        <f ca="1">IFERROR(__xludf.DUMMYFUNCTION("""COMPUTED_VALUE"""),4.82)</f>
        <v>4.82</v>
      </c>
      <c r="C2008" s="1">
        <f ca="1">IFERROR(__xludf.DUMMYFUNCTION("""COMPUTED_VALUE"""),4.82)</f>
        <v>4.82</v>
      </c>
      <c r="D2008" s="1">
        <f ca="1">IFERROR(__xludf.DUMMYFUNCTION("""COMPUTED_VALUE"""),4.66)</f>
        <v>4.66</v>
      </c>
      <c r="E2008" s="1">
        <f ca="1">IFERROR(__xludf.DUMMYFUNCTION("""COMPUTED_VALUE"""),4.82)</f>
        <v>4.82</v>
      </c>
      <c r="F2008" s="1">
        <f ca="1">IFERROR(__xludf.DUMMYFUNCTION("""COMPUTED_VALUE"""),436300)</f>
        <v>436300</v>
      </c>
      <c r="I2008" s="1"/>
    </row>
    <row r="2009" spans="1:9">
      <c r="A2009" s="3">
        <f ca="1">IFERROR(__xludf.DUMMYFUNCTION("""COMPUTED_VALUE"""),32120.6666666666)</f>
        <v>32120.666666666599</v>
      </c>
      <c r="B2009" s="1">
        <f ca="1">IFERROR(__xludf.DUMMYFUNCTION("""COMPUTED_VALUE"""),4.84)</f>
        <v>4.84</v>
      </c>
      <c r="C2009" s="1">
        <f ca="1">IFERROR(__xludf.DUMMYFUNCTION("""COMPUTED_VALUE"""),4.97)</f>
        <v>4.97</v>
      </c>
      <c r="D2009" s="1">
        <f ca="1">IFERROR(__xludf.DUMMYFUNCTION("""COMPUTED_VALUE"""),4.8)</f>
        <v>4.8</v>
      </c>
      <c r="E2009" s="1">
        <f ca="1">IFERROR(__xludf.DUMMYFUNCTION("""COMPUTED_VALUE"""),4.84)</f>
        <v>4.84</v>
      </c>
      <c r="F2009" s="1">
        <f ca="1">IFERROR(__xludf.DUMMYFUNCTION("""COMPUTED_VALUE"""),653600)</f>
        <v>653600</v>
      </c>
      <c r="I2009" s="1"/>
    </row>
    <row r="2010" spans="1:9">
      <c r="A2010" s="3">
        <f ca="1">IFERROR(__xludf.DUMMYFUNCTION("""COMPUTED_VALUE"""),32121.6666666666)</f>
        <v>32121.666666666599</v>
      </c>
      <c r="B2010" s="1">
        <f ca="1">IFERROR(__xludf.DUMMYFUNCTION("""COMPUTED_VALUE"""),4.73)</f>
        <v>4.7300000000000004</v>
      </c>
      <c r="C2010" s="1">
        <f ca="1">IFERROR(__xludf.DUMMYFUNCTION("""COMPUTED_VALUE"""),4.84)</f>
        <v>4.84</v>
      </c>
      <c r="D2010" s="1">
        <f ca="1">IFERROR(__xludf.DUMMYFUNCTION("""COMPUTED_VALUE"""),4.72)</f>
        <v>4.72</v>
      </c>
      <c r="E2010" s="1">
        <f ca="1">IFERROR(__xludf.DUMMYFUNCTION("""COMPUTED_VALUE"""),4.73)</f>
        <v>4.7300000000000004</v>
      </c>
      <c r="F2010" s="1">
        <f ca="1">IFERROR(__xludf.DUMMYFUNCTION("""COMPUTED_VALUE"""),538600)</f>
        <v>538600</v>
      </c>
      <c r="I2010" s="1"/>
    </row>
    <row r="2011" spans="1:9">
      <c r="A2011" s="3">
        <f ca="1">IFERROR(__xludf.DUMMYFUNCTION("""COMPUTED_VALUE"""),32122.6666666666)</f>
        <v>32122.666666666599</v>
      </c>
      <c r="B2011" s="1">
        <f ca="1">IFERROR(__xludf.DUMMYFUNCTION("""COMPUTED_VALUE"""),4.76)</f>
        <v>4.76</v>
      </c>
      <c r="C2011" s="1">
        <f ca="1">IFERROR(__xludf.DUMMYFUNCTION("""COMPUTED_VALUE"""),4.81)</f>
        <v>4.8099999999999996</v>
      </c>
      <c r="D2011" s="1">
        <f ca="1">IFERROR(__xludf.DUMMYFUNCTION("""COMPUTED_VALUE"""),4.7)</f>
        <v>4.7</v>
      </c>
      <c r="E2011" s="1">
        <f ca="1">IFERROR(__xludf.DUMMYFUNCTION("""COMPUTED_VALUE"""),4.76)</f>
        <v>4.76</v>
      </c>
      <c r="F2011" s="1">
        <f ca="1">IFERROR(__xludf.DUMMYFUNCTION("""COMPUTED_VALUE"""),342700)</f>
        <v>342700</v>
      </c>
      <c r="I2011" s="1"/>
    </row>
    <row r="2012" spans="1:9">
      <c r="A2012" s="3">
        <f ca="1">IFERROR(__xludf.DUMMYFUNCTION("""COMPUTED_VALUE"""),32125.6666666666)</f>
        <v>32125.666666666599</v>
      </c>
      <c r="B2012" s="1">
        <f ca="1">IFERROR(__xludf.DUMMYFUNCTION("""COMPUTED_VALUE"""),4.95)</f>
        <v>4.95</v>
      </c>
      <c r="C2012" s="1">
        <f ca="1">IFERROR(__xludf.DUMMYFUNCTION("""COMPUTED_VALUE"""),4.96)</f>
        <v>4.96</v>
      </c>
      <c r="D2012" s="1">
        <f ca="1">IFERROR(__xludf.DUMMYFUNCTION("""COMPUTED_VALUE"""),4.77)</f>
        <v>4.7699999999999996</v>
      </c>
      <c r="E2012" s="1">
        <f ca="1">IFERROR(__xludf.DUMMYFUNCTION("""COMPUTED_VALUE"""),4.95)</f>
        <v>4.95</v>
      </c>
      <c r="F2012" s="1">
        <f ca="1">IFERROR(__xludf.DUMMYFUNCTION("""COMPUTED_VALUE"""),473400)</f>
        <v>473400</v>
      </c>
      <c r="I2012" s="1"/>
    </row>
    <row r="2013" spans="1:9">
      <c r="A2013" s="3">
        <f ca="1">IFERROR(__xludf.DUMMYFUNCTION("""COMPUTED_VALUE"""),32126.6666666666)</f>
        <v>32126.666666666599</v>
      </c>
      <c r="B2013" s="1">
        <f ca="1">IFERROR(__xludf.DUMMYFUNCTION("""COMPUTED_VALUE"""),4.91)</f>
        <v>4.91</v>
      </c>
      <c r="C2013" s="1">
        <f ca="1">IFERROR(__xludf.DUMMYFUNCTION("""COMPUTED_VALUE"""),5.02)</f>
        <v>5.0199999999999996</v>
      </c>
      <c r="D2013" s="1">
        <f ca="1">IFERROR(__xludf.DUMMYFUNCTION("""COMPUTED_VALUE"""),4.88)</f>
        <v>4.88</v>
      </c>
      <c r="E2013" s="1">
        <f ca="1">IFERROR(__xludf.DUMMYFUNCTION("""COMPUTED_VALUE"""),4.91)</f>
        <v>4.91</v>
      </c>
      <c r="F2013" s="1">
        <f ca="1">IFERROR(__xludf.DUMMYFUNCTION("""COMPUTED_VALUE"""),564000)</f>
        <v>564000</v>
      </c>
      <c r="I2013" s="1"/>
    </row>
    <row r="2014" spans="1:9">
      <c r="A2014" s="3">
        <f ca="1">IFERROR(__xludf.DUMMYFUNCTION("""COMPUTED_VALUE"""),32127.6666666666)</f>
        <v>32127.666666666599</v>
      </c>
      <c r="B2014" s="1">
        <f ca="1">IFERROR(__xludf.DUMMYFUNCTION("""COMPUTED_VALUE"""),4.99)</f>
        <v>4.99</v>
      </c>
      <c r="C2014" s="1">
        <f ca="1">IFERROR(__xludf.DUMMYFUNCTION("""COMPUTED_VALUE"""),5)</f>
        <v>5</v>
      </c>
      <c r="D2014" s="1">
        <f ca="1">IFERROR(__xludf.DUMMYFUNCTION("""COMPUTED_VALUE"""),4.83)</f>
        <v>4.83</v>
      </c>
      <c r="E2014" s="1">
        <f ca="1">IFERROR(__xludf.DUMMYFUNCTION("""COMPUTED_VALUE"""),4.99)</f>
        <v>4.99</v>
      </c>
      <c r="F2014" s="1">
        <f ca="1">IFERROR(__xludf.DUMMYFUNCTION("""COMPUTED_VALUE"""),463300)</f>
        <v>463300</v>
      </c>
      <c r="I2014" s="1"/>
    </row>
    <row r="2015" spans="1:9">
      <c r="A2015" s="3">
        <f ca="1">IFERROR(__xludf.DUMMYFUNCTION("""COMPUTED_VALUE"""),32128.6666666666)</f>
        <v>32128.666666666599</v>
      </c>
      <c r="B2015" s="1">
        <f ca="1">IFERROR(__xludf.DUMMYFUNCTION("""COMPUTED_VALUE"""),4.85)</f>
        <v>4.8499999999999996</v>
      </c>
      <c r="C2015" s="1">
        <f ca="1">IFERROR(__xludf.DUMMYFUNCTION("""COMPUTED_VALUE"""),5.02)</f>
        <v>5.0199999999999996</v>
      </c>
      <c r="D2015" s="1">
        <f ca="1">IFERROR(__xludf.DUMMYFUNCTION("""COMPUTED_VALUE"""),4.83)</f>
        <v>4.83</v>
      </c>
      <c r="E2015" s="1">
        <f ca="1">IFERROR(__xludf.DUMMYFUNCTION("""COMPUTED_VALUE"""),4.85)</f>
        <v>4.8499999999999996</v>
      </c>
      <c r="F2015" s="1">
        <f ca="1">IFERROR(__xludf.DUMMYFUNCTION("""COMPUTED_VALUE"""),406500)</f>
        <v>406500</v>
      </c>
      <c r="I2015" s="1"/>
    </row>
    <row r="2016" spans="1:9">
      <c r="A2016" s="3">
        <f ca="1">IFERROR(__xludf.DUMMYFUNCTION("""COMPUTED_VALUE"""),32129.6666666666)</f>
        <v>32129.666666666599</v>
      </c>
      <c r="B2016" s="1">
        <f ca="1">IFERROR(__xludf.DUMMYFUNCTION("""COMPUTED_VALUE"""),4.94)</f>
        <v>4.9400000000000004</v>
      </c>
      <c r="C2016" s="1">
        <f ca="1">IFERROR(__xludf.DUMMYFUNCTION("""COMPUTED_VALUE"""),4.98)</f>
        <v>4.9800000000000004</v>
      </c>
      <c r="D2016" s="1">
        <f ca="1">IFERROR(__xludf.DUMMYFUNCTION("""COMPUTED_VALUE"""),4.86)</f>
        <v>4.8600000000000003</v>
      </c>
      <c r="E2016" s="1">
        <f ca="1">IFERROR(__xludf.DUMMYFUNCTION("""COMPUTED_VALUE"""),4.94)</f>
        <v>4.9400000000000004</v>
      </c>
      <c r="F2016" s="1">
        <f ca="1">IFERROR(__xludf.DUMMYFUNCTION("""COMPUTED_VALUE"""),849900)</f>
        <v>849900</v>
      </c>
      <c r="I2016" s="1"/>
    </row>
    <row r="2017" spans="1:9">
      <c r="A2017" s="3">
        <f ca="1">IFERROR(__xludf.DUMMYFUNCTION("""COMPUTED_VALUE"""),32132.6666666666)</f>
        <v>32132.666666666599</v>
      </c>
      <c r="B2017" s="1">
        <f ca="1">IFERROR(__xludf.DUMMYFUNCTION("""COMPUTED_VALUE"""),4.96)</f>
        <v>4.96</v>
      </c>
      <c r="C2017" s="1">
        <f ca="1">IFERROR(__xludf.DUMMYFUNCTION("""COMPUTED_VALUE"""),4.99)</f>
        <v>4.99</v>
      </c>
      <c r="D2017" s="1">
        <f ca="1">IFERROR(__xludf.DUMMYFUNCTION("""COMPUTED_VALUE"""),4.89)</f>
        <v>4.8899999999999997</v>
      </c>
      <c r="E2017" s="1">
        <f ca="1">IFERROR(__xludf.DUMMYFUNCTION("""COMPUTED_VALUE"""),4.96)</f>
        <v>4.96</v>
      </c>
      <c r="F2017" s="1">
        <f ca="1">IFERROR(__xludf.DUMMYFUNCTION("""COMPUTED_VALUE"""),290100)</f>
        <v>290100</v>
      </c>
      <c r="I2017" s="1"/>
    </row>
    <row r="2018" spans="1:9">
      <c r="A2018" s="3">
        <f ca="1">IFERROR(__xludf.DUMMYFUNCTION("""COMPUTED_VALUE"""),32133.6666666666)</f>
        <v>32133.666666666599</v>
      </c>
      <c r="B2018" s="1">
        <f ca="1">IFERROR(__xludf.DUMMYFUNCTION("""COMPUTED_VALUE"""),4.89)</f>
        <v>4.8899999999999997</v>
      </c>
      <c r="C2018" s="1">
        <f ca="1">IFERROR(__xludf.DUMMYFUNCTION("""COMPUTED_VALUE"""),4.95)</f>
        <v>4.95</v>
      </c>
      <c r="D2018" s="1">
        <f ca="1">IFERROR(__xludf.DUMMYFUNCTION("""COMPUTED_VALUE"""),4.82)</f>
        <v>4.82</v>
      </c>
      <c r="E2018" s="1">
        <f ca="1">IFERROR(__xludf.DUMMYFUNCTION("""COMPUTED_VALUE"""),4.89)</f>
        <v>4.8899999999999997</v>
      </c>
      <c r="F2018" s="1">
        <f ca="1">IFERROR(__xludf.DUMMYFUNCTION("""COMPUTED_VALUE"""),323400)</f>
        <v>323400</v>
      </c>
      <c r="I2018" s="1"/>
    </row>
    <row r="2019" spans="1:9">
      <c r="A2019" s="3">
        <f ca="1">IFERROR(__xludf.DUMMYFUNCTION("""COMPUTED_VALUE"""),32134.6666666666)</f>
        <v>32134.666666666599</v>
      </c>
      <c r="B2019" s="1">
        <f ca="1">IFERROR(__xludf.DUMMYFUNCTION("""COMPUTED_VALUE"""),4.97)</f>
        <v>4.97</v>
      </c>
      <c r="C2019" s="1">
        <f ca="1">IFERROR(__xludf.DUMMYFUNCTION("""COMPUTED_VALUE"""),5)</f>
        <v>5</v>
      </c>
      <c r="D2019" s="1">
        <f ca="1">IFERROR(__xludf.DUMMYFUNCTION("""COMPUTED_VALUE"""),4.94)</f>
        <v>4.9400000000000004</v>
      </c>
      <c r="E2019" s="1">
        <f ca="1">IFERROR(__xludf.DUMMYFUNCTION("""COMPUTED_VALUE"""),4.97)</f>
        <v>4.97</v>
      </c>
      <c r="F2019" s="1">
        <f ca="1">IFERROR(__xludf.DUMMYFUNCTION("""COMPUTED_VALUE"""),336100)</f>
        <v>336100</v>
      </c>
      <c r="I2019" s="1"/>
    </row>
    <row r="2020" spans="1:9">
      <c r="A2020" s="3">
        <f ca="1">IFERROR(__xludf.DUMMYFUNCTION("""COMPUTED_VALUE"""),32135.6666666666)</f>
        <v>32135.666666666599</v>
      </c>
      <c r="B2020" s="1">
        <f ca="1">IFERROR(__xludf.DUMMYFUNCTION("""COMPUTED_VALUE"""),4.96)</f>
        <v>4.96</v>
      </c>
      <c r="C2020" s="1">
        <f ca="1">IFERROR(__xludf.DUMMYFUNCTION("""COMPUTED_VALUE"""),4.98)</f>
        <v>4.9800000000000004</v>
      </c>
      <c r="D2020" s="1">
        <f ca="1">IFERROR(__xludf.DUMMYFUNCTION("""COMPUTED_VALUE"""),4.92)</f>
        <v>4.92</v>
      </c>
      <c r="E2020" s="1">
        <f ca="1">IFERROR(__xludf.DUMMYFUNCTION("""COMPUTED_VALUE"""),4.96)</f>
        <v>4.96</v>
      </c>
      <c r="F2020" s="1">
        <f ca="1">IFERROR(__xludf.DUMMYFUNCTION("""COMPUTED_VALUE"""),132900)</f>
        <v>132900</v>
      </c>
      <c r="I2020" s="1"/>
    </row>
    <row r="2021" spans="1:9">
      <c r="A2021" s="3">
        <f ca="1">IFERROR(__xludf.DUMMYFUNCTION("""COMPUTED_VALUE"""),32139.6666666666)</f>
        <v>32139.666666666599</v>
      </c>
      <c r="B2021" s="1">
        <f ca="1">IFERROR(__xludf.DUMMYFUNCTION("""COMPUTED_VALUE"""),4.8)</f>
        <v>4.8</v>
      </c>
      <c r="C2021" s="1">
        <f ca="1">IFERROR(__xludf.DUMMYFUNCTION("""COMPUTED_VALUE"""),4.84)</f>
        <v>4.84</v>
      </c>
      <c r="D2021" s="1">
        <f ca="1">IFERROR(__xludf.DUMMYFUNCTION("""COMPUTED_VALUE"""),4.76)</f>
        <v>4.76</v>
      </c>
      <c r="E2021" s="1">
        <f ca="1">IFERROR(__xludf.DUMMYFUNCTION("""COMPUTED_VALUE"""),4.8)</f>
        <v>4.8</v>
      </c>
      <c r="F2021" s="1">
        <f ca="1">IFERROR(__xludf.DUMMYFUNCTION("""COMPUTED_VALUE"""),260200)</f>
        <v>260200</v>
      </c>
      <c r="I2021" s="1"/>
    </row>
    <row r="2022" spans="1:9">
      <c r="A2022" s="3">
        <f ca="1">IFERROR(__xludf.DUMMYFUNCTION("""COMPUTED_VALUE"""),32140.6666666666)</f>
        <v>32140.666666666599</v>
      </c>
      <c r="B2022" s="1">
        <f ca="1">IFERROR(__xludf.DUMMYFUNCTION("""COMPUTED_VALUE"""),4.79)</f>
        <v>4.79</v>
      </c>
      <c r="C2022" s="1">
        <f ca="1">IFERROR(__xludf.DUMMYFUNCTION("""COMPUTED_VALUE"""),4.84)</f>
        <v>4.84</v>
      </c>
      <c r="D2022" s="1">
        <f ca="1">IFERROR(__xludf.DUMMYFUNCTION("""COMPUTED_VALUE"""),4.79)</f>
        <v>4.79</v>
      </c>
      <c r="E2022" s="1">
        <f ca="1">IFERROR(__xludf.DUMMYFUNCTION("""COMPUTED_VALUE"""),4.79)</f>
        <v>4.79</v>
      </c>
      <c r="F2022" s="1">
        <f ca="1">IFERROR(__xludf.DUMMYFUNCTION("""COMPUTED_VALUE"""),197800)</f>
        <v>197800</v>
      </c>
      <c r="I2022" s="1"/>
    </row>
    <row r="2023" spans="1:9">
      <c r="A2023" s="3">
        <f ca="1">IFERROR(__xludf.DUMMYFUNCTION("""COMPUTED_VALUE"""),32141.6666666666)</f>
        <v>32141.666666666599</v>
      </c>
      <c r="B2023" s="1">
        <f ca="1">IFERROR(__xludf.DUMMYFUNCTION("""COMPUTED_VALUE"""),4.8)</f>
        <v>4.8</v>
      </c>
      <c r="C2023" s="1">
        <f ca="1">IFERROR(__xludf.DUMMYFUNCTION("""COMPUTED_VALUE"""),4.84)</f>
        <v>4.84</v>
      </c>
      <c r="D2023" s="1">
        <f ca="1">IFERROR(__xludf.DUMMYFUNCTION("""COMPUTED_VALUE"""),4.73)</f>
        <v>4.7300000000000004</v>
      </c>
      <c r="E2023" s="1">
        <f ca="1">IFERROR(__xludf.DUMMYFUNCTION("""COMPUTED_VALUE"""),4.8)</f>
        <v>4.8</v>
      </c>
      <c r="F2023" s="1">
        <f ca="1">IFERROR(__xludf.DUMMYFUNCTION("""COMPUTED_VALUE"""),420700)</f>
        <v>420700</v>
      </c>
      <c r="I2023" s="1"/>
    </row>
    <row r="2024" spans="1:9">
      <c r="A2024" s="3">
        <f ca="1">IFERROR(__xludf.DUMMYFUNCTION("""COMPUTED_VALUE"""),32142.6666666666)</f>
        <v>32142.666666666599</v>
      </c>
      <c r="B2024" s="1">
        <f ca="1">IFERROR(__xludf.DUMMYFUNCTION("""COMPUTED_VALUE"""),4.68)</f>
        <v>4.68</v>
      </c>
      <c r="C2024" s="1">
        <f ca="1">IFERROR(__xludf.DUMMYFUNCTION("""COMPUTED_VALUE"""),4.73)</f>
        <v>4.7300000000000004</v>
      </c>
      <c r="D2024" s="1">
        <f ca="1">IFERROR(__xludf.DUMMYFUNCTION("""COMPUTED_VALUE"""),4.68)</f>
        <v>4.68</v>
      </c>
      <c r="E2024" s="1">
        <f ca="1">IFERROR(__xludf.DUMMYFUNCTION("""COMPUTED_VALUE"""),4.68)</f>
        <v>4.68</v>
      </c>
      <c r="F2024" s="1">
        <f ca="1">IFERROR(__xludf.DUMMYFUNCTION("""COMPUTED_VALUE"""),365000)</f>
        <v>365000</v>
      </c>
      <c r="I2024" s="1"/>
    </row>
    <row r="2025" spans="1:9">
      <c r="A2025" s="3">
        <f ca="1">IFERROR(__xludf.DUMMYFUNCTION("""COMPUTED_VALUE"""),32146.6666666666)</f>
        <v>32146.666666666599</v>
      </c>
      <c r="B2025" s="1">
        <f ca="1">IFERROR(__xludf.DUMMYFUNCTION("""COMPUTED_VALUE"""),4.88)</f>
        <v>4.88</v>
      </c>
      <c r="C2025" s="1">
        <f ca="1">IFERROR(__xludf.DUMMYFUNCTION("""COMPUTED_VALUE"""),4.88)</f>
        <v>4.88</v>
      </c>
      <c r="D2025" s="1">
        <f ca="1">IFERROR(__xludf.DUMMYFUNCTION("""COMPUTED_VALUE"""),4.74)</f>
        <v>4.74</v>
      </c>
      <c r="E2025" s="1">
        <f ca="1">IFERROR(__xludf.DUMMYFUNCTION("""COMPUTED_VALUE"""),4.88)</f>
        <v>4.88</v>
      </c>
      <c r="F2025" s="1">
        <f ca="1">IFERROR(__xludf.DUMMYFUNCTION("""COMPUTED_VALUE"""),495000)</f>
        <v>495000</v>
      </c>
      <c r="I2025" s="1"/>
    </row>
    <row r="2026" spans="1:9">
      <c r="A2026" s="3">
        <f ca="1">IFERROR(__xludf.DUMMYFUNCTION("""COMPUTED_VALUE"""),32147.6666666666)</f>
        <v>32147.666666666599</v>
      </c>
      <c r="B2026" s="1">
        <f ca="1">IFERROR(__xludf.DUMMYFUNCTION("""COMPUTED_VALUE"""),4.91)</f>
        <v>4.91</v>
      </c>
      <c r="C2026" s="1">
        <f ca="1">IFERROR(__xludf.DUMMYFUNCTION("""COMPUTED_VALUE"""),4.99)</f>
        <v>4.99</v>
      </c>
      <c r="D2026" s="1">
        <f ca="1">IFERROR(__xludf.DUMMYFUNCTION("""COMPUTED_VALUE"""),4.91)</f>
        <v>4.91</v>
      </c>
      <c r="E2026" s="1">
        <f ca="1">IFERROR(__xludf.DUMMYFUNCTION("""COMPUTED_VALUE"""),4.91)</f>
        <v>4.91</v>
      </c>
      <c r="F2026" s="1">
        <f ca="1">IFERROR(__xludf.DUMMYFUNCTION("""COMPUTED_VALUE"""),520500)</f>
        <v>520500</v>
      </c>
      <c r="I2026" s="1"/>
    </row>
    <row r="2027" spans="1:9">
      <c r="A2027" s="3">
        <f ca="1">IFERROR(__xludf.DUMMYFUNCTION("""COMPUTED_VALUE"""),32148.6666666666)</f>
        <v>32148.666666666599</v>
      </c>
      <c r="B2027" s="1">
        <f ca="1">IFERROR(__xludf.DUMMYFUNCTION("""COMPUTED_VALUE"""),4.88)</f>
        <v>4.88</v>
      </c>
      <c r="C2027" s="1">
        <f ca="1">IFERROR(__xludf.DUMMYFUNCTION("""COMPUTED_VALUE"""),4.93)</f>
        <v>4.93</v>
      </c>
      <c r="D2027" s="1">
        <f ca="1">IFERROR(__xludf.DUMMYFUNCTION("""COMPUTED_VALUE"""),4.85)</f>
        <v>4.8499999999999996</v>
      </c>
      <c r="E2027" s="1">
        <f ca="1">IFERROR(__xludf.DUMMYFUNCTION("""COMPUTED_VALUE"""),4.88)</f>
        <v>4.88</v>
      </c>
      <c r="F2027" s="1">
        <f ca="1">IFERROR(__xludf.DUMMYFUNCTION("""COMPUTED_VALUE"""),533300)</f>
        <v>533300</v>
      </c>
      <c r="I2027" s="1"/>
    </row>
    <row r="2028" spans="1:9">
      <c r="A2028" s="3">
        <f ca="1">IFERROR(__xludf.DUMMYFUNCTION("""COMPUTED_VALUE"""),32149.6666666666)</f>
        <v>32149.666666666599</v>
      </c>
      <c r="B2028" s="1">
        <f ca="1">IFERROR(__xludf.DUMMYFUNCTION("""COMPUTED_VALUE"""),4.85)</f>
        <v>4.8499999999999996</v>
      </c>
      <c r="C2028" s="1">
        <f ca="1">IFERROR(__xludf.DUMMYFUNCTION("""COMPUTED_VALUE"""),4.87)</f>
        <v>4.87</v>
      </c>
      <c r="D2028" s="1">
        <f ca="1">IFERROR(__xludf.DUMMYFUNCTION("""COMPUTED_VALUE"""),4.81)</f>
        <v>4.8099999999999996</v>
      </c>
      <c r="E2028" s="1">
        <f ca="1">IFERROR(__xludf.DUMMYFUNCTION("""COMPUTED_VALUE"""),4.85)</f>
        <v>4.8499999999999996</v>
      </c>
      <c r="F2028" s="1">
        <f ca="1">IFERROR(__xludf.DUMMYFUNCTION("""COMPUTED_VALUE"""),475500)</f>
        <v>475500</v>
      </c>
      <c r="I2028" s="1"/>
    </row>
    <row r="2029" spans="1:9">
      <c r="A2029" s="3">
        <f ca="1">IFERROR(__xludf.DUMMYFUNCTION("""COMPUTED_VALUE"""),32150.6666666666)</f>
        <v>32150.666666666599</v>
      </c>
      <c r="B2029" s="1">
        <f ca="1">IFERROR(__xludf.DUMMYFUNCTION("""COMPUTED_VALUE"""),4.53)</f>
        <v>4.53</v>
      </c>
      <c r="C2029" s="1">
        <f ca="1">IFERROR(__xludf.DUMMYFUNCTION("""COMPUTED_VALUE"""),4.87)</f>
        <v>4.87</v>
      </c>
      <c r="D2029" s="1">
        <f ca="1">IFERROR(__xludf.DUMMYFUNCTION("""COMPUTED_VALUE"""),4.52)</f>
        <v>4.5199999999999996</v>
      </c>
      <c r="E2029" s="1">
        <f ca="1">IFERROR(__xludf.DUMMYFUNCTION("""COMPUTED_VALUE"""),4.53)</f>
        <v>4.53</v>
      </c>
      <c r="F2029" s="1">
        <f ca="1">IFERROR(__xludf.DUMMYFUNCTION("""COMPUTED_VALUE"""),784400)</f>
        <v>784400</v>
      </c>
      <c r="I2029" s="1"/>
    </row>
    <row r="2030" spans="1:9">
      <c r="A2030" s="3">
        <f ca="1">IFERROR(__xludf.DUMMYFUNCTION("""COMPUTED_VALUE"""),32153.6666666666)</f>
        <v>32153.666666666599</v>
      </c>
      <c r="B2030" s="1">
        <f ca="1">IFERROR(__xludf.DUMMYFUNCTION("""COMPUTED_VALUE"""),4.52)</f>
        <v>4.5199999999999996</v>
      </c>
      <c r="C2030" s="1">
        <f ca="1">IFERROR(__xludf.DUMMYFUNCTION("""COMPUTED_VALUE"""),4.6)</f>
        <v>4.5999999999999996</v>
      </c>
      <c r="D2030" s="1">
        <f ca="1">IFERROR(__xludf.DUMMYFUNCTION("""COMPUTED_VALUE"""),4.38)</f>
        <v>4.38</v>
      </c>
      <c r="E2030" s="1">
        <f ca="1">IFERROR(__xludf.DUMMYFUNCTION("""COMPUTED_VALUE"""),4.52)</f>
        <v>4.5199999999999996</v>
      </c>
      <c r="F2030" s="1">
        <f ca="1">IFERROR(__xludf.DUMMYFUNCTION("""COMPUTED_VALUE"""),716100)</f>
        <v>716100</v>
      </c>
      <c r="I2030" s="1"/>
    </row>
    <row r="2031" spans="1:9">
      <c r="A2031" s="3">
        <f ca="1">IFERROR(__xludf.DUMMYFUNCTION("""COMPUTED_VALUE"""),32154.6666666666)</f>
        <v>32154.666666666599</v>
      </c>
      <c r="B2031" s="1">
        <f ca="1">IFERROR(__xludf.DUMMYFUNCTION("""COMPUTED_VALUE"""),4.48)</f>
        <v>4.4800000000000004</v>
      </c>
      <c r="C2031" s="1">
        <f ca="1">IFERROR(__xludf.DUMMYFUNCTION("""COMPUTED_VALUE"""),4.53)</f>
        <v>4.53</v>
      </c>
      <c r="D2031" s="1">
        <f ca="1">IFERROR(__xludf.DUMMYFUNCTION("""COMPUTED_VALUE"""),4.41)</f>
        <v>4.41</v>
      </c>
      <c r="E2031" s="1">
        <f ca="1">IFERROR(__xludf.DUMMYFUNCTION("""COMPUTED_VALUE"""),4.48)</f>
        <v>4.4800000000000004</v>
      </c>
      <c r="F2031" s="1">
        <f ca="1">IFERROR(__xludf.DUMMYFUNCTION("""COMPUTED_VALUE"""),586900)</f>
        <v>586900</v>
      </c>
      <c r="I2031" s="1"/>
    </row>
    <row r="2032" spans="1:9">
      <c r="A2032" s="3">
        <f ca="1">IFERROR(__xludf.DUMMYFUNCTION("""COMPUTED_VALUE"""),32155.6666666666)</f>
        <v>32155.666666666599</v>
      </c>
      <c r="B2032" s="1">
        <f ca="1">IFERROR(__xludf.DUMMYFUNCTION("""COMPUTED_VALUE"""),4.47)</f>
        <v>4.47</v>
      </c>
      <c r="C2032" s="1">
        <f ca="1">IFERROR(__xludf.DUMMYFUNCTION("""COMPUTED_VALUE"""),4.53)</f>
        <v>4.53</v>
      </c>
      <c r="D2032" s="1">
        <f ca="1">IFERROR(__xludf.DUMMYFUNCTION("""COMPUTED_VALUE"""),4.35)</f>
        <v>4.3499999999999996</v>
      </c>
      <c r="E2032" s="1">
        <f ca="1">IFERROR(__xludf.DUMMYFUNCTION("""COMPUTED_VALUE"""),4.47)</f>
        <v>4.47</v>
      </c>
      <c r="F2032" s="1">
        <f ca="1">IFERROR(__xludf.DUMMYFUNCTION("""COMPUTED_VALUE"""),666800)</f>
        <v>666800</v>
      </c>
      <c r="I2032" s="1"/>
    </row>
    <row r="2033" spans="1:9">
      <c r="A2033" s="3">
        <f ca="1">IFERROR(__xludf.DUMMYFUNCTION("""COMPUTED_VALUE"""),32156.6666666666)</f>
        <v>32156.666666666599</v>
      </c>
      <c r="B2033" s="1">
        <f ca="1">IFERROR(__xludf.DUMMYFUNCTION("""COMPUTED_VALUE"""),4.52)</f>
        <v>4.5199999999999996</v>
      </c>
      <c r="C2033" s="1">
        <f ca="1">IFERROR(__xludf.DUMMYFUNCTION("""COMPUTED_VALUE"""),4.52)</f>
        <v>4.5199999999999996</v>
      </c>
      <c r="D2033" s="1">
        <f ca="1">IFERROR(__xludf.DUMMYFUNCTION("""COMPUTED_VALUE"""),4.45)</f>
        <v>4.45</v>
      </c>
      <c r="E2033" s="1">
        <f ca="1">IFERROR(__xludf.DUMMYFUNCTION("""COMPUTED_VALUE"""),4.52)</f>
        <v>4.5199999999999996</v>
      </c>
      <c r="F2033" s="1">
        <f ca="1">IFERROR(__xludf.DUMMYFUNCTION("""COMPUTED_VALUE"""),346100)</f>
        <v>346100</v>
      </c>
      <c r="I2033" s="1"/>
    </row>
    <row r="2034" spans="1:9">
      <c r="A2034" s="3">
        <f ca="1">IFERROR(__xludf.DUMMYFUNCTION("""COMPUTED_VALUE"""),32157.6666666666)</f>
        <v>32157.666666666599</v>
      </c>
      <c r="B2034" s="1">
        <f ca="1">IFERROR(__xludf.DUMMYFUNCTION("""COMPUTED_VALUE"""),4.62)</f>
        <v>4.62</v>
      </c>
      <c r="C2034" s="1">
        <f ca="1">IFERROR(__xludf.DUMMYFUNCTION("""COMPUTED_VALUE"""),4.7)</f>
        <v>4.7</v>
      </c>
      <c r="D2034" s="1">
        <f ca="1">IFERROR(__xludf.DUMMYFUNCTION("""COMPUTED_VALUE"""),4.6)</f>
        <v>4.5999999999999996</v>
      </c>
      <c r="E2034" s="1">
        <f ca="1">IFERROR(__xludf.DUMMYFUNCTION("""COMPUTED_VALUE"""),4.62)</f>
        <v>4.62</v>
      </c>
      <c r="F2034" s="1">
        <f ca="1">IFERROR(__xludf.DUMMYFUNCTION("""COMPUTED_VALUE"""),747100)</f>
        <v>747100</v>
      </c>
      <c r="I2034" s="1"/>
    </row>
    <row r="2035" spans="1:9">
      <c r="A2035" s="3">
        <f ca="1">IFERROR(__xludf.DUMMYFUNCTION("""COMPUTED_VALUE"""),32160.6666666666)</f>
        <v>32160.666666666599</v>
      </c>
      <c r="B2035" s="1">
        <f ca="1">IFERROR(__xludf.DUMMYFUNCTION("""COMPUTED_VALUE"""),4.64)</f>
        <v>4.6399999999999997</v>
      </c>
      <c r="C2035" s="1">
        <f ca="1">IFERROR(__xludf.DUMMYFUNCTION("""COMPUTED_VALUE"""),4.66)</f>
        <v>4.66</v>
      </c>
      <c r="D2035" s="1">
        <f ca="1">IFERROR(__xludf.DUMMYFUNCTION("""COMPUTED_VALUE"""),4.59)</f>
        <v>4.59</v>
      </c>
      <c r="E2035" s="1">
        <f ca="1">IFERROR(__xludf.DUMMYFUNCTION("""COMPUTED_VALUE"""),4.64)</f>
        <v>4.6399999999999997</v>
      </c>
      <c r="F2035" s="1">
        <f ca="1">IFERROR(__xludf.DUMMYFUNCTION("""COMPUTED_VALUE"""),313700)</f>
        <v>313700</v>
      </c>
      <c r="I2035" s="1"/>
    </row>
    <row r="2036" spans="1:9">
      <c r="A2036" s="3">
        <f ca="1">IFERROR(__xludf.DUMMYFUNCTION("""COMPUTED_VALUE"""),32161.6666666666)</f>
        <v>32161.666666666599</v>
      </c>
      <c r="B2036" s="1">
        <f ca="1">IFERROR(__xludf.DUMMYFUNCTION("""COMPUTED_VALUE"""),4.64)</f>
        <v>4.6399999999999997</v>
      </c>
      <c r="C2036" s="1">
        <f ca="1">IFERROR(__xludf.DUMMYFUNCTION("""COMPUTED_VALUE"""),4.73)</f>
        <v>4.7300000000000004</v>
      </c>
      <c r="D2036" s="1">
        <f ca="1">IFERROR(__xludf.DUMMYFUNCTION("""COMPUTED_VALUE"""),4.55)</f>
        <v>4.55</v>
      </c>
      <c r="E2036" s="1">
        <f ca="1">IFERROR(__xludf.DUMMYFUNCTION("""COMPUTED_VALUE"""),4.64)</f>
        <v>4.6399999999999997</v>
      </c>
      <c r="F2036" s="1">
        <f ca="1">IFERROR(__xludf.DUMMYFUNCTION("""COMPUTED_VALUE"""),458200)</f>
        <v>458200</v>
      </c>
      <c r="I2036" s="1"/>
    </row>
    <row r="2037" spans="1:9">
      <c r="A2037" s="3">
        <f ca="1">IFERROR(__xludf.DUMMYFUNCTION("""COMPUTED_VALUE"""),32162.6666666666)</f>
        <v>32162.666666666599</v>
      </c>
      <c r="B2037" s="1">
        <f ca="1">IFERROR(__xludf.DUMMYFUNCTION("""COMPUTED_VALUE"""),4.48)</f>
        <v>4.4800000000000004</v>
      </c>
      <c r="C2037" s="1">
        <f ca="1">IFERROR(__xludf.DUMMYFUNCTION("""COMPUTED_VALUE"""),4.62)</f>
        <v>4.62</v>
      </c>
      <c r="D2037" s="1">
        <f ca="1">IFERROR(__xludf.DUMMYFUNCTION("""COMPUTED_VALUE"""),4.41)</f>
        <v>4.41</v>
      </c>
      <c r="E2037" s="1">
        <f ca="1">IFERROR(__xludf.DUMMYFUNCTION("""COMPUTED_VALUE"""),4.48)</f>
        <v>4.4800000000000004</v>
      </c>
      <c r="F2037" s="1">
        <f ca="1">IFERROR(__xludf.DUMMYFUNCTION("""COMPUTED_VALUE"""),866300)</f>
        <v>866300</v>
      </c>
      <c r="I2037" s="1"/>
    </row>
    <row r="2038" spans="1:9">
      <c r="A2038" s="3">
        <f ca="1">IFERROR(__xludf.DUMMYFUNCTION("""COMPUTED_VALUE"""),32163.6666666666)</f>
        <v>32163.666666666599</v>
      </c>
      <c r="B2038" s="1">
        <f ca="1">IFERROR(__xludf.DUMMYFUNCTION("""COMPUTED_VALUE"""),4.67)</f>
        <v>4.67</v>
      </c>
      <c r="C2038" s="1">
        <f ca="1">IFERROR(__xludf.DUMMYFUNCTION("""COMPUTED_VALUE"""),4.81)</f>
        <v>4.8099999999999996</v>
      </c>
      <c r="D2038" s="1">
        <f ca="1">IFERROR(__xludf.DUMMYFUNCTION("""COMPUTED_VALUE"""),4.45)</f>
        <v>4.45</v>
      </c>
      <c r="E2038" s="1">
        <f ca="1">IFERROR(__xludf.DUMMYFUNCTION("""COMPUTED_VALUE"""),4.67)</f>
        <v>4.67</v>
      </c>
      <c r="F2038" s="1">
        <f ca="1">IFERROR(__xludf.DUMMYFUNCTION("""COMPUTED_VALUE"""),1742900)</f>
        <v>1742900</v>
      </c>
      <c r="I2038" s="1"/>
    </row>
    <row r="2039" spans="1:9">
      <c r="A2039" s="3">
        <f ca="1">IFERROR(__xludf.DUMMYFUNCTION("""COMPUTED_VALUE"""),32164.6666666666)</f>
        <v>32164.666666666599</v>
      </c>
      <c r="B2039" s="1">
        <f ca="1">IFERROR(__xludf.DUMMYFUNCTION("""COMPUTED_VALUE"""),4.99)</f>
        <v>4.99</v>
      </c>
      <c r="C2039" s="1">
        <f ca="1">IFERROR(__xludf.DUMMYFUNCTION("""COMPUTED_VALUE"""),4.99)</f>
        <v>4.99</v>
      </c>
      <c r="D2039" s="1">
        <f ca="1">IFERROR(__xludf.DUMMYFUNCTION("""COMPUTED_VALUE"""),4.78)</f>
        <v>4.78</v>
      </c>
      <c r="E2039" s="1">
        <f ca="1">IFERROR(__xludf.DUMMYFUNCTION("""COMPUTED_VALUE"""),4.99)</f>
        <v>4.99</v>
      </c>
      <c r="F2039" s="1">
        <f ca="1">IFERROR(__xludf.DUMMYFUNCTION("""COMPUTED_VALUE"""),2298000)</f>
        <v>2298000</v>
      </c>
      <c r="I2039" s="1"/>
    </row>
    <row r="2040" spans="1:9">
      <c r="A2040" s="3">
        <f ca="1">IFERROR(__xludf.DUMMYFUNCTION("""COMPUTED_VALUE"""),32167.6666666666)</f>
        <v>32167.666666666599</v>
      </c>
      <c r="B2040" s="1">
        <f ca="1">IFERROR(__xludf.DUMMYFUNCTION("""COMPUTED_VALUE"""),4.92)</f>
        <v>4.92</v>
      </c>
      <c r="C2040" s="1">
        <f ca="1">IFERROR(__xludf.DUMMYFUNCTION("""COMPUTED_VALUE"""),4.99)</f>
        <v>4.99</v>
      </c>
      <c r="D2040" s="1">
        <f ca="1">IFERROR(__xludf.DUMMYFUNCTION("""COMPUTED_VALUE"""),4.88)</f>
        <v>4.88</v>
      </c>
      <c r="E2040" s="1">
        <f ca="1">IFERROR(__xludf.DUMMYFUNCTION("""COMPUTED_VALUE"""),4.92)</f>
        <v>4.92</v>
      </c>
      <c r="F2040" s="1">
        <f ca="1">IFERROR(__xludf.DUMMYFUNCTION("""COMPUTED_VALUE"""),1238500)</f>
        <v>1238500</v>
      </c>
      <c r="I2040" s="1"/>
    </row>
    <row r="2041" spans="1:9">
      <c r="A2041" s="3">
        <f ca="1">IFERROR(__xludf.DUMMYFUNCTION("""COMPUTED_VALUE"""),32168.6666666666)</f>
        <v>32168.666666666599</v>
      </c>
      <c r="B2041" s="1">
        <f ca="1">IFERROR(__xludf.DUMMYFUNCTION("""COMPUTED_VALUE"""),4.85)</f>
        <v>4.8499999999999996</v>
      </c>
      <c r="C2041" s="1">
        <f ca="1">IFERROR(__xludf.DUMMYFUNCTION("""COMPUTED_VALUE"""),4.91)</f>
        <v>4.91</v>
      </c>
      <c r="D2041" s="1">
        <f ca="1">IFERROR(__xludf.DUMMYFUNCTION("""COMPUTED_VALUE"""),4.81)</f>
        <v>4.8099999999999996</v>
      </c>
      <c r="E2041" s="1">
        <f ca="1">IFERROR(__xludf.DUMMYFUNCTION("""COMPUTED_VALUE"""),4.85)</f>
        <v>4.8499999999999996</v>
      </c>
      <c r="F2041" s="1">
        <f ca="1">IFERROR(__xludf.DUMMYFUNCTION("""COMPUTED_VALUE"""),530300)</f>
        <v>530300</v>
      </c>
      <c r="I2041" s="1"/>
    </row>
    <row r="2042" spans="1:9">
      <c r="A2042" s="3">
        <f ca="1">IFERROR(__xludf.DUMMYFUNCTION("""COMPUTED_VALUE"""),32169.6666666666)</f>
        <v>32169.666666666599</v>
      </c>
      <c r="B2042" s="1">
        <f ca="1">IFERROR(__xludf.DUMMYFUNCTION("""COMPUTED_VALUE"""),4.71)</f>
        <v>4.71</v>
      </c>
      <c r="C2042" s="1">
        <f ca="1">IFERROR(__xludf.DUMMYFUNCTION("""COMPUTED_VALUE"""),4.88)</f>
        <v>4.88</v>
      </c>
      <c r="D2042" s="1">
        <f ca="1">IFERROR(__xludf.DUMMYFUNCTION("""COMPUTED_VALUE"""),4.7)</f>
        <v>4.7</v>
      </c>
      <c r="E2042" s="1">
        <f ca="1">IFERROR(__xludf.DUMMYFUNCTION("""COMPUTED_VALUE"""),4.71)</f>
        <v>4.71</v>
      </c>
      <c r="F2042" s="1">
        <f ca="1">IFERROR(__xludf.DUMMYFUNCTION("""COMPUTED_VALUE"""),837100)</f>
        <v>837100</v>
      </c>
      <c r="I2042" s="1"/>
    </row>
    <row r="2043" spans="1:9">
      <c r="A2043" s="3">
        <f ca="1">IFERROR(__xludf.DUMMYFUNCTION("""COMPUTED_VALUE"""),32170.6666666666)</f>
        <v>32170.666666666599</v>
      </c>
      <c r="B2043" s="1">
        <f ca="1">IFERROR(__xludf.DUMMYFUNCTION("""COMPUTED_VALUE"""),4.8)</f>
        <v>4.8</v>
      </c>
      <c r="C2043" s="1">
        <f ca="1">IFERROR(__xludf.DUMMYFUNCTION("""COMPUTED_VALUE"""),4.84)</f>
        <v>4.84</v>
      </c>
      <c r="D2043" s="1">
        <f ca="1">IFERROR(__xludf.DUMMYFUNCTION("""COMPUTED_VALUE"""),4.73)</f>
        <v>4.7300000000000004</v>
      </c>
      <c r="E2043" s="1">
        <f ca="1">IFERROR(__xludf.DUMMYFUNCTION("""COMPUTED_VALUE"""),4.8)</f>
        <v>4.8</v>
      </c>
      <c r="F2043" s="1">
        <f ca="1">IFERROR(__xludf.DUMMYFUNCTION("""COMPUTED_VALUE"""),487500)</f>
        <v>487500</v>
      </c>
      <c r="I2043" s="1"/>
    </row>
    <row r="2044" spans="1:9">
      <c r="A2044" s="3">
        <f ca="1">IFERROR(__xludf.DUMMYFUNCTION("""COMPUTED_VALUE"""),32171.6666666666)</f>
        <v>32171.666666666599</v>
      </c>
      <c r="B2044" s="1">
        <f ca="1">IFERROR(__xludf.DUMMYFUNCTION("""COMPUTED_VALUE"""),4.9)</f>
        <v>4.9000000000000004</v>
      </c>
      <c r="C2044" s="1">
        <f ca="1">IFERROR(__xludf.DUMMYFUNCTION("""COMPUTED_VALUE"""),4.92)</f>
        <v>4.92</v>
      </c>
      <c r="D2044" s="1">
        <f ca="1">IFERROR(__xludf.DUMMYFUNCTION("""COMPUTED_VALUE"""),4.82)</f>
        <v>4.82</v>
      </c>
      <c r="E2044" s="1">
        <f ca="1">IFERROR(__xludf.DUMMYFUNCTION("""COMPUTED_VALUE"""),4.9)</f>
        <v>4.9000000000000004</v>
      </c>
      <c r="F2044" s="1">
        <f ca="1">IFERROR(__xludf.DUMMYFUNCTION("""COMPUTED_VALUE"""),531800)</f>
        <v>531800</v>
      </c>
      <c r="I2044" s="1"/>
    </row>
    <row r="2045" spans="1:9">
      <c r="A2045" s="3">
        <f ca="1">IFERROR(__xludf.DUMMYFUNCTION("""COMPUTED_VALUE"""),32174.6666666666)</f>
        <v>32174.666666666599</v>
      </c>
      <c r="B2045" s="1">
        <f ca="1">IFERROR(__xludf.DUMMYFUNCTION("""COMPUTED_VALUE"""),4.86)</f>
        <v>4.8600000000000003</v>
      </c>
      <c r="C2045" s="1">
        <f ca="1">IFERROR(__xludf.DUMMYFUNCTION("""COMPUTED_VALUE"""),4.95)</f>
        <v>4.95</v>
      </c>
      <c r="D2045" s="1">
        <f ca="1">IFERROR(__xludf.DUMMYFUNCTION("""COMPUTED_VALUE"""),4.85)</f>
        <v>4.8499999999999996</v>
      </c>
      <c r="E2045" s="1">
        <f ca="1">IFERROR(__xludf.DUMMYFUNCTION("""COMPUTED_VALUE"""),4.86)</f>
        <v>4.8600000000000003</v>
      </c>
      <c r="F2045" s="1">
        <f ca="1">IFERROR(__xludf.DUMMYFUNCTION("""COMPUTED_VALUE"""),331600)</f>
        <v>331600</v>
      </c>
      <c r="I2045" s="1"/>
    </row>
    <row r="2046" spans="1:9">
      <c r="A2046" s="3">
        <f ca="1">IFERROR(__xludf.DUMMYFUNCTION("""COMPUTED_VALUE"""),32175.6666666666)</f>
        <v>32175.666666666599</v>
      </c>
      <c r="B2046" s="1">
        <f ca="1">IFERROR(__xludf.DUMMYFUNCTION("""COMPUTED_VALUE"""),4.85)</f>
        <v>4.8499999999999996</v>
      </c>
      <c r="C2046" s="1">
        <f ca="1">IFERROR(__xludf.DUMMYFUNCTION("""COMPUTED_VALUE"""),4.91)</f>
        <v>4.91</v>
      </c>
      <c r="D2046" s="1">
        <f ca="1">IFERROR(__xludf.DUMMYFUNCTION("""COMPUTED_VALUE"""),4.82)</f>
        <v>4.82</v>
      </c>
      <c r="E2046" s="1">
        <f ca="1">IFERROR(__xludf.DUMMYFUNCTION("""COMPUTED_VALUE"""),4.85)</f>
        <v>4.8499999999999996</v>
      </c>
      <c r="F2046" s="1">
        <f ca="1">IFERROR(__xludf.DUMMYFUNCTION("""COMPUTED_VALUE"""),330100)</f>
        <v>330100</v>
      </c>
      <c r="I2046" s="1"/>
    </row>
    <row r="2047" spans="1:9">
      <c r="A2047" s="3">
        <f ca="1">IFERROR(__xludf.DUMMYFUNCTION("""COMPUTED_VALUE"""),32176.6666666666)</f>
        <v>32176.666666666599</v>
      </c>
      <c r="B2047" s="1">
        <f ca="1">IFERROR(__xludf.DUMMYFUNCTION("""COMPUTED_VALUE"""),4.77)</f>
        <v>4.7699999999999996</v>
      </c>
      <c r="C2047" s="1">
        <f ca="1">IFERROR(__xludf.DUMMYFUNCTION("""COMPUTED_VALUE"""),4.91)</f>
        <v>4.91</v>
      </c>
      <c r="D2047" s="1">
        <f ca="1">IFERROR(__xludf.DUMMYFUNCTION("""COMPUTED_VALUE"""),4.75)</f>
        <v>4.75</v>
      </c>
      <c r="E2047" s="1">
        <f ca="1">IFERROR(__xludf.DUMMYFUNCTION("""COMPUTED_VALUE"""),4.77)</f>
        <v>4.7699999999999996</v>
      </c>
      <c r="F2047" s="1">
        <f ca="1">IFERROR(__xludf.DUMMYFUNCTION("""COMPUTED_VALUE"""),545300)</f>
        <v>545300</v>
      </c>
      <c r="I2047" s="1"/>
    </row>
    <row r="2048" spans="1:9">
      <c r="A2048" s="3">
        <f ca="1">IFERROR(__xludf.DUMMYFUNCTION("""COMPUTED_VALUE"""),32177.6666666666)</f>
        <v>32177.666666666599</v>
      </c>
      <c r="B2048" s="1">
        <f ca="1">IFERROR(__xludf.DUMMYFUNCTION("""COMPUTED_VALUE"""),4.84)</f>
        <v>4.84</v>
      </c>
      <c r="C2048" s="1">
        <f ca="1">IFERROR(__xludf.DUMMYFUNCTION("""COMPUTED_VALUE"""),4.84)</f>
        <v>4.84</v>
      </c>
      <c r="D2048" s="1">
        <f ca="1">IFERROR(__xludf.DUMMYFUNCTION("""COMPUTED_VALUE"""),4.76)</f>
        <v>4.76</v>
      </c>
      <c r="E2048" s="1">
        <f ca="1">IFERROR(__xludf.DUMMYFUNCTION("""COMPUTED_VALUE"""),4.84)</f>
        <v>4.84</v>
      </c>
      <c r="F2048" s="1">
        <f ca="1">IFERROR(__xludf.DUMMYFUNCTION("""COMPUTED_VALUE"""),363400)</f>
        <v>363400</v>
      </c>
      <c r="I2048" s="1"/>
    </row>
    <row r="2049" spans="1:9">
      <c r="A2049" s="3">
        <f ca="1">IFERROR(__xludf.DUMMYFUNCTION("""COMPUTED_VALUE"""),32178.6666666666)</f>
        <v>32178.666666666599</v>
      </c>
      <c r="B2049" s="1">
        <f ca="1">IFERROR(__xludf.DUMMYFUNCTION("""COMPUTED_VALUE"""),4.82)</f>
        <v>4.82</v>
      </c>
      <c r="C2049" s="1">
        <f ca="1">IFERROR(__xludf.DUMMYFUNCTION("""COMPUTED_VALUE"""),4.91)</f>
        <v>4.91</v>
      </c>
      <c r="D2049" s="1">
        <f ca="1">IFERROR(__xludf.DUMMYFUNCTION("""COMPUTED_VALUE"""),4.82)</f>
        <v>4.82</v>
      </c>
      <c r="E2049" s="1">
        <f ca="1">IFERROR(__xludf.DUMMYFUNCTION("""COMPUTED_VALUE"""),4.82)</f>
        <v>4.82</v>
      </c>
      <c r="F2049" s="1">
        <f ca="1">IFERROR(__xludf.DUMMYFUNCTION("""COMPUTED_VALUE"""),279300)</f>
        <v>279300</v>
      </c>
      <c r="I2049" s="1"/>
    </row>
    <row r="2050" spans="1:9">
      <c r="A2050" s="3">
        <f ca="1">IFERROR(__xludf.DUMMYFUNCTION("""COMPUTED_VALUE"""),32181.6666666666)</f>
        <v>32181.666666666599</v>
      </c>
      <c r="B2050" s="1">
        <f ca="1">IFERROR(__xludf.DUMMYFUNCTION("""COMPUTED_VALUE"""),4.8)</f>
        <v>4.8</v>
      </c>
      <c r="C2050" s="1">
        <f ca="1">IFERROR(__xludf.DUMMYFUNCTION("""COMPUTED_VALUE"""),4.8)</f>
        <v>4.8</v>
      </c>
      <c r="D2050" s="1">
        <f ca="1">IFERROR(__xludf.DUMMYFUNCTION("""COMPUTED_VALUE"""),4.77)</f>
        <v>4.7699999999999996</v>
      </c>
      <c r="E2050" s="1">
        <f ca="1">IFERROR(__xludf.DUMMYFUNCTION("""COMPUTED_VALUE"""),4.8)</f>
        <v>4.8</v>
      </c>
      <c r="F2050" s="1">
        <f ca="1">IFERROR(__xludf.DUMMYFUNCTION("""COMPUTED_VALUE"""),267300)</f>
        <v>267300</v>
      </c>
      <c r="I2050" s="1"/>
    </row>
    <row r="2051" spans="1:9">
      <c r="A2051" s="3">
        <f ca="1">IFERROR(__xludf.DUMMYFUNCTION("""COMPUTED_VALUE"""),32182.6666666666)</f>
        <v>32182.666666666599</v>
      </c>
      <c r="B2051" s="1">
        <f ca="1">IFERROR(__xludf.DUMMYFUNCTION("""COMPUTED_VALUE"""),4.87)</f>
        <v>4.87</v>
      </c>
      <c r="C2051" s="1">
        <f ca="1">IFERROR(__xludf.DUMMYFUNCTION("""COMPUTED_VALUE"""),4.88)</f>
        <v>4.88</v>
      </c>
      <c r="D2051" s="1">
        <f ca="1">IFERROR(__xludf.DUMMYFUNCTION("""COMPUTED_VALUE"""),4.8)</f>
        <v>4.8</v>
      </c>
      <c r="E2051" s="1">
        <f ca="1">IFERROR(__xludf.DUMMYFUNCTION("""COMPUTED_VALUE"""),4.87)</f>
        <v>4.87</v>
      </c>
      <c r="F2051" s="1">
        <f ca="1">IFERROR(__xludf.DUMMYFUNCTION("""COMPUTED_VALUE"""),276200)</f>
        <v>276200</v>
      </c>
      <c r="I2051" s="1"/>
    </row>
    <row r="2052" spans="1:9">
      <c r="A2052" s="3">
        <f ca="1">IFERROR(__xludf.DUMMYFUNCTION("""COMPUTED_VALUE"""),32183.6666666666)</f>
        <v>32183.666666666599</v>
      </c>
      <c r="B2052" s="1">
        <f ca="1">IFERROR(__xludf.DUMMYFUNCTION("""COMPUTED_VALUE"""),4.99)</f>
        <v>4.99</v>
      </c>
      <c r="C2052" s="1">
        <f ca="1">IFERROR(__xludf.DUMMYFUNCTION("""COMPUTED_VALUE"""),4.99)</f>
        <v>4.99</v>
      </c>
      <c r="D2052" s="1">
        <f ca="1">IFERROR(__xludf.DUMMYFUNCTION("""COMPUTED_VALUE"""),4.84)</f>
        <v>4.84</v>
      </c>
      <c r="E2052" s="1">
        <f ca="1">IFERROR(__xludf.DUMMYFUNCTION("""COMPUTED_VALUE"""),4.99)</f>
        <v>4.99</v>
      </c>
      <c r="F2052" s="1">
        <f ca="1">IFERROR(__xludf.DUMMYFUNCTION("""COMPUTED_VALUE"""),773100)</f>
        <v>773100</v>
      </c>
      <c r="I2052" s="1"/>
    </row>
    <row r="2053" spans="1:9">
      <c r="A2053" s="3">
        <f ca="1">IFERROR(__xludf.DUMMYFUNCTION("""COMPUTED_VALUE"""),32184.6666666666)</f>
        <v>32184.666666666599</v>
      </c>
      <c r="B2053" s="1">
        <f ca="1">IFERROR(__xludf.DUMMYFUNCTION("""COMPUTED_VALUE"""),4.93)</f>
        <v>4.93</v>
      </c>
      <c r="C2053" s="1">
        <f ca="1">IFERROR(__xludf.DUMMYFUNCTION("""COMPUTED_VALUE"""),5.01)</f>
        <v>5.01</v>
      </c>
      <c r="D2053" s="1">
        <f ca="1">IFERROR(__xludf.DUMMYFUNCTION("""COMPUTED_VALUE"""),4.91)</f>
        <v>4.91</v>
      </c>
      <c r="E2053" s="1">
        <f ca="1">IFERROR(__xludf.DUMMYFUNCTION("""COMPUTED_VALUE"""),4.93)</f>
        <v>4.93</v>
      </c>
      <c r="F2053" s="1">
        <f ca="1">IFERROR(__xludf.DUMMYFUNCTION("""COMPUTED_VALUE"""),497100)</f>
        <v>497100</v>
      </c>
      <c r="I2053" s="1"/>
    </row>
    <row r="2054" spans="1:9">
      <c r="A2054" s="3">
        <f ca="1">IFERROR(__xludf.DUMMYFUNCTION("""COMPUTED_VALUE"""),32185.6666666666)</f>
        <v>32185.666666666599</v>
      </c>
      <c r="B2054" s="1">
        <f ca="1">IFERROR(__xludf.DUMMYFUNCTION("""COMPUTED_VALUE"""),4.98)</f>
        <v>4.9800000000000004</v>
      </c>
      <c r="C2054" s="1">
        <f ca="1">IFERROR(__xludf.DUMMYFUNCTION("""COMPUTED_VALUE"""),5.02)</f>
        <v>5.0199999999999996</v>
      </c>
      <c r="D2054" s="1">
        <f ca="1">IFERROR(__xludf.DUMMYFUNCTION("""COMPUTED_VALUE"""),4.94)</f>
        <v>4.9400000000000004</v>
      </c>
      <c r="E2054" s="1">
        <f ca="1">IFERROR(__xludf.DUMMYFUNCTION("""COMPUTED_VALUE"""),4.98)</f>
        <v>4.9800000000000004</v>
      </c>
      <c r="F2054" s="1">
        <f ca="1">IFERROR(__xludf.DUMMYFUNCTION("""COMPUTED_VALUE"""),604200)</f>
        <v>604200</v>
      </c>
      <c r="I2054" s="1"/>
    </row>
    <row r="2055" spans="1:9">
      <c r="A2055" s="3">
        <f ca="1">IFERROR(__xludf.DUMMYFUNCTION("""COMPUTED_VALUE"""),32189.6666666666)</f>
        <v>32189.666666666599</v>
      </c>
      <c r="B2055" s="1">
        <f ca="1">IFERROR(__xludf.DUMMYFUNCTION("""COMPUTED_VALUE"""),5.13)</f>
        <v>5.13</v>
      </c>
      <c r="C2055" s="1">
        <f ca="1">IFERROR(__xludf.DUMMYFUNCTION("""COMPUTED_VALUE"""),5.13)</f>
        <v>5.13</v>
      </c>
      <c r="D2055" s="1">
        <f ca="1">IFERROR(__xludf.DUMMYFUNCTION("""COMPUTED_VALUE"""),4.94)</f>
        <v>4.9400000000000004</v>
      </c>
      <c r="E2055" s="1">
        <f ca="1">IFERROR(__xludf.DUMMYFUNCTION("""COMPUTED_VALUE"""),5.13)</f>
        <v>5.13</v>
      </c>
      <c r="F2055" s="1">
        <f ca="1">IFERROR(__xludf.DUMMYFUNCTION("""COMPUTED_VALUE"""),774100)</f>
        <v>774100</v>
      </c>
      <c r="I2055" s="1"/>
    </row>
    <row r="2056" spans="1:9">
      <c r="A2056" s="3">
        <f ca="1">IFERROR(__xludf.DUMMYFUNCTION("""COMPUTED_VALUE"""),32190.6666666666)</f>
        <v>32190.666666666599</v>
      </c>
      <c r="B2056" s="1">
        <f ca="1">IFERROR(__xludf.DUMMYFUNCTION("""COMPUTED_VALUE"""),5.06)</f>
        <v>5.0599999999999996</v>
      </c>
      <c r="C2056" s="1">
        <f ca="1">IFERROR(__xludf.DUMMYFUNCTION("""COMPUTED_VALUE"""),5.16)</f>
        <v>5.16</v>
      </c>
      <c r="D2056" s="1">
        <f ca="1">IFERROR(__xludf.DUMMYFUNCTION("""COMPUTED_VALUE"""),5.05)</f>
        <v>5.05</v>
      </c>
      <c r="E2056" s="1">
        <f ca="1">IFERROR(__xludf.DUMMYFUNCTION("""COMPUTED_VALUE"""),5.06)</f>
        <v>5.0599999999999996</v>
      </c>
      <c r="F2056" s="1">
        <f ca="1">IFERROR(__xludf.DUMMYFUNCTION("""COMPUTED_VALUE"""),702300)</f>
        <v>702300</v>
      </c>
      <c r="I2056" s="1"/>
    </row>
    <row r="2057" spans="1:9">
      <c r="A2057" s="3">
        <f ca="1">IFERROR(__xludf.DUMMYFUNCTION("""COMPUTED_VALUE"""),32191.6666666666)</f>
        <v>32191.666666666599</v>
      </c>
      <c r="B2057" s="1">
        <f ca="1">IFERROR(__xludf.DUMMYFUNCTION("""COMPUTED_VALUE"""),4.97)</f>
        <v>4.97</v>
      </c>
      <c r="C2057" s="1">
        <f ca="1">IFERROR(__xludf.DUMMYFUNCTION("""COMPUTED_VALUE"""),5.05)</f>
        <v>5.05</v>
      </c>
      <c r="D2057" s="1">
        <f ca="1">IFERROR(__xludf.DUMMYFUNCTION("""COMPUTED_VALUE"""),4.95)</f>
        <v>4.95</v>
      </c>
      <c r="E2057" s="1">
        <f ca="1">IFERROR(__xludf.DUMMYFUNCTION("""COMPUTED_VALUE"""),4.97)</f>
        <v>4.97</v>
      </c>
      <c r="F2057" s="1">
        <f ca="1">IFERROR(__xludf.DUMMYFUNCTION("""COMPUTED_VALUE"""),356700)</f>
        <v>356700</v>
      </c>
      <c r="I2057" s="1"/>
    </row>
    <row r="2058" spans="1:9">
      <c r="A2058" s="3">
        <f ca="1">IFERROR(__xludf.DUMMYFUNCTION("""COMPUTED_VALUE"""),32192.6666666666)</f>
        <v>32192.666666666599</v>
      </c>
      <c r="B2058" s="1">
        <f ca="1">IFERROR(__xludf.DUMMYFUNCTION("""COMPUTED_VALUE"""),5.05)</f>
        <v>5.05</v>
      </c>
      <c r="C2058" s="1">
        <f ca="1">IFERROR(__xludf.DUMMYFUNCTION("""COMPUTED_VALUE"""),5.05)</f>
        <v>5.05</v>
      </c>
      <c r="D2058" s="1">
        <f ca="1">IFERROR(__xludf.DUMMYFUNCTION("""COMPUTED_VALUE"""),4.95)</f>
        <v>4.95</v>
      </c>
      <c r="E2058" s="1">
        <f ca="1">IFERROR(__xludf.DUMMYFUNCTION("""COMPUTED_VALUE"""),5.05)</f>
        <v>5.05</v>
      </c>
      <c r="F2058" s="1">
        <f ca="1">IFERROR(__xludf.DUMMYFUNCTION("""COMPUTED_VALUE"""),499500)</f>
        <v>499500</v>
      </c>
      <c r="I2058" s="1"/>
    </row>
    <row r="2059" spans="1:9">
      <c r="A2059" s="3">
        <f ca="1">IFERROR(__xludf.DUMMYFUNCTION("""COMPUTED_VALUE"""),32195.6666666666)</f>
        <v>32195.666666666599</v>
      </c>
      <c r="B2059" s="1">
        <f ca="1">IFERROR(__xludf.DUMMYFUNCTION("""COMPUTED_VALUE"""),5.16)</f>
        <v>5.16</v>
      </c>
      <c r="C2059" s="1">
        <f ca="1">IFERROR(__xludf.DUMMYFUNCTION("""COMPUTED_VALUE"""),5.16)</f>
        <v>5.16</v>
      </c>
      <c r="D2059" s="1">
        <f ca="1">IFERROR(__xludf.DUMMYFUNCTION("""COMPUTED_VALUE"""),5.02)</f>
        <v>5.0199999999999996</v>
      </c>
      <c r="E2059" s="1">
        <f ca="1">IFERROR(__xludf.DUMMYFUNCTION("""COMPUTED_VALUE"""),5.16)</f>
        <v>5.16</v>
      </c>
      <c r="F2059" s="1">
        <f ca="1">IFERROR(__xludf.DUMMYFUNCTION("""COMPUTED_VALUE"""),631100)</f>
        <v>631100</v>
      </c>
      <c r="I2059" s="1"/>
    </row>
    <row r="2060" spans="1:9">
      <c r="A2060" s="3">
        <f ca="1">IFERROR(__xludf.DUMMYFUNCTION("""COMPUTED_VALUE"""),32196.6666666666)</f>
        <v>32196.666666666599</v>
      </c>
      <c r="B2060" s="1">
        <f ca="1">IFERROR(__xludf.DUMMYFUNCTION("""COMPUTED_VALUE"""),5.13)</f>
        <v>5.13</v>
      </c>
      <c r="C2060" s="1">
        <f ca="1">IFERROR(__xludf.DUMMYFUNCTION("""COMPUTED_VALUE"""),5.2)</f>
        <v>5.2</v>
      </c>
      <c r="D2060" s="1">
        <f ca="1">IFERROR(__xludf.DUMMYFUNCTION("""COMPUTED_VALUE"""),5.11)</f>
        <v>5.1100000000000003</v>
      </c>
      <c r="E2060" s="1">
        <f ca="1">IFERROR(__xludf.DUMMYFUNCTION("""COMPUTED_VALUE"""),5.13)</f>
        <v>5.13</v>
      </c>
      <c r="F2060" s="1">
        <f ca="1">IFERROR(__xludf.DUMMYFUNCTION("""COMPUTED_VALUE"""),459300)</f>
        <v>459300</v>
      </c>
      <c r="I2060" s="1"/>
    </row>
    <row r="2061" spans="1:9">
      <c r="A2061" s="3">
        <f ca="1">IFERROR(__xludf.DUMMYFUNCTION("""COMPUTED_VALUE"""),32197.6666666666)</f>
        <v>32197.666666666599</v>
      </c>
      <c r="B2061" s="1">
        <f ca="1">IFERROR(__xludf.DUMMYFUNCTION("""COMPUTED_VALUE"""),5.13)</f>
        <v>5.13</v>
      </c>
      <c r="C2061" s="1">
        <f ca="1">IFERROR(__xludf.DUMMYFUNCTION("""COMPUTED_VALUE"""),5.16)</f>
        <v>5.16</v>
      </c>
      <c r="D2061" s="1">
        <f ca="1">IFERROR(__xludf.DUMMYFUNCTION("""COMPUTED_VALUE"""),5.09)</f>
        <v>5.09</v>
      </c>
      <c r="E2061" s="1">
        <f ca="1">IFERROR(__xludf.DUMMYFUNCTION("""COMPUTED_VALUE"""),5.13)</f>
        <v>5.13</v>
      </c>
      <c r="F2061" s="1">
        <f ca="1">IFERROR(__xludf.DUMMYFUNCTION("""COMPUTED_VALUE"""),383000)</f>
        <v>383000</v>
      </c>
      <c r="I2061" s="1"/>
    </row>
    <row r="2062" spans="1:9">
      <c r="A2062" s="3">
        <f ca="1">IFERROR(__xludf.DUMMYFUNCTION("""COMPUTED_VALUE"""),32198.6666666666)</f>
        <v>32198.666666666599</v>
      </c>
      <c r="B2062" s="1">
        <f ca="1">IFERROR(__xludf.DUMMYFUNCTION("""COMPUTED_VALUE"""),5.05)</f>
        <v>5.05</v>
      </c>
      <c r="C2062" s="1">
        <f ca="1">IFERROR(__xludf.DUMMYFUNCTION("""COMPUTED_VALUE"""),5.2)</f>
        <v>5.2</v>
      </c>
      <c r="D2062" s="1">
        <f ca="1">IFERROR(__xludf.DUMMYFUNCTION("""COMPUTED_VALUE"""),5.02)</f>
        <v>5.0199999999999996</v>
      </c>
      <c r="E2062" s="1">
        <f ca="1">IFERROR(__xludf.DUMMYFUNCTION("""COMPUTED_VALUE"""),5.05)</f>
        <v>5.05</v>
      </c>
      <c r="F2062" s="1">
        <f ca="1">IFERROR(__xludf.DUMMYFUNCTION("""COMPUTED_VALUE"""),556200)</f>
        <v>556200</v>
      </c>
      <c r="I2062" s="1"/>
    </row>
    <row r="2063" spans="1:9">
      <c r="A2063" s="3">
        <f ca="1">IFERROR(__xludf.DUMMYFUNCTION("""COMPUTED_VALUE"""),32199.6666666666)</f>
        <v>32199.666666666599</v>
      </c>
      <c r="B2063" s="1">
        <f ca="1">IFERROR(__xludf.DUMMYFUNCTION("""COMPUTED_VALUE"""),5.08)</f>
        <v>5.08</v>
      </c>
      <c r="C2063" s="1">
        <f ca="1">IFERROR(__xludf.DUMMYFUNCTION("""COMPUTED_VALUE"""),5.11)</f>
        <v>5.1100000000000003</v>
      </c>
      <c r="D2063" s="1">
        <f ca="1">IFERROR(__xludf.DUMMYFUNCTION("""COMPUTED_VALUE"""),5.03)</f>
        <v>5.03</v>
      </c>
      <c r="E2063" s="1">
        <f ca="1">IFERROR(__xludf.DUMMYFUNCTION("""COMPUTED_VALUE"""),5.08)</f>
        <v>5.08</v>
      </c>
      <c r="F2063" s="1">
        <f ca="1">IFERROR(__xludf.DUMMYFUNCTION("""COMPUTED_VALUE"""),242600)</f>
        <v>242600</v>
      </c>
      <c r="I2063" s="1"/>
    </row>
    <row r="2064" spans="1:9">
      <c r="A2064" s="3">
        <f ca="1">IFERROR(__xludf.DUMMYFUNCTION("""COMPUTED_VALUE"""),32202.6666666666)</f>
        <v>32202.666666666599</v>
      </c>
      <c r="B2064" s="1">
        <f ca="1">IFERROR(__xludf.DUMMYFUNCTION("""COMPUTED_VALUE"""),5.2)</f>
        <v>5.2</v>
      </c>
      <c r="C2064" s="1">
        <f ca="1">IFERROR(__xludf.DUMMYFUNCTION("""COMPUTED_VALUE"""),5.22)</f>
        <v>5.22</v>
      </c>
      <c r="D2064" s="1">
        <f ca="1">IFERROR(__xludf.DUMMYFUNCTION("""COMPUTED_VALUE"""),5.06)</f>
        <v>5.0599999999999996</v>
      </c>
      <c r="E2064" s="1">
        <f ca="1">IFERROR(__xludf.DUMMYFUNCTION("""COMPUTED_VALUE"""),5.2)</f>
        <v>5.2</v>
      </c>
      <c r="F2064" s="1">
        <f ca="1">IFERROR(__xludf.DUMMYFUNCTION("""COMPUTED_VALUE"""),372200)</f>
        <v>372200</v>
      </c>
      <c r="I2064" s="1"/>
    </row>
    <row r="2065" spans="1:9">
      <c r="A2065" s="3">
        <f ca="1">IFERROR(__xludf.DUMMYFUNCTION("""COMPUTED_VALUE"""),32203.6666666666)</f>
        <v>32203.666666666599</v>
      </c>
      <c r="B2065" s="1">
        <f ca="1">IFERROR(__xludf.DUMMYFUNCTION("""COMPUTED_VALUE"""),5.19)</f>
        <v>5.19</v>
      </c>
      <c r="C2065" s="1">
        <f ca="1">IFERROR(__xludf.DUMMYFUNCTION("""COMPUTED_VALUE"""),5.21)</f>
        <v>5.21</v>
      </c>
      <c r="D2065" s="1">
        <f ca="1">IFERROR(__xludf.DUMMYFUNCTION("""COMPUTED_VALUE"""),5.15)</f>
        <v>5.15</v>
      </c>
      <c r="E2065" s="1">
        <f ca="1">IFERROR(__xludf.DUMMYFUNCTION("""COMPUTED_VALUE"""),5.19)</f>
        <v>5.19</v>
      </c>
      <c r="F2065" s="1">
        <f ca="1">IFERROR(__xludf.DUMMYFUNCTION("""COMPUTED_VALUE"""),335300)</f>
        <v>335300</v>
      </c>
      <c r="I2065" s="1"/>
    </row>
    <row r="2066" spans="1:9">
      <c r="A2066" s="3">
        <f ca="1">IFERROR(__xludf.DUMMYFUNCTION("""COMPUTED_VALUE"""),32204.6666666666)</f>
        <v>32204.666666666599</v>
      </c>
      <c r="B2066" s="1">
        <f ca="1">IFERROR(__xludf.DUMMYFUNCTION("""COMPUTED_VALUE"""),5.2)</f>
        <v>5.2</v>
      </c>
      <c r="C2066" s="1">
        <f ca="1">IFERROR(__xludf.DUMMYFUNCTION("""COMPUTED_VALUE"""),5.27)</f>
        <v>5.27</v>
      </c>
      <c r="D2066" s="1">
        <f ca="1">IFERROR(__xludf.DUMMYFUNCTION("""COMPUTED_VALUE"""),5.2)</f>
        <v>5.2</v>
      </c>
      <c r="E2066" s="1">
        <f ca="1">IFERROR(__xludf.DUMMYFUNCTION("""COMPUTED_VALUE"""),5.2)</f>
        <v>5.2</v>
      </c>
      <c r="F2066" s="1">
        <f ca="1">IFERROR(__xludf.DUMMYFUNCTION("""COMPUTED_VALUE"""),314000)</f>
        <v>314000</v>
      </c>
      <c r="I2066" s="1"/>
    </row>
    <row r="2067" spans="1:9">
      <c r="A2067" s="3">
        <f ca="1">IFERROR(__xludf.DUMMYFUNCTION("""COMPUTED_VALUE"""),32205.6666666666)</f>
        <v>32205.666666666599</v>
      </c>
      <c r="B2067" s="1">
        <f ca="1">IFERROR(__xludf.DUMMYFUNCTION("""COMPUTED_VALUE"""),5.17)</f>
        <v>5.17</v>
      </c>
      <c r="C2067" s="1">
        <f ca="1">IFERROR(__xludf.DUMMYFUNCTION("""COMPUTED_VALUE"""),5.21)</f>
        <v>5.21</v>
      </c>
      <c r="D2067" s="1">
        <f ca="1">IFERROR(__xludf.DUMMYFUNCTION("""COMPUTED_VALUE"""),5.16)</f>
        <v>5.16</v>
      </c>
      <c r="E2067" s="1">
        <f ca="1">IFERROR(__xludf.DUMMYFUNCTION("""COMPUTED_VALUE"""),5.17)</f>
        <v>5.17</v>
      </c>
      <c r="F2067" s="1">
        <f ca="1">IFERROR(__xludf.DUMMYFUNCTION("""COMPUTED_VALUE"""),248200)</f>
        <v>248200</v>
      </c>
      <c r="I2067" s="1"/>
    </row>
    <row r="2068" spans="1:9">
      <c r="A2068" s="3">
        <f ca="1">IFERROR(__xludf.DUMMYFUNCTION("""COMPUTED_VALUE"""),32206.6666666666)</f>
        <v>32206.666666666599</v>
      </c>
      <c r="B2068" s="1">
        <f ca="1">IFERROR(__xludf.DUMMYFUNCTION("""COMPUTED_VALUE"""),5.13)</f>
        <v>5.13</v>
      </c>
      <c r="C2068" s="1">
        <f ca="1">IFERROR(__xludf.DUMMYFUNCTION("""COMPUTED_VALUE"""),5.2)</f>
        <v>5.2</v>
      </c>
      <c r="D2068" s="1">
        <f ca="1">IFERROR(__xludf.DUMMYFUNCTION("""COMPUTED_VALUE"""),5.07)</f>
        <v>5.07</v>
      </c>
      <c r="E2068" s="1">
        <f ca="1">IFERROR(__xludf.DUMMYFUNCTION("""COMPUTED_VALUE"""),5.13)</f>
        <v>5.13</v>
      </c>
      <c r="F2068" s="1">
        <f ca="1">IFERROR(__xludf.DUMMYFUNCTION("""COMPUTED_VALUE"""),303600)</f>
        <v>303600</v>
      </c>
      <c r="I2068" s="1"/>
    </row>
    <row r="2069" spans="1:9">
      <c r="A2069" s="3">
        <f ca="1">IFERROR(__xludf.DUMMYFUNCTION("""COMPUTED_VALUE"""),32209.6666666666)</f>
        <v>32209.666666666599</v>
      </c>
      <c r="B2069" s="1">
        <f ca="1">IFERROR(__xludf.DUMMYFUNCTION("""COMPUTED_VALUE"""),5.16)</f>
        <v>5.16</v>
      </c>
      <c r="C2069" s="1">
        <f ca="1">IFERROR(__xludf.DUMMYFUNCTION("""COMPUTED_VALUE"""),5.16)</f>
        <v>5.16</v>
      </c>
      <c r="D2069" s="1">
        <f ca="1">IFERROR(__xludf.DUMMYFUNCTION("""COMPUTED_VALUE"""),5.1)</f>
        <v>5.0999999999999996</v>
      </c>
      <c r="E2069" s="1">
        <f ca="1">IFERROR(__xludf.DUMMYFUNCTION("""COMPUTED_VALUE"""),5.16)</f>
        <v>5.16</v>
      </c>
      <c r="F2069" s="1">
        <f ca="1">IFERROR(__xludf.DUMMYFUNCTION("""COMPUTED_VALUE"""),165000)</f>
        <v>165000</v>
      </c>
      <c r="I2069" s="1"/>
    </row>
    <row r="2070" spans="1:9">
      <c r="A2070" s="3">
        <f ca="1">IFERROR(__xludf.DUMMYFUNCTION("""COMPUTED_VALUE"""),32210.6666666666)</f>
        <v>32210.666666666599</v>
      </c>
      <c r="B2070" s="1">
        <f ca="1">IFERROR(__xludf.DUMMYFUNCTION("""COMPUTED_VALUE"""),5.22)</f>
        <v>5.22</v>
      </c>
      <c r="C2070" s="1">
        <f ca="1">IFERROR(__xludf.DUMMYFUNCTION("""COMPUTED_VALUE"""),5.24)</f>
        <v>5.24</v>
      </c>
      <c r="D2070" s="1">
        <f ca="1">IFERROR(__xludf.DUMMYFUNCTION("""COMPUTED_VALUE"""),5.16)</f>
        <v>5.16</v>
      </c>
      <c r="E2070" s="1">
        <f ca="1">IFERROR(__xludf.DUMMYFUNCTION("""COMPUTED_VALUE"""),5.22)</f>
        <v>5.22</v>
      </c>
      <c r="F2070" s="1">
        <f ca="1">IFERROR(__xludf.DUMMYFUNCTION("""COMPUTED_VALUE"""),307800)</f>
        <v>307800</v>
      </c>
      <c r="I2070" s="1"/>
    </row>
    <row r="2071" spans="1:9">
      <c r="A2071" s="3">
        <f ca="1">IFERROR(__xludf.DUMMYFUNCTION("""COMPUTED_VALUE"""),32211.6666666666)</f>
        <v>32211.666666666599</v>
      </c>
      <c r="B2071" s="1">
        <f ca="1">IFERROR(__xludf.DUMMYFUNCTION("""COMPUTED_VALUE"""),5.33)</f>
        <v>5.33</v>
      </c>
      <c r="C2071" s="1">
        <f ca="1">IFERROR(__xludf.DUMMYFUNCTION("""COMPUTED_VALUE"""),5.41)</f>
        <v>5.41</v>
      </c>
      <c r="D2071" s="1">
        <f ca="1">IFERROR(__xludf.DUMMYFUNCTION("""COMPUTED_VALUE"""),5.28)</f>
        <v>5.28</v>
      </c>
      <c r="E2071" s="1">
        <f ca="1">IFERROR(__xludf.DUMMYFUNCTION("""COMPUTED_VALUE"""),5.33)</f>
        <v>5.33</v>
      </c>
      <c r="F2071" s="1">
        <f ca="1">IFERROR(__xludf.DUMMYFUNCTION("""COMPUTED_VALUE"""),1053300)</f>
        <v>1053300</v>
      </c>
      <c r="I2071" s="1"/>
    </row>
    <row r="2072" spans="1:9">
      <c r="A2072" s="3">
        <f ca="1">IFERROR(__xludf.DUMMYFUNCTION("""COMPUTED_VALUE"""),32212.6666666666)</f>
        <v>32212.666666666599</v>
      </c>
      <c r="B2072" s="1">
        <f ca="1">IFERROR(__xludf.DUMMYFUNCTION("""COMPUTED_VALUE"""),5.26)</f>
        <v>5.26</v>
      </c>
      <c r="C2072" s="1">
        <f ca="1">IFERROR(__xludf.DUMMYFUNCTION("""COMPUTED_VALUE"""),5.37)</f>
        <v>5.37</v>
      </c>
      <c r="D2072" s="1">
        <f ca="1">IFERROR(__xludf.DUMMYFUNCTION("""COMPUTED_VALUE"""),5.23)</f>
        <v>5.23</v>
      </c>
      <c r="E2072" s="1">
        <f ca="1">IFERROR(__xludf.DUMMYFUNCTION("""COMPUTED_VALUE"""),5.26)</f>
        <v>5.26</v>
      </c>
      <c r="F2072" s="1">
        <f ca="1">IFERROR(__xludf.DUMMYFUNCTION("""COMPUTED_VALUE"""),580500)</f>
        <v>580500</v>
      </c>
      <c r="I2072" s="1"/>
    </row>
    <row r="2073" spans="1:9">
      <c r="A2073" s="3">
        <f ca="1">IFERROR(__xludf.DUMMYFUNCTION("""COMPUTED_VALUE"""),32213.6666666666)</f>
        <v>32213.666666666599</v>
      </c>
      <c r="B2073" s="1">
        <f ca="1">IFERROR(__xludf.DUMMYFUNCTION("""COMPUTED_VALUE"""),5.24)</f>
        <v>5.24</v>
      </c>
      <c r="C2073" s="1">
        <f ca="1">IFERROR(__xludf.DUMMYFUNCTION("""COMPUTED_VALUE"""),5.26)</f>
        <v>5.26</v>
      </c>
      <c r="D2073" s="1">
        <f ca="1">IFERROR(__xludf.DUMMYFUNCTION("""COMPUTED_VALUE"""),5.06)</f>
        <v>5.0599999999999996</v>
      </c>
      <c r="E2073" s="1">
        <f ca="1">IFERROR(__xludf.DUMMYFUNCTION("""COMPUTED_VALUE"""),5.24)</f>
        <v>5.24</v>
      </c>
      <c r="F2073" s="1">
        <f ca="1">IFERROR(__xludf.DUMMYFUNCTION("""COMPUTED_VALUE"""),897500)</f>
        <v>897500</v>
      </c>
      <c r="I2073" s="1"/>
    </row>
    <row r="2074" spans="1:9">
      <c r="A2074" s="3">
        <f ca="1">IFERROR(__xludf.DUMMYFUNCTION("""COMPUTED_VALUE"""),32216.6666666666)</f>
        <v>32216.666666666599</v>
      </c>
      <c r="B2074" s="1">
        <f ca="1">IFERROR(__xludf.DUMMYFUNCTION("""COMPUTED_VALUE"""),5.28)</f>
        <v>5.28</v>
      </c>
      <c r="C2074" s="1">
        <f ca="1">IFERROR(__xludf.DUMMYFUNCTION("""COMPUTED_VALUE"""),5.28)</f>
        <v>5.28</v>
      </c>
      <c r="D2074" s="1">
        <f ca="1">IFERROR(__xludf.DUMMYFUNCTION("""COMPUTED_VALUE"""),5.2)</f>
        <v>5.2</v>
      </c>
      <c r="E2074" s="1">
        <f ca="1">IFERROR(__xludf.DUMMYFUNCTION("""COMPUTED_VALUE"""),5.28)</f>
        <v>5.28</v>
      </c>
      <c r="F2074" s="1">
        <f ca="1">IFERROR(__xludf.DUMMYFUNCTION("""COMPUTED_VALUE"""),237200)</f>
        <v>237200</v>
      </c>
      <c r="I2074" s="1"/>
    </row>
    <row r="2075" spans="1:9">
      <c r="A2075" s="3">
        <f ca="1">IFERROR(__xludf.DUMMYFUNCTION("""COMPUTED_VALUE"""),32217.6666666666)</f>
        <v>32217.666666666599</v>
      </c>
      <c r="B2075" s="1">
        <f ca="1">IFERROR(__xludf.DUMMYFUNCTION("""COMPUTED_VALUE"""),5.26)</f>
        <v>5.26</v>
      </c>
      <c r="C2075" s="1">
        <f ca="1">IFERROR(__xludf.DUMMYFUNCTION("""COMPUTED_VALUE"""),5.3)</f>
        <v>5.3</v>
      </c>
      <c r="D2075" s="1">
        <f ca="1">IFERROR(__xludf.DUMMYFUNCTION("""COMPUTED_VALUE"""),5.24)</f>
        <v>5.24</v>
      </c>
      <c r="E2075" s="1">
        <f ca="1">IFERROR(__xludf.DUMMYFUNCTION("""COMPUTED_VALUE"""),5.26)</f>
        <v>5.26</v>
      </c>
      <c r="F2075" s="1">
        <f ca="1">IFERROR(__xludf.DUMMYFUNCTION("""COMPUTED_VALUE"""),279700)</f>
        <v>279700</v>
      </c>
      <c r="I2075" s="1"/>
    </row>
    <row r="2076" spans="1:9">
      <c r="A2076" s="3">
        <f ca="1">IFERROR(__xludf.DUMMYFUNCTION("""COMPUTED_VALUE"""),32218.6666666666)</f>
        <v>32218.666666666599</v>
      </c>
      <c r="B2076" s="1">
        <f ca="1">IFERROR(__xludf.DUMMYFUNCTION("""COMPUTED_VALUE"""),5.33)</f>
        <v>5.33</v>
      </c>
      <c r="C2076" s="1">
        <f ca="1">IFERROR(__xludf.DUMMYFUNCTION("""COMPUTED_VALUE"""),5.33)</f>
        <v>5.33</v>
      </c>
      <c r="D2076" s="1">
        <f ca="1">IFERROR(__xludf.DUMMYFUNCTION("""COMPUTED_VALUE"""),5.18)</f>
        <v>5.18</v>
      </c>
      <c r="E2076" s="1">
        <f ca="1">IFERROR(__xludf.DUMMYFUNCTION("""COMPUTED_VALUE"""),5.33)</f>
        <v>5.33</v>
      </c>
      <c r="F2076" s="1">
        <f ca="1">IFERROR(__xludf.DUMMYFUNCTION("""COMPUTED_VALUE"""),300900)</f>
        <v>300900</v>
      </c>
      <c r="I2076" s="1"/>
    </row>
    <row r="2077" spans="1:9">
      <c r="A2077" s="3">
        <f ca="1">IFERROR(__xludf.DUMMYFUNCTION("""COMPUTED_VALUE"""),32219.6666666666)</f>
        <v>32219.666666666599</v>
      </c>
      <c r="B2077" s="1">
        <f ca="1">IFERROR(__xludf.DUMMYFUNCTION("""COMPUTED_VALUE"""),5.4)</f>
        <v>5.4</v>
      </c>
      <c r="C2077" s="1">
        <f ca="1">IFERROR(__xludf.DUMMYFUNCTION("""COMPUTED_VALUE"""),5.41)</f>
        <v>5.41</v>
      </c>
      <c r="D2077" s="1">
        <f ca="1">IFERROR(__xludf.DUMMYFUNCTION("""COMPUTED_VALUE"""),5.3)</f>
        <v>5.3</v>
      </c>
      <c r="E2077" s="1">
        <f ca="1">IFERROR(__xludf.DUMMYFUNCTION("""COMPUTED_VALUE"""),5.4)</f>
        <v>5.4</v>
      </c>
      <c r="F2077" s="1">
        <f ca="1">IFERROR(__xludf.DUMMYFUNCTION("""COMPUTED_VALUE"""),480700)</f>
        <v>480700</v>
      </c>
      <c r="I2077" s="1"/>
    </row>
    <row r="2078" spans="1:9">
      <c r="A2078" s="3">
        <f ca="1">IFERROR(__xludf.DUMMYFUNCTION("""COMPUTED_VALUE"""),32220.6666666666)</f>
        <v>32220.666666666599</v>
      </c>
      <c r="B2078" s="1">
        <f ca="1">IFERROR(__xludf.DUMMYFUNCTION("""COMPUTED_VALUE"""),5.34)</f>
        <v>5.34</v>
      </c>
      <c r="C2078" s="1">
        <f ca="1">IFERROR(__xludf.DUMMYFUNCTION("""COMPUTED_VALUE"""),5.41)</f>
        <v>5.41</v>
      </c>
      <c r="D2078" s="1">
        <f ca="1">IFERROR(__xludf.DUMMYFUNCTION("""COMPUTED_VALUE"""),5.34)</f>
        <v>5.34</v>
      </c>
      <c r="E2078" s="1">
        <f ca="1">IFERROR(__xludf.DUMMYFUNCTION("""COMPUTED_VALUE"""),5.34)</f>
        <v>5.34</v>
      </c>
      <c r="F2078" s="1">
        <f ca="1">IFERROR(__xludf.DUMMYFUNCTION("""COMPUTED_VALUE"""),814900)</f>
        <v>814900</v>
      </c>
      <c r="I2078" s="1"/>
    </row>
    <row r="2079" spans="1:9">
      <c r="A2079" s="3">
        <f ca="1">IFERROR(__xludf.DUMMYFUNCTION("""COMPUTED_VALUE"""),32223.6666666666)</f>
        <v>32223.666666666599</v>
      </c>
      <c r="B2079" s="1">
        <f ca="1">IFERROR(__xludf.DUMMYFUNCTION("""COMPUTED_VALUE"""),5.3)</f>
        <v>5.3</v>
      </c>
      <c r="C2079" s="1">
        <f ca="1">IFERROR(__xludf.DUMMYFUNCTION("""COMPUTED_VALUE"""),5.34)</f>
        <v>5.34</v>
      </c>
      <c r="D2079" s="1">
        <f ca="1">IFERROR(__xludf.DUMMYFUNCTION("""COMPUTED_VALUE"""),5.26)</f>
        <v>5.26</v>
      </c>
      <c r="E2079" s="1">
        <f ca="1">IFERROR(__xludf.DUMMYFUNCTION("""COMPUTED_VALUE"""),5.3)</f>
        <v>5.3</v>
      </c>
      <c r="F2079" s="1">
        <f ca="1">IFERROR(__xludf.DUMMYFUNCTION("""COMPUTED_VALUE"""),250500)</f>
        <v>250500</v>
      </c>
      <c r="I2079" s="1"/>
    </row>
    <row r="2080" spans="1:9">
      <c r="A2080" s="3">
        <f ca="1">IFERROR(__xludf.DUMMYFUNCTION("""COMPUTED_VALUE"""),32224.6666666666)</f>
        <v>32224.666666666599</v>
      </c>
      <c r="B2080" s="1">
        <f ca="1">IFERROR(__xludf.DUMMYFUNCTION("""COMPUTED_VALUE"""),5.31)</f>
        <v>5.31</v>
      </c>
      <c r="C2080" s="1">
        <f ca="1">IFERROR(__xludf.DUMMYFUNCTION("""COMPUTED_VALUE"""),5.33)</f>
        <v>5.33</v>
      </c>
      <c r="D2080" s="1">
        <f ca="1">IFERROR(__xludf.DUMMYFUNCTION("""COMPUTED_VALUE"""),5.27)</f>
        <v>5.27</v>
      </c>
      <c r="E2080" s="1">
        <f ca="1">IFERROR(__xludf.DUMMYFUNCTION("""COMPUTED_VALUE"""),5.31)</f>
        <v>5.31</v>
      </c>
      <c r="F2080" s="1">
        <f ca="1">IFERROR(__xludf.DUMMYFUNCTION("""COMPUTED_VALUE"""),281800)</f>
        <v>281800</v>
      </c>
      <c r="I2080" s="1"/>
    </row>
    <row r="2081" spans="1:9">
      <c r="A2081" s="3">
        <f ca="1">IFERROR(__xludf.DUMMYFUNCTION("""COMPUTED_VALUE"""),32225.6666666666)</f>
        <v>32225.666666666599</v>
      </c>
      <c r="B2081" s="1">
        <f ca="1">IFERROR(__xludf.DUMMYFUNCTION("""COMPUTED_VALUE"""),5.29)</f>
        <v>5.29</v>
      </c>
      <c r="C2081" s="1">
        <f ca="1">IFERROR(__xludf.DUMMYFUNCTION("""COMPUTED_VALUE"""),5.33)</f>
        <v>5.33</v>
      </c>
      <c r="D2081" s="1">
        <f ca="1">IFERROR(__xludf.DUMMYFUNCTION("""COMPUTED_VALUE"""),5.26)</f>
        <v>5.26</v>
      </c>
      <c r="E2081" s="1">
        <f ca="1">IFERROR(__xludf.DUMMYFUNCTION("""COMPUTED_VALUE"""),5.29)</f>
        <v>5.29</v>
      </c>
      <c r="F2081" s="1">
        <f ca="1">IFERROR(__xludf.DUMMYFUNCTION("""COMPUTED_VALUE"""),301900)</f>
        <v>301900</v>
      </c>
      <c r="I2081" s="1"/>
    </row>
    <row r="2082" spans="1:9">
      <c r="A2082" s="3">
        <f ca="1">IFERROR(__xludf.DUMMYFUNCTION("""COMPUTED_VALUE"""),32226.6666666666)</f>
        <v>32226.666666666599</v>
      </c>
      <c r="B2082" s="1">
        <f ca="1">IFERROR(__xludf.DUMMYFUNCTION("""COMPUTED_VALUE"""),5.17)</f>
        <v>5.17</v>
      </c>
      <c r="C2082" s="1">
        <f ca="1">IFERROR(__xludf.DUMMYFUNCTION("""COMPUTED_VALUE"""),5.25)</f>
        <v>5.25</v>
      </c>
      <c r="D2082" s="1">
        <f ca="1">IFERROR(__xludf.DUMMYFUNCTION("""COMPUTED_VALUE"""),5.13)</f>
        <v>5.13</v>
      </c>
      <c r="E2082" s="1">
        <f ca="1">IFERROR(__xludf.DUMMYFUNCTION("""COMPUTED_VALUE"""),5.17)</f>
        <v>5.17</v>
      </c>
      <c r="F2082" s="1">
        <f ca="1">IFERROR(__xludf.DUMMYFUNCTION("""COMPUTED_VALUE"""),388600)</f>
        <v>388600</v>
      </c>
      <c r="I2082" s="1"/>
    </row>
    <row r="2083" spans="1:9">
      <c r="A2083" s="3">
        <f ca="1">IFERROR(__xludf.DUMMYFUNCTION("""COMPUTED_VALUE"""),32227.6666666666)</f>
        <v>32227.666666666599</v>
      </c>
      <c r="B2083" s="1">
        <f ca="1">IFERROR(__xludf.DUMMYFUNCTION("""COMPUTED_VALUE"""),5.05)</f>
        <v>5.05</v>
      </c>
      <c r="C2083" s="1">
        <f ca="1">IFERROR(__xludf.DUMMYFUNCTION("""COMPUTED_VALUE"""),5.16)</f>
        <v>5.16</v>
      </c>
      <c r="D2083" s="1">
        <f ca="1">IFERROR(__xludf.DUMMYFUNCTION("""COMPUTED_VALUE"""),5.05)</f>
        <v>5.05</v>
      </c>
      <c r="E2083" s="1">
        <f ca="1">IFERROR(__xludf.DUMMYFUNCTION("""COMPUTED_VALUE"""),5.05)</f>
        <v>5.05</v>
      </c>
      <c r="F2083" s="1">
        <f ca="1">IFERROR(__xludf.DUMMYFUNCTION("""COMPUTED_VALUE"""),363400)</f>
        <v>363400</v>
      </c>
      <c r="I2083" s="1"/>
    </row>
    <row r="2084" spans="1:9">
      <c r="A2084" s="3">
        <f ca="1">IFERROR(__xludf.DUMMYFUNCTION("""COMPUTED_VALUE"""),32230.6666666666)</f>
        <v>32230.666666666599</v>
      </c>
      <c r="B2084" s="1">
        <f ca="1">IFERROR(__xludf.DUMMYFUNCTION("""COMPUTED_VALUE"""),5)</f>
        <v>5</v>
      </c>
      <c r="C2084" s="1">
        <f ca="1">IFERROR(__xludf.DUMMYFUNCTION("""COMPUTED_VALUE"""),5.04)</f>
        <v>5.04</v>
      </c>
      <c r="D2084" s="1">
        <f ca="1">IFERROR(__xludf.DUMMYFUNCTION("""COMPUTED_VALUE"""),4.92)</f>
        <v>4.92</v>
      </c>
      <c r="E2084" s="1">
        <f ca="1">IFERROR(__xludf.DUMMYFUNCTION("""COMPUTED_VALUE"""),5)</f>
        <v>5</v>
      </c>
      <c r="F2084" s="1">
        <f ca="1">IFERROR(__xludf.DUMMYFUNCTION("""COMPUTED_VALUE"""),490700)</f>
        <v>490700</v>
      </c>
      <c r="I2084" s="1"/>
    </row>
    <row r="2085" spans="1:9">
      <c r="A2085" s="3">
        <f ca="1">IFERROR(__xludf.DUMMYFUNCTION("""COMPUTED_VALUE"""),32231.6666666666)</f>
        <v>32231.666666666599</v>
      </c>
      <c r="B2085" s="1">
        <f ca="1">IFERROR(__xludf.DUMMYFUNCTION("""COMPUTED_VALUE"""),5.05)</f>
        <v>5.05</v>
      </c>
      <c r="C2085" s="1">
        <f ca="1">IFERROR(__xludf.DUMMYFUNCTION("""COMPUTED_VALUE"""),5.07)</f>
        <v>5.07</v>
      </c>
      <c r="D2085" s="1">
        <f ca="1">IFERROR(__xludf.DUMMYFUNCTION("""COMPUTED_VALUE"""),5.01)</f>
        <v>5.01</v>
      </c>
      <c r="E2085" s="1">
        <f ca="1">IFERROR(__xludf.DUMMYFUNCTION("""COMPUTED_VALUE"""),5.05)</f>
        <v>5.05</v>
      </c>
      <c r="F2085" s="1">
        <f ca="1">IFERROR(__xludf.DUMMYFUNCTION("""COMPUTED_VALUE"""),361300)</f>
        <v>361300</v>
      </c>
      <c r="I2085" s="1"/>
    </row>
    <row r="2086" spans="1:9">
      <c r="A2086" s="3">
        <f ca="1">IFERROR(__xludf.DUMMYFUNCTION("""COMPUTED_VALUE"""),32232.6666666666)</f>
        <v>32232.666666666599</v>
      </c>
      <c r="B2086" s="1">
        <f ca="1">IFERROR(__xludf.DUMMYFUNCTION("""COMPUTED_VALUE"""),4.92)</f>
        <v>4.92</v>
      </c>
      <c r="C2086" s="1">
        <f ca="1">IFERROR(__xludf.DUMMYFUNCTION("""COMPUTED_VALUE"""),5.11)</f>
        <v>5.1100000000000003</v>
      </c>
      <c r="D2086" s="1">
        <f ca="1">IFERROR(__xludf.DUMMYFUNCTION("""COMPUTED_VALUE"""),4.91)</f>
        <v>4.91</v>
      </c>
      <c r="E2086" s="1">
        <f ca="1">IFERROR(__xludf.DUMMYFUNCTION("""COMPUTED_VALUE"""),4.92)</f>
        <v>4.92</v>
      </c>
      <c r="F2086" s="1">
        <f ca="1">IFERROR(__xludf.DUMMYFUNCTION("""COMPUTED_VALUE"""),472700)</f>
        <v>472700</v>
      </c>
      <c r="I2086" s="1"/>
    </row>
    <row r="2087" spans="1:9">
      <c r="A2087" s="3">
        <f ca="1">IFERROR(__xludf.DUMMYFUNCTION("""COMPUTED_VALUE"""),32233.6666666666)</f>
        <v>32233.666666666599</v>
      </c>
      <c r="B2087" s="1">
        <f ca="1">IFERROR(__xludf.DUMMYFUNCTION("""COMPUTED_VALUE"""),4.96)</f>
        <v>4.96</v>
      </c>
      <c r="C2087" s="1">
        <f ca="1">IFERROR(__xludf.DUMMYFUNCTION("""COMPUTED_VALUE"""),4.98)</f>
        <v>4.9800000000000004</v>
      </c>
      <c r="D2087" s="1">
        <f ca="1">IFERROR(__xludf.DUMMYFUNCTION("""COMPUTED_VALUE"""),4.84)</f>
        <v>4.84</v>
      </c>
      <c r="E2087" s="1">
        <f ca="1">IFERROR(__xludf.DUMMYFUNCTION("""COMPUTED_VALUE"""),4.96)</f>
        <v>4.96</v>
      </c>
      <c r="F2087" s="1">
        <f ca="1">IFERROR(__xludf.DUMMYFUNCTION("""COMPUTED_VALUE"""),540300)</f>
        <v>540300</v>
      </c>
      <c r="I2087" s="1"/>
    </row>
    <row r="2088" spans="1:9">
      <c r="A2088" s="3">
        <f ca="1">IFERROR(__xludf.DUMMYFUNCTION("""COMPUTED_VALUE"""),32237.6666666666)</f>
        <v>32237.666666666599</v>
      </c>
      <c r="B2088" s="1">
        <f ca="1">IFERROR(__xludf.DUMMYFUNCTION("""COMPUTED_VALUE"""),4.85)</f>
        <v>4.8499999999999996</v>
      </c>
      <c r="C2088" s="1">
        <f ca="1">IFERROR(__xludf.DUMMYFUNCTION("""COMPUTED_VALUE"""),4.95)</f>
        <v>4.95</v>
      </c>
      <c r="D2088" s="1">
        <f ca="1">IFERROR(__xludf.DUMMYFUNCTION("""COMPUTED_VALUE"""),4.83)</f>
        <v>4.83</v>
      </c>
      <c r="E2088" s="1">
        <f ca="1">IFERROR(__xludf.DUMMYFUNCTION("""COMPUTED_VALUE"""),4.85)</f>
        <v>4.8499999999999996</v>
      </c>
      <c r="F2088" s="1">
        <f ca="1">IFERROR(__xludf.DUMMYFUNCTION("""COMPUTED_VALUE"""),556600)</f>
        <v>556600</v>
      </c>
      <c r="I2088" s="1"/>
    </row>
    <row r="2089" spans="1:9">
      <c r="A2089" s="3">
        <f ca="1">IFERROR(__xludf.DUMMYFUNCTION("""COMPUTED_VALUE"""),32238.6666666666)</f>
        <v>32238.666666666599</v>
      </c>
      <c r="B2089" s="1">
        <f ca="1">IFERROR(__xludf.DUMMYFUNCTION("""COMPUTED_VALUE"""),4.91)</f>
        <v>4.91</v>
      </c>
      <c r="C2089" s="1">
        <f ca="1">IFERROR(__xludf.DUMMYFUNCTION("""COMPUTED_VALUE"""),4.96)</f>
        <v>4.96</v>
      </c>
      <c r="D2089" s="1">
        <f ca="1">IFERROR(__xludf.DUMMYFUNCTION("""COMPUTED_VALUE"""),4.88)</f>
        <v>4.88</v>
      </c>
      <c r="E2089" s="1">
        <f ca="1">IFERROR(__xludf.DUMMYFUNCTION("""COMPUTED_VALUE"""),4.91)</f>
        <v>4.91</v>
      </c>
      <c r="F2089" s="1">
        <f ca="1">IFERROR(__xludf.DUMMYFUNCTION("""COMPUTED_VALUE"""),335500)</f>
        <v>335500</v>
      </c>
      <c r="I2089" s="1"/>
    </row>
    <row r="2090" spans="1:9">
      <c r="A2090" s="3">
        <f ca="1">IFERROR(__xludf.DUMMYFUNCTION("""COMPUTED_VALUE"""),32239.6666666666)</f>
        <v>32239.666666666599</v>
      </c>
      <c r="B2090" s="1">
        <f ca="1">IFERROR(__xludf.DUMMYFUNCTION("""COMPUTED_VALUE"""),5.11)</f>
        <v>5.1100000000000003</v>
      </c>
      <c r="C2090" s="1">
        <f ca="1">IFERROR(__xludf.DUMMYFUNCTION("""COMPUTED_VALUE"""),5.13)</f>
        <v>5.13</v>
      </c>
      <c r="D2090" s="1">
        <f ca="1">IFERROR(__xludf.DUMMYFUNCTION("""COMPUTED_VALUE"""),4.95)</f>
        <v>4.95</v>
      </c>
      <c r="E2090" s="1">
        <f ca="1">IFERROR(__xludf.DUMMYFUNCTION("""COMPUTED_VALUE"""),5.11)</f>
        <v>5.1100000000000003</v>
      </c>
      <c r="F2090" s="1">
        <f ca="1">IFERROR(__xludf.DUMMYFUNCTION("""COMPUTED_VALUE"""),531400)</f>
        <v>531400</v>
      </c>
      <c r="I2090" s="1"/>
    </row>
    <row r="2091" spans="1:9">
      <c r="A2091" s="3">
        <f ca="1">IFERROR(__xludf.DUMMYFUNCTION("""COMPUTED_VALUE"""),32240.6666666666)</f>
        <v>32240.666666666599</v>
      </c>
      <c r="B2091" s="1">
        <f ca="1">IFERROR(__xludf.DUMMYFUNCTION("""COMPUTED_VALUE"""),5.07)</f>
        <v>5.07</v>
      </c>
      <c r="C2091" s="1">
        <f ca="1">IFERROR(__xludf.DUMMYFUNCTION("""COMPUTED_VALUE"""),5.13)</f>
        <v>5.13</v>
      </c>
      <c r="D2091" s="1">
        <f ca="1">IFERROR(__xludf.DUMMYFUNCTION("""COMPUTED_VALUE"""),5.05)</f>
        <v>5.05</v>
      </c>
      <c r="E2091" s="1">
        <f ca="1">IFERROR(__xludf.DUMMYFUNCTION("""COMPUTED_VALUE"""),5.07)</f>
        <v>5.07</v>
      </c>
      <c r="F2091" s="1">
        <f ca="1">IFERROR(__xludf.DUMMYFUNCTION("""COMPUTED_VALUE"""),358800)</f>
        <v>358800</v>
      </c>
      <c r="I2091" s="1"/>
    </row>
    <row r="2092" spans="1:9">
      <c r="A2092" s="3">
        <f ca="1">IFERROR(__xludf.DUMMYFUNCTION("""COMPUTED_VALUE"""),32241.6666666666)</f>
        <v>32241.666666666599</v>
      </c>
      <c r="B2092" s="1">
        <f ca="1">IFERROR(__xludf.DUMMYFUNCTION("""COMPUTED_VALUE"""),5.16)</f>
        <v>5.16</v>
      </c>
      <c r="C2092" s="1">
        <f ca="1">IFERROR(__xludf.DUMMYFUNCTION("""COMPUTED_VALUE"""),5.22)</f>
        <v>5.22</v>
      </c>
      <c r="D2092" s="1">
        <f ca="1">IFERROR(__xludf.DUMMYFUNCTION("""COMPUTED_VALUE"""),5.05)</f>
        <v>5.05</v>
      </c>
      <c r="E2092" s="1">
        <f ca="1">IFERROR(__xludf.DUMMYFUNCTION("""COMPUTED_VALUE"""),5.16)</f>
        <v>5.16</v>
      </c>
      <c r="F2092" s="1">
        <f ca="1">IFERROR(__xludf.DUMMYFUNCTION("""COMPUTED_VALUE"""),551500)</f>
        <v>551500</v>
      </c>
      <c r="I2092" s="1"/>
    </row>
    <row r="2093" spans="1:9">
      <c r="A2093" s="3">
        <f ca="1">IFERROR(__xludf.DUMMYFUNCTION("""COMPUTED_VALUE"""),32244.6666666666)</f>
        <v>32244.666666666599</v>
      </c>
      <c r="B2093" s="1">
        <f ca="1">IFERROR(__xludf.DUMMYFUNCTION("""COMPUTED_VALUE"""),5.16)</f>
        <v>5.16</v>
      </c>
      <c r="C2093" s="1">
        <f ca="1">IFERROR(__xludf.DUMMYFUNCTION("""COMPUTED_VALUE"""),5.18)</f>
        <v>5.18</v>
      </c>
      <c r="D2093" s="1">
        <f ca="1">IFERROR(__xludf.DUMMYFUNCTION("""COMPUTED_VALUE"""),5.11)</f>
        <v>5.1100000000000003</v>
      </c>
      <c r="E2093" s="1">
        <f ca="1">IFERROR(__xludf.DUMMYFUNCTION("""COMPUTED_VALUE"""),5.16)</f>
        <v>5.16</v>
      </c>
      <c r="F2093" s="1">
        <f ca="1">IFERROR(__xludf.DUMMYFUNCTION("""COMPUTED_VALUE"""),297800)</f>
        <v>297800</v>
      </c>
      <c r="I2093" s="1"/>
    </row>
    <row r="2094" spans="1:9">
      <c r="A2094" s="3">
        <f ca="1">IFERROR(__xludf.DUMMYFUNCTION("""COMPUTED_VALUE"""),32245.6666666666)</f>
        <v>32245.666666666599</v>
      </c>
      <c r="B2094" s="1">
        <f ca="1">IFERROR(__xludf.DUMMYFUNCTION("""COMPUTED_VALUE"""),5.25)</f>
        <v>5.25</v>
      </c>
      <c r="C2094" s="1">
        <f ca="1">IFERROR(__xludf.DUMMYFUNCTION("""COMPUTED_VALUE"""),5.26)</f>
        <v>5.26</v>
      </c>
      <c r="D2094" s="1">
        <f ca="1">IFERROR(__xludf.DUMMYFUNCTION("""COMPUTED_VALUE"""),5.13)</f>
        <v>5.13</v>
      </c>
      <c r="E2094" s="1">
        <f ca="1">IFERROR(__xludf.DUMMYFUNCTION("""COMPUTED_VALUE"""),5.25)</f>
        <v>5.25</v>
      </c>
      <c r="F2094" s="1">
        <f ca="1">IFERROR(__xludf.DUMMYFUNCTION("""COMPUTED_VALUE"""),381700)</f>
        <v>381700</v>
      </c>
      <c r="I2094" s="1"/>
    </row>
    <row r="2095" spans="1:9">
      <c r="A2095" s="3">
        <f ca="1">IFERROR(__xludf.DUMMYFUNCTION("""COMPUTED_VALUE"""),32246.6666666666)</f>
        <v>32246.666666666599</v>
      </c>
      <c r="B2095" s="1">
        <f ca="1">IFERROR(__xludf.DUMMYFUNCTION("""COMPUTED_VALUE"""),5.25)</f>
        <v>5.25</v>
      </c>
      <c r="C2095" s="1">
        <f ca="1">IFERROR(__xludf.DUMMYFUNCTION("""COMPUTED_VALUE"""),5.26)</f>
        <v>5.26</v>
      </c>
      <c r="D2095" s="1">
        <f ca="1">IFERROR(__xludf.DUMMYFUNCTION("""COMPUTED_VALUE"""),5.16)</f>
        <v>5.16</v>
      </c>
      <c r="E2095" s="1">
        <f ca="1">IFERROR(__xludf.DUMMYFUNCTION("""COMPUTED_VALUE"""),5.25)</f>
        <v>5.25</v>
      </c>
      <c r="F2095" s="1">
        <f ca="1">IFERROR(__xludf.DUMMYFUNCTION("""COMPUTED_VALUE"""),290700)</f>
        <v>290700</v>
      </c>
      <c r="I2095" s="1"/>
    </row>
    <row r="2096" spans="1:9">
      <c r="A2096" s="3">
        <f ca="1">IFERROR(__xludf.DUMMYFUNCTION("""COMPUTED_VALUE"""),32247.6666666666)</f>
        <v>32247.666666666599</v>
      </c>
      <c r="B2096" s="1">
        <f ca="1">IFERROR(__xludf.DUMMYFUNCTION("""COMPUTED_VALUE"""),4.98)</f>
        <v>4.9800000000000004</v>
      </c>
      <c r="C2096" s="1">
        <f ca="1">IFERROR(__xludf.DUMMYFUNCTION("""COMPUTED_VALUE"""),5.17)</f>
        <v>5.17</v>
      </c>
      <c r="D2096" s="1">
        <f ca="1">IFERROR(__xludf.DUMMYFUNCTION("""COMPUTED_VALUE"""),4.97)</f>
        <v>4.97</v>
      </c>
      <c r="E2096" s="1">
        <f ca="1">IFERROR(__xludf.DUMMYFUNCTION("""COMPUTED_VALUE"""),4.98)</f>
        <v>4.9800000000000004</v>
      </c>
      <c r="F2096" s="1">
        <f ca="1">IFERROR(__xludf.DUMMYFUNCTION("""COMPUTED_VALUE"""),665300)</f>
        <v>665300</v>
      </c>
      <c r="I2096" s="1"/>
    </row>
    <row r="2097" spans="1:9">
      <c r="A2097" s="3">
        <f ca="1">IFERROR(__xludf.DUMMYFUNCTION("""COMPUTED_VALUE"""),32248.6666666666)</f>
        <v>32248.666666666599</v>
      </c>
      <c r="B2097" s="1">
        <f ca="1">IFERROR(__xludf.DUMMYFUNCTION("""COMPUTED_VALUE"""),4.99)</f>
        <v>4.99</v>
      </c>
      <c r="C2097" s="1">
        <f ca="1">IFERROR(__xludf.DUMMYFUNCTION("""COMPUTED_VALUE"""),5.01)</f>
        <v>5.01</v>
      </c>
      <c r="D2097" s="1">
        <f ca="1">IFERROR(__xludf.DUMMYFUNCTION("""COMPUTED_VALUE"""),4.87)</f>
        <v>4.87</v>
      </c>
      <c r="E2097" s="1">
        <f ca="1">IFERROR(__xludf.DUMMYFUNCTION("""COMPUTED_VALUE"""),4.99)</f>
        <v>4.99</v>
      </c>
      <c r="F2097" s="1">
        <f ca="1">IFERROR(__xludf.DUMMYFUNCTION("""COMPUTED_VALUE"""),766700)</f>
        <v>766700</v>
      </c>
      <c r="I2097" s="1"/>
    </row>
    <row r="2098" spans="1:9">
      <c r="A2098" s="3">
        <f ca="1">IFERROR(__xludf.DUMMYFUNCTION("""COMPUTED_VALUE"""),32251.6666666666)</f>
        <v>32251.666666666599</v>
      </c>
      <c r="B2098" s="1">
        <f ca="1">IFERROR(__xludf.DUMMYFUNCTION("""COMPUTED_VALUE"""),4.91)</f>
        <v>4.91</v>
      </c>
      <c r="C2098" s="1">
        <f ca="1">IFERROR(__xludf.DUMMYFUNCTION("""COMPUTED_VALUE"""),4.98)</f>
        <v>4.9800000000000004</v>
      </c>
      <c r="D2098" s="1">
        <f ca="1">IFERROR(__xludf.DUMMYFUNCTION("""COMPUTED_VALUE"""),4.91)</f>
        <v>4.91</v>
      </c>
      <c r="E2098" s="1">
        <f ca="1">IFERROR(__xludf.DUMMYFUNCTION("""COMPUTED_VALUE"""),4.91)</f>
        <v>4.91</v>
      </c>
      <c r="F2098" s="1">
        <f ca="1">IFERROR(__xludf.DUMMYFUNCTION("""COMPUTED_VALUE"""),317600)</f>
        <v>317600</v>
      </c>
      <c r="I2098" s="1"/>
    </row>
    <row r="2099" spans="1:9">
      <c r="A2099" s="3">
        <f ca="1">IFERROR(__xludf.DUMMYFUNCTION("""COMPUTED_VALUE"""),32252.6666666666)</f>
        <v>32252.666666666599</v>
      </c>
      <c r="B2099" s="1">
        <f ca="1">IFERROR(__xludf.DUMMYFUNCTION("""COMPUTED_VALUE"""),4.83)</f>
        <v>4.83</v>
      </c>
      <c r="C2099" s="1">
        <f ca="1">IFERROR(__xludf.DUMMYFUNCTION("""COMPUTED_VALUE"""),4.95)</f>
        <v>4.95</v>
      </c>
      <c r="D2099" s="1">
        <f ca="1">IFERROR(__xludf.DUMMYFUNCTION("""COMPUTED_VALUE"""),4.83)</f>
        <v>4.83</v>
      </c>
      <c r="E2099" s="1">
        <f ca="1">IFERROR(__xludf.DUMMYFUNCTION("""COMPUTED_VALUE"""),4.83)</f>
        <v>4.83</v>
      </c>
      <c r="F2099" s="1">
        <f ca="1">IFERROR(__xludf.DUMMYFUNCTION("""COMPUTED_VALUE"""),529400)</f>
        <v>529400</v>
      </c>
      <c r="I2099" s="1"/>
    </row>
    <row r="2100" spans="1:9">
      <c r="A2100" s="3">
        <f ca="1">IFERROR(__xludf.DUMMYFUNCTION("""COMPUTED_VALUE"""),32253.6666666666)</f>
        <v>32253.666666666599</v>
      </c>
      <c r="B2100" s="1">
        <f ca="1">IFERROR(__xludf.DUMMYFUNCTION("""COMPUTED_VALUE"""),4.81)</f>
        <v>4.8099999999999996</v>
      </c>
      <c r="C2100" s="1">
        <f ca="1">IFERROR(__xludf.DUMMYFUNCTION("""COMPUTED_VALUE"""),4.88)</f>
        <v>4.88</v>
      </c>
      <c r="D2100" s="1">
        <f ca="1">IFERROR(__xludf.DUMMYFUNCTION("""COMPUTED_VALUE"""),4.81)</f>
        <v>4.8099999999999996</v>
      </c>
      <c r="E2100" s="1">
        <f ca="1">IFERROR(__xludf.DUMMYFUNCTION("""COMPUTED_VALUE"""),4.81)</f>
        <v>4.8099999999999996</v>
      </c>
      <c r="F2100" s="1">
        <f ca="1">IFERROR(__xludf.DUMMYFUNCTION("""COMPUTED_VALUE"""),364000)</f>
        <v>364000</v>
      </c>
      <c r="I2100" s="1"/>
    </row>
    <row r="2101" spans="1:9">
      <c r="A2101" s="3">
        <f ca="1">IFERROR(__xludf.DUMMYFUNCTION("""COMPUTED_VALUE"""),32254.6666666666)</f>
        <v>32254.666666666599</v>
      </c>
      <c r="B2101" s="1">
        <f ca="1">IFERROR(__xludf.DUMMYFUNCTION("""COMPUTED_VALUE"""),4.77)</f>
        <v>4.7699999999999996</v>
      </c>
      <c r="C2101" s="1">
        <f ca="1">IFERROR(__xludf.DUMMYFUNCTION("""COMPUTED_VALUE"""),4.91)</f>
        <v>4.91</v>
      </c>
      <c r="D2101" s="1">
        <f ca="1">IFERROR(__xludf.DUMMYFUNCTION("""COMPUTED_VALUE"""),4.73)</f>
        <v>4.7300000000000004</v>
      </c>
      <c r="E2101" s="1">
        <f ca="1">IFERROR(__xludf.DUMMYFUNCTION("""COMPUTED_VALUE"""),4.77)</f>
        <v>4.7699999999999996</v>
      </c>
      <c r="F2101" s="1">
        <f ca="1">IFERROR(__xludf.DUMMYFUNCTION("""COMPUTED_VALUE"""),584800)</f>
        <v>584800</v>
      </c>
      <c r="I2101" s="1"/>
    </row>
    <row r="2102" spans="1:9">
      <c r="A2102" s="3">
        <f ca="1">IFERROR(__xludf.DUMMYFUNCTION("""COMPUTED_VALUE"""),32255.6666666666)</f>
        <v>32255.666666666599</v>
      </c>
      <c r="B2102" s="1">
        <f ca="1">IFERROR(__xludf.DUMMYFUNCTION("""COMPUTED_VALUE"""),4.84)</f>
        <v>4.84</v>
      </c>
      <c r="C2102" s="1">
        <f ca="1">IFERROR(__xludf.DUMMYFUNCTION("""COMPUTED_VALUE"""),4.86)</f>
        <v>4.8600000000000003</v>
      </c>
      <c r="D2102" s="1">
        <f ca="1">IFERROR(__xludf.DUMMYFUNCTION("""COMPUTED_VALUE"""),4.73)</f>
        <v>4.7300000000000004</v>
      </c>
      <c r="E2102" s="1">
        <f ca="1">IFERROR(__xludf.DUMMYFUNCTION("""COMPUTED_VALUE"""),4.84)</f>
        <v>4.84</v>
      </c>
      <c r="F2102" s="1">
        <f ca="1">IFERROR(__xludf.DUMMYFUNCTION("""COMPUTED_VALUE"""),556600)</f>
        <v>556600</v>
      </c>
      <c r="I2102" s="1"/>
    </row>
    <row r="2103" spans="1:9">
      <c r="A2103" s="3">
        <f ca="1">IFERROR(__xludf.DUMMYFUNCTION("""COMPUTED_VALUE"""),32258.6666666666)</f>
        <v>32258.666666666599</v>
      </c>
      <c r="B2103" s="1">
        <f ca="1">IFERROR(__xludf.DUMMYFUNCTION("""COMPUTED_VALUE"""),4.95)</f>
        <v>4.95</v>
      </c>
      <c r="C2103" s="1">
        <f ca="1">IFERROR(__xludf.DUMMYFUNCTION("""COMPUTED_VALUE"""),4.96)</f>
        <v>4.96</v>
      </c>
      <c r="D2103" s="1">
        <f ca="1">IFERROR(__xludf.DUMMYFUNCTION("""COMPUTED_VALUE"""),4.83)</f>
        <v>4.83</v>
      </c>
      <c r="E2103" s="1">
        <f ca="1">IFERROR(__xludf.DUMMYFUNCTION("""COMPUTED_VALUE"""),4.95)</f>
        <v>4.95</v>
      </c>
      <c r="F2103" s="1">
        <f ca="1">IFERROR(__xludf.DUMMYFUNCTION("""COMPUTED_VALUE"""),463700)</f>
        <v>463700</v>
      </c>
      <c r="I2103" s="1"/>
    </row>
    <row r="2104" spans="1:9">
      <c r="A2104" s="3">
        <f ca="1">IFERROR(__xludf.DUMMYFUNCTION("""COMPUTED_VALUE"""),32259.6666666666)</f>
        <v>32259.666666666599</v>
      </c>
      <c r="B2104" s="1">
        <f ca="1">IFERROR(__xludf.DUMMYFUNCTION("""COMPUTED_VALUE"""),4.95)</f>
        <v>4.95</v>
      </c>
      <c r="C2104" s="1">
        <f ca="1">IFERROR(__xludf.DUMMYFUNCTION("""COMPUTED_VALUE"""),4.97)</f>
        <v>4.97</v>
      </c>
      <c r="D2104" s="1">
        <f ca="1">IFERROR(__xludf.DUMMYFUNCTION("""COMPUTED_VALUE"""),4.88)</f>
        <v>4.88</v>
      </c>
      <c r="E2104" s="1">
        <f ca="1">IFERROR(__xludf.DUMMYFUNCTION("""COMPUTED_VALUE"""),4.95)</f>
        <v>4.95</v>
      </c>
      <c r="F2104" s="1">
        <f ca="1">IFERROR(__xludf.DUMMYFUNCTION("""COMPUTED_VALUE"""),347800)</f>
        <v>347800</v>
      </c>
      <c r="I2104" s="1"/>
    </row>
    <row r="2105" spans="1:9">
      <c r="A2105" s="3">
        <f ca="1">IFERROR(__xludf.DUMMYFUNCTION("""COMPUTED_VALUE"""),32260.6666666666)</f>
        <v>32260.666666666599</v>
      </c>
      <c r="B2105" s="1">
        <f ca="1">IFERROR(__xludf.DUMMYFUNCTION("""COMPUTED_VALUE"""),4.86)</f>
        <v>4.8600000000000003</v>
      </c>
      <c r="C2105" s="1">
        <f ca="1">IFERROR(__xludf.DUMMYFUNCTION("""COMPUTED_VALUE"""),4.95)</f>
        <v>4.95</v>
      </c>
      <c r="D2105" s="1">
        <f ca="1">IFERROR(__xludf.DUMMYFUNCTION("""COMPUTED_VALUE"""),4.85)</f>
        <v>4.8499999999999996</v>
      </c>
      <c r="E2105" s="1">
        <f ca="1">IFERROR(__xludf.DUMMYFUNCTION("""COMPUTED_VALUE"""),4.86)</f>
        <v>4.8600000000000003</v>
      </c>
      <c r="F2105" s="1">
        <f ca="1">IFERROR(__xludf.DUMMYFUNCTION("""COMPUTED_VALUE"""),343000)</f>
        <v>343000</v>
      </c>
      <c r="I2105" s="1"/>
    </row>
    <row r="2106" spans="1:9">
      <c r="A2106" s="3">
        <f ca="1">IFERROR(__xludf.DUMMYFUNCTION("""COMPUTED_VALUE"""),32261.6666666666)</f>
        <v>32261.666666666599</v>
      </c>
      <c r="B2106" s="1">
        <f ca="1">IFERROR(__xludf.DUMMYFUNCTION("""COMPUTED_VALUE"""),4.82)</f>
        <v>4.82</v>
      </c>
      <c r="C2106" s="1">
        <f ca="1">IFERROR(__xludf.DUMMYFUNCTION("""COMPUTED_VALUE"""),4.95)</f>
        <v>4.95</v>
      </c>
      <c r="D2106" s="1">
        <f ca="1">IFERROR(__xludf.DUMMYFUNCTION("""COMPUTED_VALUE"""),4.77)</f>
        <v>4.7699999999999996</v>
      </c>
      <c r="E2106" s="1">
        <f ca="1">IFERROR(__xludf.DUMMYFUNCTION("""COMPUTED_VALUE"""),4.82)</f>
        <v>4.82</v>
      </c>
      <c r="F2106" s="1">
        <f ca="1">IFERROR(__xludf.DUMMYFUNCTION("""COMPUTED_VALUE"""),664100)</f>
        <v>664100</v>
      </c>
      <c r="I2106" s="1"/>
    </row>
    <row r="2107" spans="1:9">
      <c r="A2107" s="3">
        <f ca="1">IFERROR(__xludf.DUMMYFUNCTION("""COMPUTED_VALUE"""),32262.6666666666)</f>
        <v>32262.666666666599</v>
      </c>
      <c r="B2107" s="1">
        <f ca="1">IFERROR(__xludf.DUMMYFUNCTION("""COMPUTED_VALUE"""),4.73)</f>
        <v>4.7300000000000004</v>
      </c>
      <c r="C2107" s="1">
        <f ca="1">IFERROR(__xludf.DUMMYFUNCTION("""COMPUTED_VALUE"""),4.84)</f>
        <v>4.84</v>
      </c>
      <c r="D2107" s="1">
        <f ca="1">IFERROR(__xludf.DUMMYFUNCTION("""COMPUTED_VALUE"""),4.71)</f>
        <v>4.71</v>
      </c>
      <c r="E2107" s="1">
        <f ca="1">IFERROR(__xludf.DUMMYFUNCTION("""COMPUTED_VALUE"""),4.73)</f>
        <v>4.7300000000000004</v>
      </c>
      <c r="F2107" s="1">
        <f ca="1">IFERROR(__xludf.DUMMYFUNCTION("""COMPUTED_VALUE"""),353700)</f>
        <v>353700</v>
      </c>
      <c r="I2107" s="1"/>
    </row>
    <row r="2108" spans="1:9">
      <c r="A2108" s="3">
        <f ca="1">IFERROR(__xludf.DUMMYFUNCTION("""COMPUTED_VALUE"""),32265.6666666666)</f>
        <v>32265.666666666599</v>
      </c>
      <c r="B2108" s="1">
        <f ca="1">IFERROR(__xludf.DUMMYFUNCTION("""COMPUTED_VALUE"""),4.74)</f>
        <v>4.74</v>
      </c>
      <c r="C2108" s="1">
        <f ca="1">IFERROR(__xludf.DUMMYFUNCTION("""COMPUTED_VALUE"""),4.78)</f>
        <v>4.78</v>
      </c>
      <c r="D2108" s="1">
        <f ca="1">IFERROR(__xludf.DUMMYFUNCTION("""COMPUTED_VALUE"""),4.71)</f>
        <v>4.71</v>
      </c>
      <c r="E2108" s="1">
        <f ca="1">IFERROR(__xludf.DUMMYFUNCTION("""COMPUTED_VALUE"""),4.74)</f>
        <v>4.74</v>
      </c>
      <c r="F2108" s="1">
        <f ca="1">IFERROR(__xludf.DUMMYFUNCTION("""COMPUTED_VALUE"""),248100)</f>
        <v>248100</v>
      </c>
      <c r="I2108" s="1"/>
    </row>
    <row r="2109" spans="1:9">
      <c r="A2109" s="3">
        <f ca="1">IFERROR(__xludf.DUMMYFUNCTION("""COMPUTED_VALUE"""),32266.6666666666)</f>
        <v>32266.666666666599</v>
      </c>
      <c r="B2109" s="1">
        <f ca="1">IFERROR(__xludf.DUMMYFUNCTION("""COMPUTED_VALUE"""),4.78)</f>
        <v>4.78</v>
      </c>
      <c r="C2109" s="1">
        <f ca="1">IFERROR(__xludf.DUMMYFUNCTION("""COMPUTED_VALUE"""),4.81)</f>
        <v>4.8099999999999996</v>
      </c>
      <c r="D2109" s="1">
        <f ca="1">IFERROR(__xludf.DUMMYFUNCTION("""COMPUTED_VALUE"""),4.76)</f>
        <v>4.76</v>
      </c>
      <c r="E2109" s="1">
        <f ca="1">IFERROR(__xludf.DUMMYFUNCTION("""COMPUTED_VALUE"""),4.78)</f>
        <v>4.78</v>
      </c>
      <c r="F2109" s="1">
        <f ca="1">IFERROR(__xludf.DUMMYFUNCTION("""COMPUTED_VALUE"""),330500)</f>
        <v>330500</v>
      </c>
      <c r="I2109" s="1"/>
    </row>
    <row r="2110" spans="1:9">
      <c r="A2110" s="3">
        <f ca="1">IFERROR(__xludf.DUMMYFUNCTION("""COMPUTED_VALUE"""),32267.6666666666)</f>
        <v>32267.666666666599</v>
      </c>
      <c r="B2110" s="1">
        <f ca="1">IFERROR(__xludf.DUMMYFUNCTION("""COMPUTED_VALUE"""),4.67)</f>
        <v>4.67</v>
      </c>
      <c r="C2110" s="1">
        <f ca="1">IFERROR(__xludf.DUMMYFUNCTION("""COMPUTED_VALUE"""),4.77)</f>
        <v>4.7699999999999996</v>
      </c>
      <c r="D2110" s="1">
        <f ca="1">IFERROR(__xludf.DUMMYFUNCTION("""COMPUTED_VALUE"""),4.67)</f>
        <v>4.67</v>
      </c>
      <c r="E2110" s="1">
        <f ca="1">IFERROR(__xludf.DUMMYFUNCTION("""COMPUTED_VALUE"""),4.67)</f>
        <v>4.67</v>
      </c>
      <c r="F2110" s="1">
        <f ca="1">IFERROR(__xludf.DUMMYFUNCTION("""COMPUTED_VALUE"""),480900)</f>
        <v>480900</v>
      </c>
      <c r="I2110" s="1"/>
    </row>
    <row r="2111" spans="1:9">
      <c r="A2111" s="3">
        <f ca="1">IFERROR(__xludf.DUMMYFUNCTION("""COMPUTED_VALUE"""),32268.6666666666)</f>
        <v>32268.666666666599</v>
      </c>
      <c r="B2111" s="1">
        <f ca="1">IFERROR(__xludf.DUMMYFUNCTION("""COMPUTED_VALUE"""),4.66)</f>
        <v>4.66</v>
      </c>
      <c r="C2111" s="1">
        <f ca="1">IFERROR(__xludf.DUMMYFUNCTION("""COMPUTED_VALUE"""),4.68)</f>
        <v>4.68</v>
      </c>
      <c r="D2111" s="1">
        <f ca="1">IFERROR(__xludf.DUMMYFUNCTION("""COMPUTED_VALUE"""),4.64)</f>
        <v>4.6399999999999997</v>
      </c>
      <c r="E2111" s="1">
        <f ca="1">IFERROR(__xludf.DUMMYFUNCTION("""COMPUTED_VALUE"""),4.66)</f>
        <v>4.66</v>
      </c>
      <c r="F2111" s="1">
        <f ca="1">IFERROR(__xludf.DUMMYFUNCTION("""COMPUTED_VALUE"""),476900)</f>
        <v>476900</v>
      </c>
      <c r="I2111" s="1"/>
    </row>
    <row r="2112" spans="1:9">
      <c r="A2112" s="3">
        <f ca="1">IFERROR(__xludf.DUMMYFUNCTION("""COMPUTED_VALUE"""),32269.6666666666)</f>
        <v>32269.666666666599</v>
      </c>
      <c r="B2112" s="1">
        <f ca="1">IFERROR(__xludf.DUMMYFUNCTION("""COMPUTED_VALUE"""),4.6)</f>
        <v>4.5999999999999996</v>
      </c>
      <c r="C2112" s="1">
        <f ca="1">IFERROR(__xludf.DUMMYFUNCTION("""COMPUTED_VALUE"""),4.69)</f>
        <v>4.6900000000000004</v>
      </c>
      <c r="D2112" s="1">
        <f ca="1">IFERROR(__xludf.DUMMYFUNCTION("""COMPUTED_VALUE"""),4.58)</f>
        <v>4.58</v>
      </c>
      <c r="E2112" s="1">
        <f ca="1">IFERROR(__xludf.DUMMYFUNCTION("""COMPUTED_VALUE"""),4.6)</f>
        <v>4.5999999999999996</v>
      </c>
      <c r="F2112" s="1">
        <f ca="1">IFERROR(__xludf.DUMMYFUNCTION("""COMPUTED_VALUE"""),410800)</f>
        <v>410800</v>
      </c>
      <c r="I2112" s="1"/>
    </row>
    <row r="2113" spans="1:9">
      <c r="A2113" s="3">
        <f ca="1">IFERROR(__xludf.DUMMYFUNCTION("""COMPUTED_VALUE"""),32272.6666666666)</f>
        <v>32272.666666666599</v>
      </c>
      <c r="B2113" s="1">
        <f ca="1">IFERROR(__xludf.DUMMYFUNCTION("""COMPUTED_VALUE"""),4.56)</f>
        <v>4.5599999999999996</v>
      </c>
      <c r="C2113" s="1">
        <f ca="1">IFERROR(__xludf.DUMMYFUNCTION("""COMPUTED_VALUE"""),4.57)</f>
        <v>4.57</v>
      </c>
      <c r="D2113" s="1">
        <f ca="1">IFERROR(__xludf.DUMMYFUNCTION("""COMPUTED_VALUE"""),4.49)</f>
        <v>4.49</v>
      </c>
      <c r="E2113" s="1">
        <f ca="1">IFERROR(__xludf.DUMMYFUNCTION("""COMPUTED_VALUE"""),4.56)</f>
        <v>4.5599999999999996</v>
      </c>
      <c r="F2113" s="1">
        <f ca="1">IFERROR(__xludf.DUMMYFUNCTION("""COMPUTED_VALUE"""),682800)</f>
        <v>682800</v>
      </c>
      <c r="I2113" s="1"/>
    </row>
    <row r="2114" spans="1:9">
      <c r="A2114" s="3">
        <f ca="1">IFERROR(__xludf.DUMMYFUNCTION("""COMPUTED_VALUE"""),32273.6666666666)</f>
        <v>32273.666666666599</v>
      </c>
      <c r="B2114" s="1">
        <f ca="1">IFERROR(__xludf.DUMMYFUNCTION("""COMPUTED_VALUE"""),4.57)</f>
        <v>4.57</v>
      </c>
      <c r="C2114" s="1">
        <f ca="1">IFERROR(__xludf.DUMMYFUNCTION("""COMPUTED_VALUE"""),4.62)</f>
        <v>4.62</v>
      </c>
      <c r="D2114" s="1">
        <f ca="1">IFERROR(__xludf.DUMMYFUNCTION("""COMPUTED_VALUE"""),4.52)</f>
        <v>4.5199999999999996</v>
      </c>
      <c r="E2114" s="1">
        <f ca="1">IFERROR(__xludf.DUMMYFUNCTION("""COMPUTED_VALUE"""),4.57)</f>
        <v>4.57</v>
      </c>
      <c r="F2114" s="1">
        <f ca="1">IFERROR(__xludf.DUMMYFUNCTION("""COMPUTED_VALUE"""),432200)</f>
        <v>432200</v>
      </c>
      <c r="I2114" s="1"/>
    </row>
    <row r="2115" spans="1:9">
      <c r="A2115" s="3">
        <f ca="1">IFERROR(__xludf.DUMMYFUNCTION("""COMPUTED_VALUE"""),32274.6666666666)</f>
        <v>32274.666666666599</v>
      </c>
      <c r="B2115" s="1">
        <f ca="1">IFERROR(__xludf.DUMMYFUNCTION("""COMPUTED_VALUE"""),4.55)</f>
        <v>4.55</v>
      </c>
      <c r="C2115" s="1">
        <f ca="1">IFERROR(__xludf.DUMMYFUNCTION("""COMPUTED_VALUE"""),4.58)</f>
        <v>4.58</v>
      </c>
      <c r="D2115" s="1">
        <f ca="1">IFERROR(__xludf.DUMMYFUNCTION("""COMPUTED_VALUE"""),4.48)</f>
        <v>4.4800000000000004</v>
      </c>
      <c r="E2115" s="1">
        <f ca="1">IFERROR(__xludf.DUMMYFUNCTION("""COMPUTED_VALUE"""),4.55)</f>
        <v>4.55</v>
      </c>
      <c r="F2115" s="1">
        <f ca="1">IFERROR(__xludf.DUMMYFUNCTION("""COMPUTED_VALUE"""),657700)</f>
        <v>657700</v>
      </c>
      <c r="I2115" s="1"/>
    </row>
    <row r="2116" spans="1:9">
      <c r="A2116" s="3">
        <f ca="1">IFERROR(__xludf.DUMMYFUNCTION("""COMPUTED_VALUE"""),32275.6666666666)</f>
        <v>32275.666666666599</v>
      </c>
      <c r="B2116" s="1">
        <f ca="1">IFERROR(__xludf.DUMMYFUNCTION("""COMPUTED_VALUE"""),4.54)</f>
        <v>4.54</v>
      </c>
      <c r="C2116" s="1">
        <f ca="1">IFERROR(__xludf.DUMMYFUNCTION("""COMPUTED_VALUE"""),4.6)</f>
        <v>4.5999999999999996</v>
      </c>
      <c r="D2116" s="1">
        <f ca="1">IFERROR(__xludf.DUMMYFUNCTION("""COMPUTED_VALUE"""),4.53)</f>
        <v>4.53</v>
      </c>
      <c r="E2116" s="1">
        <f ca="1">IFERROR(__xludf.DUMMYFUNCTION("""COMPUTED_VALUE"""),4.54)</f>
        <v>4.54</v>
      </c>
      <c r="F2116" s="1">
        <f ca="1">IFERROR(__xludf.DUMMYFUNCTION("""COMPUTED_VALUE"""),321100)</f>
        <v>321100</v>
      </c>
      <c r="I2116" s="1"/>
    </row>
    <row r="2117" spans="1:9">
      <c r="A2117" s="3">
        <f ca="1">IFERROR(__xludf.DUMMYFUNCTION("""COMPUTED_VALUE"""),32276.6666666666)</f>
        <v>32276.666666666599</v>
      </c>
      <c r="B2117" s="1">
        <f ca="1">IFERROR(__xludf.DUMMYFUNCTION("""COMPUTED_VALUE"""),4.58)</f>
        <v>4.58</v>
      </c>
      <c r="C2117" s="1">
        <f ca="1">IFERROR(__xludf.DUMMYFUNCTION("""COMPUTED_VALUE"""),4.6)</f>
        <v>4.5999999999999996</v>
      </c>
      <c r="D2117" s="1">
        <f ca="1">IFERROR(__xludf.DUMMYFUNCTION("""COMPUTED_VALUE"""),4.54)</f>
        <v>4.54</v>
      </c>
      <c r="E2117" s="1">
        <f ca="1">IFERROR(__xludf.DUMMYFUNCTION("""COMPUTED_VALUE"""),4.58)</f>
        <v>4.58</v>
      </c>
      <c r="F2117" s="1">
        <f ca="1">IFERROR(__xludf.DUMMYFUNCTION("""COMPUTED_VALUE"""),211600)</f>
        <v>211600</v>
      </c>
      <c r="I2117" s="1"/>
    </row>
    <row r="2118" spans="1:9">
      <c r="A2118" s="3">
        <f ca="1">IFERROR(__xludf.DUMMYFUNCTION("""COMPUTED_VALUE"""),32279.6666666666)</f>
        <v>32279.666666666599</v>
      </c>
      <c r="B2118" s="1">
        <f ca="1">IFERROR(__xludf.DUMMYFUNCTION("""COMPUTED_VALUE"""),4.59)</f>
        <v>4.59</v>
      </c>
      <c r="C2118" s="1">
        <f ca="1">IFERROR(__xludf.DUMMYFUNCTION("""COMPUTED_VALUE"""),4.6)</f>
        <v>4.5999999999999996</v>
      </c>
      <c r="D2118" s="1">
        <f ca="1">IFERROR(__xludf.DUMMYFUNCTION("""COMPUTED_VALUE"""),4.53)</f>
        <v>4.53</v>
      </c>
      <c r="E2118" s="1">
        <f ca="1">IFERROR(__xludf.DUMMYFUNCTION("""COMPUTED_VALUE"""),4.59)</f>
        <v>4.59</v>
      </c>
      <c r="F2118" s="1">
        <f ca="1">IFERROR(__xludf.DUMMYFUNCTION("""COMPUTED_VALUE"""),299600)</f>
        <v>299600</v>
      </c>
      <c r="I2118" s="1"/>
    </row>
    <row r="2119" spans="1:9">
      <c r="A2119" s="3">
        <f ca="1">IFERROR(__xludf.DUMMYFUNCTION("""COMPUTED_VALUE"""),32280.6666666666)</f>
        <v>32280.666666666599</v>
      </c>
      <c r="B2119" s="1">
        <f ca="1">IFERROR(__xludf.DUMMYFUNCTION("""COMPUTED_VALUE"""),4.47)</f>
        <v>4.47</v>
      </c>
      <c r="C2119" s="1">
        <f ca="1">IFERROR(__xludf.DUMMYFUNCTION("""COMPUTED_VALUE"""),4.64)</f>
        <v>4.6399999999999997</v>
      </c>
      <c r="D2119" s="1">
        <f ca="1">IFERROR(__xludf.DUMMYFUNCTION("""COMPUTED_VALUE"""),4.47)</f>
        <v>4.47</v>
      </c>
      <c r="E2119" s="1">
        <f ca="1">IFERROR(__xludf.DUMMYFUNCTION("""COMPUTED_VALUE"""),4.47)</f>
        <v>4.47</v>
      </c>
      <c r="F2119" s="1">
        <f ca="1">IFERROR(__xludf.DUMMYFUNCTION("""COMPUTED_VALUE"""),438700)</f>
        <v>438700</v>
      </c>
      <c r="I2119" s="1"/>
    </row>
    <row r="2120" spans="1:9">
      <c r="A2120" s="3">
        <f ca="1">IFERROR(__xludf.DUMMYFUNCTION("""COMPUTED_VALUE"""),32281.6666666666)</f>
        <v>32281.666666666599</v>
      </c>
      <c r="B2120" s="1">
        <f ca="1">IFERROR(__xludf.DUMMYFUNCTION("""COMPUTED_VALUE"""),4.34)</f>
        <v>4.34</v>
      </c>
      <c r="C2120" s="1">
        <f ca="1">IFERROR(__xludf.DUMMYFUNCTION("""COMPUTED_VALUE"""),4.51)</f>
        <v>4.51</v>
      </c>
      <c r="D2120" s="1">
        <f ca="1">IFERROR(__xludf.DUMMYFUNCTION("""COMPUTED_VALUE"""),4.33)</f>
        <v>4.33</v>
      </c>
      <c r="E2120" s="1">
        <f ca="1">IFERROR(__xludf.DUMMYFUNCTION("""COMPUTED_VALUE"""),4.34)</f>
        <v>4.34</v>
      </c>
      <c r="F2120" s="1">
        <f ca="1">IFERROR(__xludf.DUMMYFUNCTION("""COMPUTED_VALUE"""),629100)</f>
        <v>629100</v>
      </c>
      <c r="I2120" s="1"/>
    </row>
    <row r="2121" spans="1:9">
      <c r="A2121" s="3">
        <f ca="1">IFERROR(__xludf.DUMMYFUNCTION("""COMPUTED_VALUE"""),32282.6666666666)</f>
        <v>32282.666666666599</v>
      </c>
      <c r="B2121" s="1">
        <f ca="1">IFERROR(__xludf.DUMMYFUNCTION("""COMPUTED_VALUE"""),4.42)</f>
        <v>4.42</v>
      </c>
      <c r="C2121" s="1">
        <f ca="1">IFERROR(__xludf.DUMMYFUNCTION("""COMPUTED_VALUE"""),4.46)</f>
        <v>4.46</v>
      </c>
      <c r="D2121" s="1">
        <f ca="1">IFERROR(__xludf.DUMMYFUNCTION("""COMPUTED_VALUE"""),4.34)</f>
        <v>4.34</v>
      </c>
      <c r="E2121" s="1">
        <f ca="1">IFERROR(__xludf.DUMMYFUNCTION("""COMPUTED_VALUE"""),4.42)</f>
        <v>4.42</v>
      </c>
      <c r="F2121" s="1">
        <f ca="1">IFERROR(__xludf.DUMMYFUNCTION("""COMPUTED_VALUE"""),541500)</f>
        <v>541500</v>
      </c>
      <c r="I2121" s="1"/>
    </row>
    <row r="2122" spans="1:9">
      <c r="A2122" s="3">
        <f ca="1">IFERROR(__xludf.DUMMYFUNCTION("""COMPUTED_VALUE"""),32283.6666666666)</f>
        <v>32283.666666666599</v>
      </c>
      <c r="B2122" s="1">
        <f ca="1">IFERROR(__xludf.DUMMYFUNCTION("""COMPUTED_VALUE"""),4.45)</f>
        <v>4.45</v>
      </c>
      <c r="C2122" s="1">
        <f ca="1">IFERROR(__xludf.DUMMYFUNCTION("""COMPUTED_VALUE"""),4.5)</f>
        <v>4.5</v>
      </c>
      <c r="D2122" s="1">
        <f ca="1">IFERROR(__xludf.DUMMYFUNCTION("""COMPUTED_VALUE"""),4.45)</f>
        <v>4.45</v>
      </c>
      <c r="E2122" s="1">
        <f ca="1">IFERROR(__xludf.DUMMYFUNCTION("""COMPUTED_VALUE"""),4.45)</f>
        <v>4.45</v>
      </c>
      <c r="F2122" s="1">
        <f ca="1">IFERROR(__xludf.DUMMYFUNCTION("""COMPUTED_VALUE"""),478800)</f>
        <v>478800</v>
      </c>
      <c r="I2122" s="1"/>
    </row>
    <row r="2123" spans="1:9">
      <c r="A2123" s="3">
        <f ca="1">IFERROR(__xludf.DUMMYFUNCTION("""COMPUTED_VALUE"""),32286.6666666666)</f>
        <v>32286.666666666599</v>
      </c>
      <c r="B2123" s="1">
        <f ca="1">IFERROR(__xludf.DUMMYFUNCTION("""COMPUTED_VALUE"""),4.49)</f>
        <v>4.49</v>
      </c>
      <c r="C2123" s="1">
        <f ca="1">IFERROR(__xludf.DUMMYFUNCTION("""COMPUTED_VALUE"""),4.51)</f>
        <v>4.51</v>
      </c>
      <c r="D2123" s="1">
        <f ca="1">IFERROR(__xludf.DUMMYFUNCTION("""COMPUTED_VALUE"""),4.45)</f>
        <v>4.45</v>
      </c>
      <c r="E2123" s="1">
        <f ca="1">IFERROR(__xludf.DUMMYFUNCTION("""COMPUTED_VALUE"""),4.49)</f>
        <v>4.49</v>
      </c>
      <c r="F2123" s="1">
        <f ca="1">IFERROR(__xludf.DUMMYFUNCTION("""COMPUTED_VALUE"""),186700)</f>
        <v>186700</v>
      </c>
      <c r="I2123" s="1"/>
    </row>
    <row r="2124" spans="1:9">
      <c r="A2124" s="3">
        <f ca="1">IFERROR(__xludf.DUMMYFUNCTION("""COMPUTED_VALUE"""),32287.6666666666)</f>
        <v>32287.666666666599</v>
      </c>
      <c r="B2124" s="1">
        <f ca="1">IFERROR(__xludf.DUMMYFUNCTION("""COMPUTED_VALUE"""),4.58)</f>
        <v>4.58</v>
      </c>
      <c r="C2124" s="1">
        <f ca="1">IFERROR(__xludf.DUMMYFUNCTION("""COMPUTED_VALUE"""),4.59)</f>
        <v>4.59</v>
      </c>
      <c r="D2124" s="1">
        <f ca="1">IFERROR(__xludf.DUMMYFUNCTION("""COMPUTED_VALUE"""),4.5)</f>
        <v>4.5</v>
      </c>
      <c r="E2124" s="1">
        <f ca="1">IFERROR(__xludf.DUMMYFUNCTION("""COMPUTED_VALUE"""),4.58)</f>
        <v>4.58</v>
      </c>
      <c r="F2124" s="1">
        <f ca="1">IFERROR(__xludf.DUMMYFUNCTION("""COMPUTED_VALUE"""),390700)</f>
        <v>390700</v>
      </c>
      <c r="I2124" s="1"/>
    </row>
    <row r="2125" spans="1:9">
      <c r="A2125" s="3">
        <f ca="1">IFERROR(__xludf.DUMMYFUNCTION("""COMPUTED_VALUE"""),32288.6666666666)</f>
        <v>32288.666666666599</v>
      </c>
      <c r="B2125" s="1">
        <f ca="1">IFERROR(__xludf.DUMMYFUNCTION("""COMPUTED_VALUE"""),4.62)</f>
        <v>4.62</v>
      </c>
      <c r="C2125" s="1">
        <f ca="1">IFERROR(__xludf.DUMMYFUNCTION("""COMPUTED_VALUE"""),4.68)</f>
        <v>4.68</v>
      </c>
      <c r="D2125" s="1">
        <f ca="1">IFERROR(__xludf.DUMMYFUNCTION("""COMPUTED_VALUE"""),4.61)</f>
        <v>4.6100000000000003</v>
      </c>
      <c r="E2125" s="1">
        <f ca="1">IFERROR(__xludf.DUMMYFUNCTION("""COMPUTED_VALUE"""),4.62)</f>
        <v>4.62</v>
      </c>
      <c r="F2125" s="1">
        <f ca="1">IFERROR(__xludf.DUMMYFUNCTION("""COMPUTED_VALUE"""),626800)</f>
        <v>626800</v>
      </c>
      <c r="I2125" s="1"/>
    </row>
    <row r="2126" spans="1:9">
      <c r="A2126" s="3">
        <f ca="1">IFERROR(__xludf.DUMMYFUNCTION("""COMPUTED_VALUE"""),32289.6666666666)</f>
        <v>32289.666666666599</v>
      </c>
      <c r="B2126" s="1">
        <f ca="1">IFERROR(__xludf.DUMMYFUNCTION("""COMPUTED_VALUE"""),4.66)</f>
        <v>4.66</v>
      </c>
      <c r="C2126" s="1">
        <f ca="1">IFERROR(__xludf.DUMMYFUNCTION("""COMPUTED_VALUE"""),4.69)</f>
        <v>4.6900000000000004</v>
      </c>
      <c r="D2126" s="1">
        <f ca="1">IFERROR(__xludf.DUMMYFUNCTION("""COMPUTED_VALUE"""),4.61)</f>
        <v>4.6100000000000003</v>
      </c>
      <c r="E2126" s="1">
        <f ca="1">IFERROR(__xludf.DUMMYFUNCTION("""COMPUTED_VALUE"""),4.66)</f>
        <v>4.66</v>
      </c>
      <c r="F2126" s="1">
        <f ca="1">IFERROR(__xludf.DUMMYFUNCTION("""COMPUTED_VALUE"""),463500)</f>
        <v>463500</v>
      </c>
      <c r="I2126" s="1"/>
    </row>
    <row r="2127" spans="1:9">
      <c r="A2127" s="3">
        <f ca="1">IFERROR(__xludf.DUMMYFUNCTION("""COMPUTED_VALUE"""),32290.6666666666)</f>
        <v>32290.666666666599</v>
      </c>
      <c r="B2127" s="1">
        <f ca="1">IFERROR(__xludf.DUMMYFUNCTION("""COMPUTED_VALUE"""),4.66)</f>
        <v>4.66</v>
      </c>
      <c r="C2127" s="1">
        <f ca="1">IFERROR(__xludf.DUMMYFUNCTION("""COMPUTED_VALUE"""),4.7)</f>
        <v>4.7</v>
      </c>
      <c r="D2127" s="1">
        <f ca="1">IFERROR(__xludf.DUMMYFUNCTION("""COMPUTED_VALUE"""),4.65)</f>
        <v>4.6500000000000004</v>
      </c>
      <c r="E2127" s="1">
        <f ca="1">IFERROR(__xludf.DUMMYFUNCTION("""COMPUTED_VALUE"""),4.66)</f>
        <v>4.66</v>
      </c>
      <c r="F2127" s="1">
        <f ca="1">IFERROR(__xludf.DUMMYFUNCTION("""COMPUTED_VALUE"""),298600)</f>
        <v>298600</v>
      </c>
      <c r="I2127" s="1"/>
    </row>
    <row r="2128" spans="1:9">
      <c r="A2128" s="3">
        <f ca="1">IFERROR(__xludf.DUMMYFUNCTION("""COMPUTED_VALUE"""),32294.6666666666)</f>
        <v>32294.666666666599</v>
      </c>
      <c r="B2128" s="1">
        <f ca="1">IFERROR(__xludf.DUMMYFUNCTION("""COMPUTED_VALUE"""),4.86)</f>
        <v>4.8600000000000003</v>
      </c>
      <c r="C2128" s="1">
        <f ca="1">IFERROR(__xludf.DUMMYFUNCTION("""COMPUTED_VALUE"""),4.88)</f>
        <v>4.88</v>
      </c>
      <c r="D2128" s="1">
        <f ca="1">IFERROR(__xludf.DUMMYFUNCTION("""COMPUTED_VALUE"""),4.69)</f>
        <v>4.6900000000000004</v>
      </c>
      <c r="E2128" s="1">
        <f ca="1">IFERROR(__xludf.DUMMYFUNCTION("""COMPUTED_VALUE"""),4.86)</f>
        <v>4.8600000000000003</v>
      </c>
      <c r="F2128" s="1">
        <f ca="1">IFERROR(__xludf.DUMMYFUNCTION("""COMPUTED_VALUE"""),586100)</f>
        <v>586100</v>
      </c>
      <c r="I2128" s="1"/>
    </row>
    <row r="2129" spans="1:9">
      <c r="A2129" s="3">
        <f ca="1">IFERROR(__xludf.DUMMYFUNCTION("""COMPUTED_VALUE"""),32295.6666666666)</f>
        <v>32295.666666666599</v>
      </c>
      <c r="B2129" s="1">
        <f ca="1">IFERROR(__xludf.DUMMYFUNCTION("""COMPUTED_VALUE"""),4.96)</f>
        <v>4.96</v>
      </c>
      <c r="C2129" s="1">
        <f ca="1">IFERROR(__xludf.DUMMYFUNCTION("""COMPUTED_VALUE"""),5.01)</f>
        <v>5.01</v>
      </c>
      <c r="D2129" s="1">
        <f ca="1">IFERROR(__xludf.DUMMYFUNCTION("""COMPUTED_VALUE"""),4.88)</f>
        <v>4.88</v>
      </c>
      <c r="E2129" s="1">
        <f ca="1">IFERROR(__xludf.DUMMYFUNCTION("""COMPUTED_VALUE"""),4.96)</f>
        <v>4.96</v>
      </c>
      <c r="F2129" s="1">
        <f ca="1">IFERROR(__xludf.DUMMYFUNCTION("""COMPUTED_VALUE"""),981100)</f>
        <v>981100</v>
      </c>
      <c r="I2129" s="1"/>
    </row>
    <row r="2130" spans="1:9">
      <c r="A2130" s="3">
        <f ca="1">IFERROR(__xludf.DUMMYFUNCTION("""COMPUTED_VALUE"""),32296.6666666666)</f>
        <v>32296.666666666599</v>
      </c>
      <c r="B2130" s="1">
        <f ca="1">IFERROR(__xludf.DUMMYFUNCTION("""COMPUTED_VALUE"""),4.95)</f>
        <v>4.95</v>
      </c>
      <c r="C2130" s="1">
        <f ca="1">IFERROR(__xludf.DUMMYFUNCTION("""COMPUTED_VALUE"""),4.99)</f>
        <v>4.99</v>
      </c>
      <c r="D2130" s="1">
        <f ca="1">IFERROR(__xludf.DUMMYFUNCTION("""COMPUTED_VALUE"""),4.91)</f>
        <v>4.91</v>
      </c>
      <c r="E2130" s="1">
        <f ca="1">IFERROR(__xludf.DUMMYFUNCTION("""COMPUTED_VALUE"""),4.95)</f>
        <v>4.95</v>
      </c>
      <c r="F2130" s="1">
        <f ca="1">IFERROR(__xludf.DUMMYFUNCTION("""COMPUTED_VALUE"""),550300)</f>
        <v>550300</v>
      </c>
      <c r="I2130" s="1"/>
    </row>
    <row r="2131" spans="1:9">
      <c r="A2131" s="3">
        <f ca="1">IFERROR(__xludf.DUMMYFUNCTION("""COMPUTED_VALUE"""),32297.6666666666)</f>
        <v>32297.666666666599</v>
      </c>
      <c r="B2131" s="1">
        <f ca="1">IFERROR(__xludf.DUMMYFUNCTION("""COMPUTED_VALUE"""),4.96)</f>
        <v>4.96</v>
      </c>
      <c r="C2131" s="1">
        <f ca="1">IFERROR(__xludf.DUMMYFUNCTION("""COMPUTED_VALUE"""),4.98)</f>
        <v>4.9800000000000004</v>
      </c>
      <c r="D2131" s="1">
        <f ca="1">IFERROR(__xludf.DUMMYFUNCTION("""COMPUTED_VALUE"""),4.91)</f>
        <v>4.91</v>
      </c>
      <c r="E2131" s="1">
        <f ca="1">IFERROR(__xludf.DUMMYFUNCTION("""COMPUTED_VALUE"""),4.96)</f>
        <v>4.96</v>
      </c>
      <c r="F2131" s="1">
        <f ca="1">IFERROR(__xludf.DUMMYFUNCTION("""COMPUTED_VALUE"""),305100)</f>
        <v>305100</v>
      </c>
      <c r="I2131" s="1"/>
    </row>
    <row r="2132" spans="1:9">
      <c r="A2132" s="3">
        <f ca="1">IFERROR(__xludf.DUMMYFUNCTION("""COMPUTED_VALUE"""),32300.6666666666)</f>
        <v>32300.666666666599</v>
      </c>
      <c r="B2132" s="1">
        <f ca="1">IFERROR(__xludf.DUMMYFUNCTION("""COMPUTED_VALUE"""),4.96)</f>
        <v>4.96</v>
      </c>
      <c r="C2132" s="1">
        <f ca="1">IFERROR(__xludf.DUMMYFUNCTION("""COMPUTED_VALUE"""),4.99)</f>
        <v>4.99</v>
      </c>
      <c r="D2132" s="1">
        <f ca="1">IFERROR(__xludf.DUMMYFUNCTION("""COMPUTED_VALUE"""),4.92)</f>
        <v>4.92</v>
      </c>
      <c r="E2132" s="1">
        <f ca="1">IFERROR(__xludf.DUMMYFUNCTION("""COMPUTED_VALUE"""),4.96)</f>
        <v>4.96</v>
      </c>
      <c r="F2132" s="1">
        <f ca="1">IFERROR(__xludf.DUMMYFUNCTION("""COMPUTED_VALUE"""),317800)</f>
        <v>317800</v>
      </c>
      <c r="I2132" s="1"/>
    </row>
    <row r="2133" spans="1:9">
      <c r="A2133" s="3">
        <f ca="1">IFERROR(__xludf.DUMMYFUNCTION("""COMPUTED_VALUE"""),32301.6666666666)</f>
        <v>32301.666666666599</v>
      </c>
      <c r="B2133" s="1">
        <f ca="1">IFERROR(__xludf.DUMMYFUNCTION("""COMPUTED_VALUE"""),4.91)</f>
        <v>4.91</v>
      </c>
      <c r="C2133" s="1">
        <f ca="1">IFERROR(__xludf.DUMMYFUNCTION("""COMPUTED_VALUE"""),4.96)</f>
        <v>4.96</v>
      </c>
      <c r="D2133" s="1">
        <f ca="1">IFERROR(__xludf.DUMMYFUNCTION("""COMPUTED_VALUE"""),4.91)</f>
        <v>4.91</v>
      </c>
      <c r="E2133" s="1">
        <f ca="1">IFERROR(__xludf.DUMMYFUNCTION("""COMPUTED_VALUE"""),4.91)</f>
        <v>4.91</v>
      </c>
      <c r="F2133" s="1">
        <f ca="1">IFERROR(__xludf.DUMMYFUNCTION("""COMPUTED_VALUE"""),303000)</f>
        <v>303000</v>
      </c>
      <c r="I2133" s="1"/>
    </row>
    <row r="2134" spans="1:9">
      <c r="A2134" s="3">
        <f ca="1">IFERROR(__xludf.DUMMYFUNCTION("""COMPUTED_VALUE"""),32302.6666666666)</f>
        <v>32302.666666666599</v>
      </c>
      <c r="B2134" s="1">
        <f ca="1">IFERROR(__xludf.DUMMYFUNCTION("""COMPUTED_VALUE"""),5.04)</f>
        <v>5.04</v>
      </c>
      <c r="C2134" s="1">
        <f ca="1">IFERROR(__xludf.DUMMYFUNCTION("""COMPUTED_VALUE"""),5.05)</f>
        <v>5.05</v>
      </c>
      <c r="D2134" s="1">
        <f ca="1">IFERROR(__xludf.DUMMYFUNCTION("""COMPUTED_VALUE"""),4.91)</f>
        <v>4.91</v>
      </c>
      <c r="E2134" s="1">
        <f ca="1">IFERROR(__xludf.DUMMYFUNCTION("""COMPUTED_VALUE"""),5.04)</f>
        <v>5.04</v>
      </c>
      <c r="F2134" s="1">
        <f ca="1">IFERROR(__xludf.DUMMYFUNCTION("""COMPUTED_VALUE"""),620400)</f>
        <v>620400</v>
      </c>
      <c r="I2134" s="1"/>
    </row>
    <row r="2135" spans="1:9">
      <c r="A2135" s="3">
        <f ca="1">IFERROR(__xludf.DUMMYFUNCTION("""COMPUTED_VALUE"""),32303.6666666666)</f>
        <v>32303.666666666599</v>
      </c>
      <c r="B2135" s="1">
        <f ca="1">IFERROR(__xludf.DUMMYFUNCTION("""COMPUTED_VALUE"""),4.97)</f>
        <v>4.97</v>
      </c>
      <c r="C2135" s="1">
        <f ca="1">IFERROR(__xludf.DUMMYFUNCTION("""COMPUTED_VALUE"""),5.04)</f>
        <v>5.04</v>
      </c>
      <c r="D2135" s="1">
        <f ca="1">IFERROR(__xludf.DUMMYFUNCTION("""COMPUTED_VALUE"""),4.97)</f>
        <v>4.97</v>
      </c>
      <c r="E2135" s="1">
        <f ca="1">IFERROR(__xludf.DUMMYFUNCTION("""COMPUTED_VALUE"""),4.97)</f>
        <v>4.97</v>
      </c>
      <c r="F2135" s="1">
        <f ca="1">IFERROR(__xludf.DUMMYFUNCTION("""COMPUTED_VALUE"""),468900)</f>
        <v>468900</v>
      </c>
      <c r="I2135" s="1"/>
    </row>
    <row r="2136" spans="1:9">
      <c r="A2136" s="3">
        <f ca="1">IFERROR(__xludf.DUMMYFUNCTION("""COMPUTED_VALUE"""),32304.6666666666)</f>
        <v>32304.666666666599</v>
      </c>
      <c r="B2136" s="1">
        <f ca="1">IFERROR(__xludf.DUMMYFUNCTION("""COMPUTED_VALUE"""),4.84)</f>
        <v>4.84</v>
      </c>
      <c r="C2136" s="1">
        <f ca="1">IFERROR(__xludf.DUMMYFUNCTION("""COMPUTED_VALUE"""),4.98)</f>
        <v>4.9800000000000004</v>
      </c>
      <c r="D2136" s="1">
        <f ca="1">IFERROR(__xludf.DUMMYFUNCTION("""COMPUTED_VALUE"""),4.84)</f>
        <v>4.84</v>
      </c>
      <c r="E2136" s="1">
        <f ca="1">IFERROR(__xludf.DUMMYFUNCTION("""COMPUTED_VALUE"""),4.84)</f>
        <v>4.84</v>
      </c>
      <c r="F2136" s="1">
        <f ca="1">IFERROR(__xludf.DUMMYFUNCTION("""COMPUTED_VALUE"""),553600)</f>
        <v>553600</v>
      </c>
      <c r="I2136" s="1"/>
    </row>
    <row r="2137" spans="1:9">
      <c r="A2137" s="3">
        <f ca="1">IFERROR(__xludf.DUMMYFUNCTION("""COMPUTED_VALUE"""),32307.6666666666)</f>
        <v>32307.666666666599</v>
      </c>
      <c r="B2137" s="1">
        <f ca="1">IFERROR(__xludf.DUMMYFUNCTION("""COMPUTED_VALUE"""),4.95)</f>
        <v>4.95</v>
      </c>
      <c r="C2137" s="1">
        <f ca="1">IFERROR(__xludf.DUMMYFUNCTION("""COMPUTED_VALUE"""),4.95)</f>
        <v>4.95</v>
      </c>
      <c r="D2137" s="1">
        <f ca="1">IFERROR(__xludf.DUMMYFUNCTION("""COMPUTED_VALUE"""),4.89)</f>
        <v>4.8899999999999997</v>
      </c>
      <c r="E2137" s="1">
        <f ca="1">IFERROR(__xludf.DUMMYFUNCTION("""COMPUTED_VALUE"""),4.95)</f>
        <v>4.95</v>
      </c>
      <c r="F2137" s="1">
        <f ca="1">IFERROR(__xludf.DUMMYFUNCTION("""COMPUTED_VALUE"""),447100)</f>
        <v>447100</v>
      </c>
      <c r="I2137" s="1"/>
    </row>
    <row r="2138" spans="1:9">
      <c r="A2138" s="3">
        <f ca="1">IFERROR(__xludf.DUMMYFUNCTION("""COMPUTED_VALUE"""),32308.6666666666)</f>
        <v>32308.666666666599</v>
      </c>
      <c r="B2138" s="1">
        <f ca="1">IFERROR(__xludf.DUMMYFUNCTION("""COMPUTED_VALUE"""),5.05)</f>
        <v>5.05</v>
      </c>
      <c r="C2138" s="1">
        <f ca="1">IFERROR(__xludf.DUMMYFUNCTION("""COMPUTED_VALUE"""),5.09)</f>
        <v>5.09</v>
      </c>
      <c r="D2138" s="1">
        <f ca="1">IFERROR(__xludf.DUMMYFUNCTION("""COMPUTED_VALUE"""),5.02)</f>
        <v>5.0199999999999996</v>
      </c>
      <c r="E2138" s="1">
        <f ca="1">IFERROR(__xludf.DUMMYFUNCTION("""COMPUTED_VALUE"""),5.05)</f>
        <v>5.05</v>
      </c>
      <c r="F2138" s="1">
        <f ca="1">IFERROR(__xludf.DUMMYFUNCTION("""COMPUTED_VALUE"""),743300)</f>
        <v>743300</v>
      </c>
      <c r="I2138" s="1"/>
    </row>
    <row r="2139" spans="1:9">
      <c r="A2139" s="3">
        <f ca="1">IFERROR(__xludf.DUMMYFUNCTION("""COMPUTED_VALUE"""),32309.6666666666)</f>
        <v>32309.666666666599</v>
      </c>
      <c r="B2139" s="1">
        <f ca="1">IFERROR(__xludf.DUMMYFUNCTION("""COMPUTED_VALUE"""),5.11)</f>
        <v>5.1100000000000003</v>
      </c>
      <c r="C2139" s="1">
        <f ca="1">IFERROR(__xludf.DUMMYFUNCTION("""COMPUTED_VALUE"""),5.11)</f>
        <v>5.1100000000000003</v>
      </c>
      <c r="D2139" s="1">
        <f ca="1">IFERROR(__xludf.DUMMYFUNCTION("""COMPUTED_VALUE"""),5.04)</f>
        <v>5.04</v>
      </c>
      <c r="E2139" s="1">
        <f ca="1">IFERROR(__xludf.DUMMYFUNCTION("""COMPUTED_VALUE"""),5.11)</f>
        <v>5.1100000000000003</v>
      </c>
      <c r="F2139" s="1">
        <f ca="1">IFERROR(__xludf.DUMMYFUNCTION("""COMPUTED_VALUE"""),283000)</f>
        <v>283000</v>
      </c>
      <c r="I2139" s="1"/>
    </row>
    <row r="2140" spans="1:9">
      <c r="A2140" s="3">
        <f ca="1">IFERROR(__xludf.DUMMYFUNCTION("""COMPUTED_VALUE"""),32310.6666666666)</f>
        <v>32310.666666666599</v>
      </c>
      <c r="B2140" s="1">
        <f ca="1">IFERROR(__xludf.DUMMYFUNCTION("""COMPUTED_VALUE"""),5.01)</f>
        <v>5.01</v>
      </c>
      <c r="C2140" s="1">
        <f ca="1">IFERROR(__xludf.DUMMYFUNCTION("""COMPUTED_VALUE"""),5.08)</f>
        <v>5.08</v>
      </c>
      <c r="D2140" s="1">
        <f ca="1">IFERROR(__xludf.DUMMYFUNCTION("""COMPUTED_VALUE"""),4.98)</f>
        <v>4.9800000000000004</v>
      </c>
      <c r="E2140" s="1">
        <f ca="1">IFERROR(__xludf.DUMMYFUNCTION("""COMPUTED_VALUE"""),5.01)</f>
        <v>5.01</v>
      </c>
      <c r="F2140" s="1">
        <f ca="1">IFERROR(__xludf.DUMMYFUNCTION("""COMPUTED_VALUE"""),372600)</f>
        <v>372600</v>
      </c>
      <c r="I2140" s="1"/>
    </row>
    <row r="2141" spans="1:9">
      <c r="A2141" s="3">
        <f ca="1">IFERROR(__xludf.DUMMYFUNCTION("""COMPUTED_VALUE"""),32311.6666666666)</f>
        <v>32311.666666666599</v>
      </c>
      <c r="B2141" s="1">
        <f ca="1">IFERROR(__xludf.DUMMYFUNCTION("""COMPUTED_VALUE"""),5.06)</f>
        <v>5.0599999999999996</v>
      </c>
      <c r="C2141" s="1">
        <f ca="1">IFERROR(__xludf.DUMMYFUNCTION("""COMPUTED_VALUE"""),5.08)</f>
        <v>5.08</v>
      </c>
      <c r="D2141" s="1">
        <f ca="1">IFERROR(__xludf.DUMMYFUNCTION("""COMPUTED_VALUE"""),4.98)</f>
        <v>4.9800000000000004</v>
      </c>
      <c r="E2141" s="1">
        <f ca="1">IFERROR(__xludf.DUMMYFUNCTION("""COMPUTED_VALUE"""),5.06)</f>
        <v>5.0599999999999996</v>
      </c>
      <c r="F2141" s="1">
        <f ca="1">IFERROR(__xludf.DUMMYFUNCTION("""COMPUTED_VALUE"""),920500)</f>
        <v>920500</v>
      </c>
      <c r="I2141" s="1"/>
    </row>
    <row r="2142" spans="1:9">
      <c r="A2142" s="3">
        <f ca="1">IFERROR(__xludf.DUMMYFUNCTION("""COMPUTED_VALUE"""),32314.6666666666)</f>
        <v>32314.666666666599</v>
      </c>
      <c r="B2142" s="1">
        <f ca="1">IFERROR(__xludf.DUMMYFUNCTION("""COMPUTED_VALUE"""),5.02)</f>
        <v>5.0199999999999996</v>
      </c>
      <c r="C2142" s="1">
        <f ca="1">IFERROR(__xludf.DUMMYFUNCTION("""COMPUTED_VALUE"""),5.05)</f>
        <v>5.05</v>
      </c>
      <c r="D2142" s="1">
        <f ca="1">IFERROR(__xludf.DUMMYFUNCTION("""COMPUTED_VALUE"""),4.98)</f>
        <v>4.9800000000000004</v>
      </c>
      <c r="E2142" s="1">
        <f ca="1">IFERROR(__xludf.DUMMYFUNCTION("""COMPUTED_VALUE"""),5.02)</f>
        <v>5.0199999999999996</v>
      </c>
      <c r="F2142" s="1">
        <f ca="1">IFERROR(__xludf.DUMMYFUNCTION("""COMPUTED_VALUE"""),1357800)</f>
        <v>1357800</v>
      </c>
      <c r="I2142" s="1"/>
    </row>
    <row r="2143" spans="1:9">
      <c r="A2143" s="3">
        <f ca="1">IFERROR(__xludf.DUMMYFUNCTION("""COMPUTED_VALUE"""),32315.6666666666)</f>
        <v>32315.666666666599</v>
      </c>
      <c r="B2143" s="1">
        <f ca="1">IFERROR(__xludf.DUMMYFUNCTION("""COMPUTED_VALUE"""),5.03)</f>
        <v>5.03</v>
      </c>
      <c r="C2143" s="1">
        <f ca="1">IFERROR(__xludf.DUMMYFUNCTION("""COMPUTED_VALUE"""),5.06)</f>
        <v>5.0599999999999996</v>
      </c>
      <c r="D2143" s="1">
        <f ca="1">IFERROR(__xludf.DUMMYFUNCTION("""COMPUTED_VALUE"""),4.97)</f>
        <v>4.97</v>
      </c>
      <c r="E2143" s="1">
        <f ca="1">IFERROR(__xludf.DUMMYFUNCTION("""COMPUTED_VALUE"""),5.03)</f>
        <v>5.03</v>
      </c>
      <c r="F2143" s="1">
        <f ca="1">IFERROR(__xludf.DUMMYFUNCTION("""COMPUTED_VALUE"""),405400)</f>
        <v>405400</v>
      </c>
      <c r="I2143" s="1"/>
    </row>
    <row r="2144" spans="1:9">
      <c r="A2144" s="3">
        <f ca="1">IFERROR(__xludf.DUMMYFUNCTION("""COMPUTED_VALUE"""),32316.6666666666)</f>
        <v>32316.666666666599</v>
      </c>
      <c r="B2144" s="1">
        <f ca="1">IFERROR(__xludf.DUMMYFUNCTION("""COMPUTED_VALUE"""),4.96)</f>
        <v>4.96</v>
      </c>
      <c r="C2144" s="1">
        <f ca="1">IFERROR(__xludf.DUMMYFUNCTION("""COMPUTED_VALUE"""),5.06)</f>
        <v>5.0599999999999996</v>
      </c>
      <c r="D2144" s="1">
        <f ca="1">IFERROR(__xludf.DUMMYFUNCTION("""COMPUTED_VALUE"""),4.95)</f>
        <v>4.95</v>
      </c>
      <c r="E2144" s="1">
        <f ca="1">IFERROR(__xludf.DUMMYFUNCTION("""COMPUTED_VALUE"""),4.96)</f>
        <v>4.96</v>
      </c>
      <c r="F2144" s="1">
        <f ca="1">IFERROR(__xludf.DUMMYFUNCTION("""COMPUTED_VALUE"""),821400)</f>
        <v>821400</v>
      </c>
      <c r="I2144" s="1"/>
    </row>
    <row r="2145" spans="1:9">
      <c r="A2145" s="3">
        <f ca="1">IFERROR(__xludf.DUMMYFUNCTION("""COMPUTED_VALUE"""),32317.6666666666)</f>
        <v>32317.666666666599</v>
      </c>
      <c r="B2145" s="1">
        <f ca="1">IFERROR(__xludf.DUMMYFUNCTION("""COMPUTED_VALUE"""),4.98)</f>
        <v>4.9800000000000004</v>
      </c>
      <c r="C2145" s="1">
        <f ca="1">IFERROR(__xludf.DUMMYFUNCTION("""COMPUTED_VALUE"""),4.99)</f>
        <v>4.99</v>
      </c>
      <c r="D2145" s="1">
        <f ca="1">IFERROR(__xludf.DUMMYFUNCTION("""COMPUTED_VALUE"""),4.95)</f>
        <v>4.95</v>
      </c>
      <c r="E2145" s="1">
        <f ca="1">IFERROR(__xludf.DUMMYFUNCTION("""COMPUTED_VALUE"""),4.98)</f>
        <v>4.9800000000000004</v>
      </c>
      <c r="F2145" s="1">
        <f ca="1">IFERROR(__xludf.DUMMYFUNCTION("""COMPUTED_VALUE"""),259200)</f>
        <v>259200</v>
      </c>
      <c r="I2145" s="1"/>
    </row>
    <row r="2146" spans="1:9">
      <c r="A2146" s="3">
        <f ca="1">IFERROR(__xludf.DUMMYFUNCTION("""COMPUTED_VALUE"""),32318.6666666666)</f>
        <v>32318.666666666599</v>
      </c>
      <c r="B2146" s="1">
        <f ca="1">IFERROR(__xludf.DUMMYFUNCTION("""COMPUTED_VALUE"""),4.93)</f>
        <v>4.93</v>
      </c>
      <c r="C2146" s="1">
        <f ca="1">IFERROR(__xludf.DUMMYFUNCTION("""COMPUTED_VALUE"""),4.98)</f>
        <v>4.9800000000000004</v>
      </c>
      <c r="D2146" s="1">
        <f ca="1">IFERROR(__xludf.DUMMYFUNCTION("""COMPUTED_VALUE"""),4.91)</f>
        <v>4.91</v>
      </c>
      <c r="E2146" s="1">
        <f ca="1">IFERROR(__xludf.DUMMYFUNCTION("""COMPUTED_VALUE"""),4.93)</f>
        <v>4.93</v>
      </c>
      <c r="F2146" s="1">
        <f ca="1">IFERROR(__xludf.DUMMYFUNCTION("""COMPUTED_VALUE"""),240100)</f>
        <v>240100</v>
      </c>
      <c r="I2146" s="1"/>
    </row>
    <row r="2147" spans="1:9">
      <c r="A2147" s="3">
        <f ca="1">IFERROR(__xludf.DUMMYFUNCTION("""COMPUTED_VALUE"""),32321.6666666666)</f>
        <v>32321.666666666599</v>
      </c>
      <c r="B2147" s="1">
        <f ca="1">IFERROR(__xludf.DUMMYFUNCTION("""COMPUTED_VALUE"""),4.8)</f>
        <v>4.8</v>
      </c>
      <c r="C2147" s="1">
        <f ca="1">IFERROR(__xludf.DUMMYFUNCTION("""COMPUTED_VALUE"""),4.91)</f>
        <v>4.91</v>
      </c>
      <c r="D2147" s="1">
        <f ca="1">IFERROR(__xludf.DUMMYFUNCTION("""COMPUTED_VALUE"""),4.8)</f>
        <v>4.8</v>
      </c>
      <c r="E2147" s="1">
        <f ca="1">IFERROR(__xludf.DUMMYFUNCTION("""COMPUTED_VALUE"""),4.8)</f>
        <v>4.8</v>
      </c>
      <c r="F2147" s="1">
        <f ca="1">IFERROR(__xludf.DUMMYFUNCTION("""COMPUTED_VALUE"""),345600)</f>
        <v>345600</v>
      </c>
      <c r="I2147" s="1"/>
    </row>
    <row r="2148" spans="1:9">
      <c r="A2148" s="3">
        <f ca="1">IFERROR(__xludf.DUMMYFUNCTION("""COMPUTED_VALUE"""),32322.6666666666)</f>
        <v>32322.666666666599</v>
      </c>
      <c r="B2148" s="1">
        <f ca="1">IFERROR(__xludf.DUMMYFUNCTION("""COMPUTED_VALUE"""),4.85)</f>
        <v>4.8499999999999996</v>
      </c>
      <c r="C2148" s="1">
        <f ca="1">IFERROR(__xludf.DUMMYFUNCTION("""COMPUTED_VALUE"""),4.88)</f>
        <v>4.88</v>
      </c>
      <c r="D2148" s="1">
        <f ca="1">IFERROR(__xludf.DUMMYFUNCTION("""COMPUTED_VALUE"""),4.82)</f>
        <v>4.82</v>
      </c>
      <c r="E2148" s="1">
        <f ca="1">IFERROR(__xludf.DUMMYFUNCTION("""COMPUTED_VALUE"""),4.85)</f>
        <v>4.8499999999999996</v>
      </c>
      <c r="F2148" s="1">
        <f ca="1">IFERROR(__xludf.DUMMYFUNCTION("""COMPUTED_VALUE"""),282600)</f>
        <v>282600</v>
      </c>
      <c r="I2148" s="1"/>
    </row>
    <row r="2149" spans="1:9">
      <c r="A2149" s="3">
        <f ca="1">IFERROR(__xludf.DUMMYFUNCTION("""COMPUTED_VALUE"""),32323.6666666666)</f>
        <v>32323.666666666599</v>
      </c>
      <c r="B2149" s="1">
        <f ca="1">IFERROR(__xludf.DUMMYFUNCTION("""COMPUTED_VALUE"""),4.86)</f>
        <v>4.8600000000000003</v>
      </c>
      <c r="C2149" s="1">
        <f ca="1">IFERROR(__xludf.DUMMYFUNCTION("""COMPUTED_VALUE"""),4.91)</f>
        <v>4.91</v>
      </c>
      <c r="D2149" s="1">
        <f ca="1">IFERROR(__xludf.DUMMYFUNCTION("""COMPUTED_VALUE"""),4.83)</f>
        <v>4.83</v>
      </c>
      <c r="E2149" s="1">
        <f ca="1">IFERROR(__xludf.DUMMYFUNCTION("""COMPUTED_VALUE"""),4.86)</f>
        <v>4.8600000000000003</v>
      </c>
      <c r="F2149" s="1">
        <f ca="1">IFERROR(__xludf.DUMMYFUNCTION("""COMPUTED_VALUE"""),259600)</f>
        <v>259600</v>
      </c>
      <c r="I2149" s="1"/>
    </row>
    <row r="2150" spans="1:9">
      <c r="A2150" s="3">
        <f ca="1">IFERROR(__xludf.DUMMYFUNCTION("""COMPUTED_VALUE"""),32324.6666666666)</f>
        <v>32324.666666666599</v>
      </c>
      <c r="B2150" s="1">
        <f ca="1">IFERROR(__xludf.DUMMYFUNCTION("""COMPUTED_VALUE"""),4.96)</f>
        <v>4.96</v>
      </c>
      <c r="C2150" s="1">
        <f ca="1">IFERROR(__xludf.DUMMYFUNCTION("""COMPUTED_VALUE"""),4.96)</f>
        <v>4.96</v>
      </c>
      <c r="D2150" s="1">
        <f ca="1">IFERROR(__xludf.DUMMYFUNCTION("""COMPUTED_VALUE"""),4.91)</f>
        <v>4.91</v>
      </c>
      <c r="E2150" s="1">
        <f ca="1">IFERROR(__xludf.DUMMYFUNCTION("""COMPUTED_VALUE"""),4.96)</f>
        <v>4.96</v>
      </c>
      <c r="F2150" s="1">
        <f ca="1">IFERROR(__xludf.DUMMYFUNCTION("""COMPUTED_VALUE"""),299600)</f>
        <v>299600</v>
      </c>
      <c r="I2150" s="1"/>
    </row>
    <row r="2151" spans="1:9">
      <c r="A2151" s="3">
        <f ca="1">IFERROR(__xludf.DUMMYFUNCTION("""COMPUTED_VALUE"""),32325.6666666666)</f>
        <v>32325.666666666599</v>
      </c>
      <c r="B2151" s="1">
        <f ca="1">IFERROR(__xludf.DUMMYFUNCTION("""COMPUTED_VALUE"""),4.94)</f>
        <v>4.9400000000000004</v>
      </c>
      <c r="C2151" s="1">
        <f ca="1">IFERROR(__xludf.DUMMYFUNCTION("""COMPUTED_VALUE"""),4.97)</f>
        <v>4.97</v>
      </c>
      <c r="D2151" s="1">
        <f ca="1">IFERROR(__xludf.DUMMYFUNCTION("""COMPUTED_VALUE"""),4.92)</f>
        <v>4.92</v>
      </c>
      <c r="E2151" s="1">
        <f ca="1">IFERROR(__xludf.DUMMYFUNCTION("""COMPUTED_VALUE"""),4.94)</f>
        <v>4.9400000000000004</v>
      </c>
      <c r="F2151" s="1">
        <f ca="1">IFERROR(__xludf.DUMMYFUNCTION("""COMPUTED_VALUE"""),211900)</f>
        <v>211900</v>
      </c>
      <c r="I2151" s="1"/>
    </row>
    <row r="2152" spans="1:9">
      <c r="A2152" s="3">
        <f ca="1">IFERROR(__xludf.DUMMYFUNCTION("""COMPUTED_VALUE"""),32329.6666666666)</f>
        <v>32329.666666666599</v>
      </c>
      <c r="B2152" s="1">
        <f ca="1">IFERROR(__xludf.DUMMYFUNCTION("""COMPUTED_VALUE"""),4.98)</f>
        <v>4.9800000000000004</v>
      </c>
      <c r="C2152" s="1">
        <f ca="1">IFERROR(__xludf.DUMMYFUNCTION("""COMPUTED_VALUE"""),4.98)</f>
        <v>4.9800000000000004</v>
      </c>
      <c r="D2152" s="1">
        <f ca="1">IFERROR(__xludf.DUMMYFUNCTION("""COMPUTED_VALUE"""),4.91)</f>
        <v>4.91</v>
      </c>
      <c r="E2152" s="1">
        <f ca="1">IFERROR(__xludf.DUMMYFUNCTION("""COMPUTED_VALUE"""),4.98)</f>
        <v>4.9800000000000004</v>
      </c>
      <c r="F2152" s="1">
        <f ca="1">IFERROR(__xludf.DUMMYFUNCTION("""COMPUTED_VALUE"""),300900)</f>
        <v>300900</v>
      </c>
      <c r="I2152" s="1"/>
    </row>
    <row r="2153" spans="1:9">
      <c r="A2153" s="3">
        <f ca="1">IFERROR(__xludf.DUMMYFUNCTION("""COMPUTED_VALUE"""),32330.6666666666)</f>
        <v>32330.666666666599</v>
      </c>
      <c r="B2153" s="1">
        <f ca="1">IFERROR(__xludf.DUMMYFUNCTION("""COMPUTED_VALUE"""),4.88)</f>
        <v>4.88</v>
      </c>
      <c r="C2153" s="1">
        <f ca="1">IFERROR(__xludf.DUMMYFUNCTION("""COMPUTED_VALUE"""),4.99)</f>
        <v>4.99</v>
      </c>
      <c r="D2153" s="1">
        <f ca="1">IFERROR(__xludf.DUMMYFUNCTION("""COMPUTED_VALUE"""),4.82)</f>
        <v>4.82</v>
      </c>
      <c r="E2153" s="1">
        <f ca="1">IFERROR(__xludf.DUMMYFUNCTION("""COMPUTED_VALUE"""),4.88)</f>
        <v>4.88</v>
      </c>
      <c r="F2153" s="1">
        <f ca="1">IFERROR(__xludf.DUMMYFUNCTION("""COMPUTED_VALUE"""),406300)</f>
        <v>406300</v>
      </c>
      <c r="I2153" s="1"/>
    </row>
    <row r="2154" spans="1:9">
      <c r="A2154" s="3">
        <f ca="1">IFERROR(__xludf.DUMMYFUNCTION("""COMPUTED_VALUE"""),32331.6666666666)</f>
        <v>32331.666666666599</v>
      </c>
      <c r="B2154" s="1">
        <f ca="1">IFERROR(__xludf.DUMMYFUNCTION("""COMPUTED_VALUE"""),4.84)</f>
        <v>4.84</v>
      </c>
      <c r="C2154" s="1">
        <f ca="1">IFERROR(__xludf.DUMMYFUNCTION("""COMPUTED_VALUE"""),4.88)</f>
        <v>4.88</v>
      </c>
      <c r="D2154" s="1">
        <f ca="1">IFERROR(__xludf.DUMMYFUNCTION("""COMPUTED_VALUE"""),4.81)</f>
        <v>4.8099999999999996</v>
      </c>
      <c r="E2154" s="1">
        <f ca="1">IFERROR(__xludf.DUMMYFUNCTION("""COMPUTED_VALUE"""),4.84)</f>
        <v>4.84</v>
      </c>
      <c r="F2154" s="1">
        <f ca="1">IFERROR(__xludf.DUMMYFUNCTION("""COMPUTED_VALUE"""),594200)</f>
        <v>594200</v>
      </c>
      <c r="I2154" s="1"/>
    </row>
    <row r="2155" spans="1:9">
      <c r="A2155" s="3">
        <f ca="1">IFERROR(__xludf.DUMMYFUNCTION("""COMPUTED_VALUE"""),32332.6666666666)</f>
        <v>32332.666666666599</v>
      </c>
      <c r="B2155" s="1">
        <f ca="1">IFERROR(__xludf.DUMMYFUNCTION("""COMPUTED_VALUE"""),4.83)</f>
        <v>4.83</v>
      </c>
      <c r="C2155" s="1">
        <f ca="1">IFERROR(__xludf.DUMMYFUNCTION("""COMPUTED_VALUE"""),4.86)</f>
        <v>4.8600000000000003</v>
      </c>
      <c r="D2155" s="1">
        <f ca="1">IFERROR(__xludf.DUMMYFUNCTION("""COMPUTED_VALUE"""),4.82)</f>
        <v>4.82</v>
      </c>
      <c r="E2155" s="1">
        <f ca="1">IFERROR(__xludf.DUMMYFUNCTION("""COMPUTED_VALUE"""),4.83)</f>
        <v>4.83</v>
      </c>
      <c r="F2155" s="1">
        <f ca="1">IFERROR(__xludf.DUMMYFUNCTION("""COMPUTED_VALUE"""),340900)</f>
        <v>340900</v>
      </c>
      <c r="I2155" s="1"/>
    </row>
    <row r="2156" spans="1:9">
      <c r="A2156" s="3">
        <f ca="1">IFERROR(__xludf.DUMMYFUNCTION("""COMPUTED_VALUE"""),32335.6666666666)</f>
        <v>32335.666666666599</v>
      </c>
      <c r="B2156" s="1">
        <f ca="1">IFERROR(__xludf.DUMMYFUNCTION("""COMPUTED_VALUE"""),4.91)</f>
        <v>4.91</v>
      </c>
      <c r="C2156" s="1">
        <f ca="1">IFERROR(__xludf.DUMMYFUNCTION("""COMPUTED_VALUE"""),4.92)</f>
        <v>4.92</v>
      </c>
      <c r="D2156" s="1">
        <f ca="1">IFERROR(__xludf.DUMMYFUNCTION("""COMPUTED_VALUE"""),4.84)</f>
        <v>4.84</v>
      </c>
      <c r="E2156" s="1">
        <f ca="1">IFERROR(__xludf.DUMMYFUNCTION("""COMPUTED_VALUE"""),4.91)</f>
        <v>4.91</v>
      </c>
      <c r="F2156" s="1">
        <f ca="1">IFERROR(__xludf.DUMMYFUNCTION("""COMPUTED_VALUE"""),230400)</f>
        <v>230400</v>
      </c>
      <c r="I2156" s="1"/>
    </row>
    <row r="2157" spans="1:9">
      <c r="A2157" s="3">
        <f ca="1">IFERROR(__xludf.DUMMYFUNCTION("""COMPUTED_VALUE"""),32336.6666666666)</f>
        <v>32336.666666666599</v>
      </c>
      <c r="B2157" s="1">
        <f ca="1">IFERROR(__xludf.DUMMYFUNCTION("""COMPUTED_VALUE"""),4.88)</f>
        <v>4.88</v>
      </c>
      <c r="C2157" s="1">
        <f ca="1">IFERROR(__xludf.DUMMYFUNCTION("""COMPUTED_VALUE"""),4.93)</f>
        <v>4.93</v>
      </c>
      <c r="D2157" s="1">
        <f ca="1">IFERROR(__xludf.DUMMYFUNCTION("""COMPUTED_VALUE"""),4.87)</f>
        <v>4.87</v>
      </c>
      <c r="E2157" s="1">
        <f ca="1">IFERROR(__xludf.DUMMYFUNCTION("""COMPUTED_VALUE"""),4.88)</f>
        <v>4.88</v>
      </c>
      <c r="F2157" s="1">
        <f ca="1">IFERROR(__xludf.DUMMYFUNCTION("""COMPUTED_VALUE"""),352700)</f>
        <v>352700</v>
      </c>
      <c r="I2157" s="1"/>
    </row>
    <row r="2158" spans="1:9">
      <c r="A2158" s="3">
        <f ca="1">IFERROR(__xludf.DUMMYFUNCTION("""COMPUTED_VALUE"""),32337.6666666666)</f>
        <v>32337.666666666599</v>
      </c>
      <c r="B2158" s="1">
        <f ca="1">IFERROR(__xludf.DUMMYFUNCTION("""COMPUTED_VALUE"""),4.96)</f>
        <v>4.96</v>
      </c>
      <c r="C2158" s="1">
        <f ca="1">IFERROR(__xludf.DUMMYFUNCTION("""COMPUTED_VALUE"""),4.96)</f>
        <v>4.96</v>
      </c>
      <c r="D2158" s="1">
        <f ca="1">IFERROR(__xludf.DUMMYFUNCTION("""COMPUTED_VALUE"""),4.88)</f>
        <v>4.88</v>
      </c>
      <c r="E2158" s="1">
        <f ca="1">IFERROR(__xludf.DUMMYFUNCTION("""COMPUTED_VALUE"""),4.96)</f>
        <v>4.96</v>
      </c>
      <c r="F2158" s="1">
        <f ca="1">IFERROR(__xludf.DUMMYFUNCTION("""COMPUTED_VALUE"""),448800)</f>
        <v>448800</v>
      </c>
      <c r="I2158" s="1"/>
    </row>
    <row r="2159" spans="1:9">
      <c r="A2159" s="3">
        <f ca="1">IFERROR(__xludf.DUMMYFUNCTION("""COMPUTED_VALUE"""),32338.6666666666)</f>
        <v>32338.666666666599</v>
      </c>
      <c r="B2159" s="1">
        <f ca="1">IFERROR(__xludf.DUMMYFUNCTION("""COMPUTED_VALUE"""),4.99)</f>
        <v>4.99</v>
      </c>
      <c r="C2159" s="1">
        <f ca="1">IFERROR(__xludf.DUMMYFUNCTION("""COMPUTED_VALUE"""),5)</f>
        <v>5</v>
      </c>
      <c r="D2159" s="1">
        <f ca="1">IFERROR(__xludf.DUMMYFUNCTION("""COMPUTED_VALUE"""),4.95)</f>
        <v>4.95</v>
      </c>
      <c r="E2159" s="1">
        <f ca="1">IFERROR(__xludf.DUMMYFUNCTION("""COMPUTED_VALUE"""),4.99)</f>
        <v>4.99</v>
      </c>
      <c r="F2159" s="1">
        <f ca="1">IFERROR(__xludf.DUMMYFUNCTION("""COMPUTED_VALUE"""),243500)</f>
        <v>243500</v>
      </c>
      <c r="I2159" s="1"/>
    </row>
    <row r="2160" spans="1:9">
      <c r="A2160" s="3">
        <f ca="1">IFERROR(__xludf.DUMMYFUNCTION("""COMPUTED_VALUE"""),32339.6666666666)</f>
        <v>32339.666666666599</v>
      </c>
      <c r="B2160" s="1">
        <f ca="1">IFERROR(__xludf.DUMMYFUNCTION("""COMPUTED_VALUE"""),4.97)</f>
        <v>4.97</v>
      </c>
      <c r="C2160" s="1">
        <f ca="1">IFERROR(__xludf.DUMMYFUNCTION("""COMPUTED_VALUE"""),4.99)</f>
        <v>4.99</v>
      </c>
      <c r="D2160" s="1">
        <f ca="1">IFERROR(__xludf.DUMMYFUNCTION("""COMPUTED_VALUE"""),4.91)</f>
        <v>4.91</v>
      </c>
      <c r="E2160" s="1">
        <f ca="1">IFERROR(__xludf.DUMMYFUNCTION("""COMPUTED_VALUE"""),4.97)</f>
        <v>4.97</v>
      </c>
      <c r="F2160" s="1">
        <f ca="1">IFERROR(__xludf.DUMMYFUNCTION("""COMPUTED_VALUE"""),583700)</f>
        <v>583700</v>
      </c>
      <c r="I2160" s="1"/>
    </row>
    <row r="2161" spans="1:9">
      <c r="A2161" s="3">
        <f ca="1">IFERROR(__xludf.DUMMYFUNCTION("""COMPUTED_VALUE"""),32342.6666666666)</f>
        <v>32342.666666666599</v>
      </c>
      <c r="B2161" s="1">
        <f ca="1">IFERROR(__xludf.DUMMYFUNCTION("""COMPUTED_VALUE"""),4.94)</f>
        <v>4.9400000000000004</v>
      </c>
      <c r="C2161" s="1">
        <f ca="1">IFERROR(__xludf.DUMMYFUNCTION("""COMPUTED_VALUE"""),4.95)</f>
        <v>4.95</v>
      </c>
      <c r="D2161" s="1">
        <f ca="1">IFERROR(__xludf.DUMMYFUNCTION("""COMPUTED_VALUE"""),4.91)</f>
        <v>4.91</v>
      </c>
      <c r="E2161" s="1">
        <f ca="1">IFERROR(__xludf.DUMMYFUNCTION("""COMPUTED_VALUE"""),4.94)</f>
        <v>4.9400000000000004</v>
      </c>
      <c r="F2161" s="1">
        <f ca="1">IFERROR(__xludf.DUMMYFUNCTION("""COMPUTED_VALUE"""),251400)</f>
        <v>251400</v>
      </c>
      <c r="I2161" s="1"/>
    </row>
    <row r="2162" spans="1:9">
      <c r="A2162" s="3">
        <f ca="1">IFERROR(__xludf.DUMMYFUNCTION("""COMPUTED_VALUE"""),32343.6666666666)</f>
        <v>32343.666666666599</v>
      </c>
      <c r="B2162" s="1">
        <f ca="1">IFERROR(__xludf.DUMMYFUNCTION("""COMPUTED_VALUE"""),4.94)</f>
        <v>4.9400000000000004</v>
      </c>
      <c r="C2162" s="1">
        <f ca="1">IFERROR(__xludf.DUMMYFUNCTION("""COMPUTED_VALUE"""),4.95)</f>
        <v>4.95</v>
      </c>
      <c r="D2162" s="1">
        <f ca="1">IFERROR(__xludf.DUMMYFUNCTION("""COMPUTED_VALUE"""),4.89)</f>
        <v>4.8899999999999997</v>
      </c>
      <c r="E2162" s="1">
        <f ca="1">IFERROR(__xludf.DUMMYFUNCTION("""COMPUTED_VALUE"""),4.94)</f>
        <v>4.9400000000000004</v>
      </c>
      <c r="F2162" s="1">
        <f ca="1">IFERROR(__xludf.DUMMYFUNCTION("""COMPUTED_VALUE"""),288300)</f>
        <v>288300</v>
      </c>
      <c r="I2162" s="1"/>
    </row>
    <row r="2163" spans="1:9">
      <c r="A2163" s="3">
        <f ca="1">IFERROR(__xludf.DUMMYFUNCTION("""COMPUTED_VALUE"""),32344.6666666666)</f>
        <v>32344.666666666599</v>
      </c>
      <c r="B2163" s="1">
        <f ca="1">IFERROR(__xludf.DUMMYFUNCTION("""COMPUTED_VALUE"""),4.98)</f>
        <v>4.9800000000000004</v>
      </c>
      <c r="C2163" s="1">
        <f ca="1">IFERROR(__xludf.DUMMYFUNCTION("""COMPUTED_VALUE"""),4.99)</f>
        <v>4.99</v>
      </c>
      <c r="D2163" s="1">
        <f ca="1">IFERROR(__xludf.DUMMYFUNCTION("""COMPUTED_VALUE"""),4.92)</f>
        <v>4.92</v>
      </c>
      <c r="E2163" s="1">
        <f ca="1">IFERROR(__xludf.DUMMYFUNCTION("""COMPUTED_VALUE"""),4.98)</f>
        <v>4.9800000000000004</v>
      </c>
      <c r="F2163" s="1">
        <f ca="1">IFERROR(__xludf.DUMMYFUNCTION("""COMPUTED_VALUE"""),292000)</f>
        <v>292000</v>
      </c>
      <c r="I2163" s="1"/>
    </row>
    <row r="2164" spans="1:9">
      <c r="A2164" s="3">
        <f ca="1">IFERROR(__xludf.DUMMYFUNCTION("""COMPUTED_VALUE"""),32345.6666666666)</f>
        <v>32345.666666666599</v>
      </c>
      <c r="B2164" s="1">
        <f ca="1">IFERROR(__xludf.DUMMYFUNCTION("""COMPUTED_VALUE"""),4.91)</f>
        <v>4.91</v>
      </c>
      <c r="C2164" s="1">
        <f ca="1">IFERROR(__xludf.DUMMYFUNCTION("""COMPUTED_VALUE"""),4.96)</f>
        <v>4.96</v>
      </c>
      <c r="D2164" s="1">
        <f ca="1">IFERROR(__xludf.DUMMYFUNCTION("""COMPUTED_VALUE"""),4.91)</f>
        <v>4.91</v>
      </c>
      <c r="E2164" s="1">
        <f ca="1">IFERROR(__xludf.DUMMYFUNCTION("""COMPUTED_VALUE"""),4.91)</f>
        <v>4.91</v>
      </c>
      <c r="F2164" s="1">
        <f ca="1">IFERROR(__xludf.DUMMYFUNCTION("""COMPUTED_VALUE"""),220700)</f>
        <v>220700</v>
      </c>
      <c r="I2164" s="1"/>
    </row>
    <row r="2165" spans="1:9">
      <c r="A2165" s="3">
        <f ca="1">IFERROR(__xludf.DUMMYFUNCTION("""COMPUTED_VALUE"""),32346.6666666666)</f>
        <v>32346.666666666599</v>
      </c>
      <c r="B2165" s="1">
        <f ca="1">IFERROR(__xludf.DUMMYFUNCTION("""COMPUTED_VALUE"""),4.84)</f>
        <v>4.84</v>
      </c>
      <c r="C2165" s="1">
        <f ca="1">IFERROR(__xludf.DUMMYFUNCTION("""COMPUTED_VALUE"""),4.9)</f>
        <v>4.9000000000000004</v>
      </c>
      <c r="D2165" s="1">
        <f ca="1">IFERROR(__xludf.DUMMYFUNCTION("""COMPUTED_VALUE"""),4.83)</f>
        <v>4.83</v>
      </c>
      <c r="E2165" s="1">
        <f ca="1">IFERROR(__xludf.DUMMYFUNCTION("""COMPUTED_VALUE"""),4.84)</f>
        <v>4.84</v>
      </c>
      <c r="F2165" s="1">
        <f ca="1">IFERROR(__xludf.DUMMYFUNCTION("""COMPUTED_VALUE"""),269600)</f>
        <v>269600</v>
      </c>
      <c r="I2165" s="1"/>
    </row>
    <row r="2166" spans="1:9">
      <c r="A2166" s="3">
        <f ca="1">IFERROR(__xludf.DUMMYFUNCTION("""COMPUTED_VALUE"""),32349.6666666666)</f>
        <v>32349.666666666599</v>
      </c>
      <c r="B2166" s="1">
        <f ca="1">IFERROR(__xludf.DUMMYFUNCTION("""COMPUTED_VALUE"""),4.86)</f>
        <v>4.8600000000000003</v>
      </c>
      <c r="C2166" s="1">
        <f ca="1">IFERROR(__xludf.DUMMYFUNCTION("""COMPUTED_VALUE"""),4.88)</f>
        <v>4.88</v>
      </c>
      <c r="D2166" s="1">
        <f ca="1">IFERROR(__xludf.DUMMYFUNCTION("""COMPUTED_VALUE"""),4.79)</f>
        <v>4.79</v>
      </c>
      <c r="E2166" s="1">
        <f ca="1">IFERROR(__xludf.DUMMYFUNCTION("""COMPUTED_VALUE"""),4.86)</f>
        <v>4.8600000000000003</v>
      </c>
      <c r="F2166" s="1">
        <f ca="1">IFERROR(__xludf.DUMMYFUNCTION("""COMPUTED_VALUE"""),318700)</f>
        <v>318700</v>
      </c>
      <c r="I2166" s="1"/>
    </row>
    <row r="2167" spans="1:9">
      <c r="A2167" s="3">
        <f ca="1">IFERROR(__xludf.DUMMYFUNCTION("""COMPUTED_VALUE"""),32350.6666666666)</f>
        <v>32350.666666666599</v>
      </c>
      <c r="B2167" s="1">
        <f ca="1">IFERROR(__xludf.DUMMYFUNCTION("""COMPUTED_VALUE"""),4.84)</f>
        <v>4.84</v>
      </c>
      <c r="C2167" s="1">
        <f ca="1">IFERROR(__xludf.DUMMYFUNCTION("""COMPUTED_VALUE"""),4.88)</f>
        <v>4.88</v>
      </c>
      <c r="D2167" s="1">
        <f ca="1">IFERROR(__xludf.DUMMYFUNCTION("""COMPUTED_VALUE"""),4.81)</f>
        <v>4.8099999999999996</v>
      </c>
      <c r="E2167" s="1">
        <f ca="1">IFERROR(__xludf.DUMMYFUNCTION("""COMPUTED_VALUE"""),4.84)</f>
        <v>4.84</v>
      </c>
      <c r="F2167" s="1">
        <f ca="1">IFERROR(__xludf.DUMMYFUNCTION("""COMPUTED_VALUE"""),247600)</f>
        <v>247600</v>
      </c>
      <c r="I2167" s="1"/>
    </row>
    <row r="2168" spans="1:9">
      <c r="A2168" s="3">
        <f ca="1">IFERROR(__xludf.DUMMYFUNCTION("""COMPUTED_VALUE"""),32351.6666666666)</f>
        <v>32351.666666666599</v>
      </c>
      <c r="B2168" s="1">
        <f ca="1">IFERROR(__xludf.DUMMYFUNCTION("""COMPUTED_VALUE"""),4.77)</f>
        <v>4.7699999999999996</v>
      </c>
      <c r="C2168" s="1">
        <f ca="1">IFERROR(__xludf.DUMMYFUNCTION("""COMPUTED_VALUE"""),4.86)</f>
        <v>4.8600000000000003</v>
      </c>
      <c r="D2168" s="1">
        <f ca="1">IFERROR(__xludf.DUMMYFUNCTION("""COMPUTED_VALUE"""),4.77)</f>
        <v>4.7699999999999996</v>
      </c>
      <c r="E2168" s="1">
        <f ca="1">IFERROR(__xludf.DUMMYFUNCTION("""COMPUTED_VALUE"""),4.77)</f>
        <v>4.7699999999999996</v>
      </c>
      <c r="F2168" s="1">
        <f ca="1">IFERROR(__xludf.DUMMYFUNCTION("""COMPUTED_VALUE"""),258700)</f>
        <v>258700</v>
      </c>
      <c r="I2168" s="1"/>
    </row>
    <row r="2169" spans="1:9">
      <c r="A2169" s="3">
        <f ca="1">IFERROR(__xludf.DUMMYFUNCTION("""COMPUTED_VALUE"""),32352.6666666666)</f>
        <v>32352.666666666599</v>
      </c>
      <c r="B2169" s="1">
        <f ca="1">IFERROR(__xludf.DUMMYFUNCTION("""COMPUTED_VALUE"""),4.83)</f>
        <v>4.83</v>
      </c>
      <c r="C2169" s="1">
        <f ca="1">IFERROR(__xludf.DUMMYFUNCTION("""COMPUTED_VALUE"""),4.84)</f>
        <v>4.84</v>
      </c>
      <c r="D2169" s="1">
        <f ca="1">IFERROR(__xludf.DUMMYFUNCTION("""COMPUTED_VALUE"""),4.75)</f>
        <v>4.75</v>
      </c>
      <c r="E2169" s="1">
        <f ca="1">IFERROR(__xludf.DUMMYFUNCTION("""COMPUTED_VALUE"""),4.83)</f>
        <v>4.83</v>
      </c>
      <c r="F2169" s="1">
        <f ca="1">IFERROR(__xludf.DUMMYFUNCTION("""COMPUTED_VALUE"""),465100)</f>
        <v>465100</v>
      </c>
      <c r="I2169" s="1"/>
    </row>
    <row r="2170" spans="1:9">
      <c r="A2170" s="3">
        <f ca="1">IFERROR(__xludf.DUMMYFUNCTION("""COMPUTED_VALUE"""),32353.6666666666)</f>
        <v>32353.666666666599</v>
      </c>
      <c r="B2170" s="1">
        <f ca="1">IFERROR(__xludf.DUMMYFUNCTION("""COMPUTED_VALUE"""),5)</f>
        <v>5</v>
      </c>
      <c r="C2170" s="1">
        <f ca="1">IFERROR(__xludf.DUMMYFUNCTION("""COMPUTED_VALUE"""),5.02)</f>
        <v>5.0199999999999996</v>
      </c>
      <c r="D2170" s="1">
        <f ca="1">IFERROR(__xludf.DUMMYFUNCTION("""COMPUTED_VALUE"""),4.84)</f>
        <v>4.84</v>
      </c>
      <c r="E2170" s="1">
        <f ca="1">IFERROR(__xludf.DUMMYFUNCTION("""COMPUTED_VALUE"""),5)</f>
        <v>5</v>
      </c>
      <c r="F2170" s="1">
        <f ca="1">IFERROR(__xludf.DUMMYFUNCTION("""COMPUTED_VALUE"""),441000)</f>
        <v>441000</v>
      </c>
      <c r="I2170" s="1"/>
    </row>
    <row r="2171" spans="1:9">
      <c r="A2171" s="3">
        <f ca="1">IFERROR(__xludf.DUMMYFUNCTION("""COMPUTED_VALUE"""),32356.6666666666)</f>
        <v>32356.666666666599</v>
      </c>
      <c r="B2171" s="1">
        <f ca="1">IFERROR(__xludf.DUMMYFUNCTION("""COMPUTED_VALUE"""),5.04)</f>
        <v>5.04</v>
      </c>
      <c r="C2171" s="1">
        <f ca="1">IFERROR(__xludf.DUMMYFUNCTION("""COMPUTED_VALUE"""),5.07)</f>
        <v>5.07</v>
      </c>
      <c r="D2171" s="1">
        <f ca="1">IFERROR(__xludf.DUMMYFUNCTION("""COMPUTED_VALUE"""),5)</f>
        <v>5</v>
      </c>
      <c r="E2171" s="1">
        <f ca="1">IFERROR(__xludf.DUMMYFUNCTION("""COMPUTED_VALUE"""),5.04)</f>
        <v>5.04</v>
      </c>
      <c r="F2171" s="1">
        <f ca="1">IFERROR(__xludf.DUMMYFUNCTION("""COMPUTED_VALUE"""),381100)</f>
        <v>381100</v>
      </c>
      <c r="I2171" s="1"/>
    </row>
    <row r="2172" spans="1:9">
      <c r="A2172" s="3">
        <f ca="1">IFERROR(__xludf.DUMMYFUNCTION("""COMPUTED_VALUE"""),32357.6666666666)</f>
        <v>32357.666666666599</v>
      </c>
      <c r="B2172" s="1">
        <f ca="1">IFERROR(__xludf.DUMMYFUNCTION("""COMPUTED_VALUE"""),5.05)</f>
        <v>5.05</v>
      </c>
      <c r="C2172" s="1">
        <f ca="1">IFERROR(__xludf.DUMMYFUNCTION("""COMPUTED_VALUE"""),5.08)</f>
        <v>5.08</v>
      </c>
      <c r="D2172" s="1">
        <f ca="1">IFERROR(__xludf.DUMMYFUNCTION("""COMPUTED_VALUE"""),5.02)</f>
        <v>5.0199999999999996</v>
      </c>
      <c r="E2172" s="1">
        <f ca="1">IFERROR(__xludf.DUMMYFUNCTION("""COMPUTED_VALUE"""),5.05)</f>
        <v>5.05</v>
      </c>
      <c r="F2172" s="1">
        <f ca="1">IFERROR(__xludf.DUMMYFUNCTION("""COMPUTED_VALUE"""),367400)</f>
        <v>367400</v>
      </c>
      <c r="I2172" s="1"/>
    </row>
    <row r="2173" spans="1:9">
      <c r="A2173" s="3">
        <f ca="1">IFERROR(__xludf.DUMMYFUNCTION("""COMPUTED_VALUE"""),32358.6666666666)</f>
        <v>32358.666666666599</v>
      </c>
      <c r="B2173" s="1">
        <f ca="1">IFERROR(__xludf.DUMMYFUNCTION("""COMPUTED_VALUE"""),5.12)</f>
        <v>5.12</v>
      </c>
      <c r="C2173" s="1">
        <f ca="1">IFERROR(__xludf.DUMMYFUNCTION("""COMPUTED_VALUE"""),5.13)</f>
        <v>5.13</v>
      </c>
      <c r="D2173" s="1">
        <f ca="1">IFERROR(__xludf.DUMMYFUNCTION("""COMPUTED_VALUE"""),5.05)</f>
        <v>5.05</v>
      </c>
      <c r="E2173" s="1">
        <f ca="1">IFERROR(__xludf.DUMMYFUNCTION("""COMPUTED_VALUE"""),5.12)</f>
        <v>5.12</v>
      </c>
      <c r="F2173" s="1">
        <f ca="1">IFERROR(__xludf.DUMMYFUNCTION("""COMPUTED_VALUE"""),588800)</f>
        <v>588800</v>
      </c>
      <c r="I2173" s="1"/>
    </row>
    <row r="2174" spans="1:9">
      <c r="A2174" s="3">
        <f ca="1">IFERROR(__xludf.DUMMYFUNCTION("""COMPUTED_VALUE"""),32359.6666666666)</f>
        <v>32359.666666666599</v>
      </c>
      <c r="B2174" s="1">
        <f ca="1">IFERROR(__xludf.DUMMYFUNCTION("""COMPUTED_VALUE"""),5.05)</f>
        <v>5.05</v>
      </c>
      <c r="C2174" s="1">
        <f ca="1">IFERROR(__xludf.DUMMYFUNCTION("""COMPUTED_VALUE"""),5.15)</f>
        <v>5.15</v>
      </c>
      <c r="D2174" s="1">
        <f ca="1">IFERROR(__xludf.DUMMYFUNCTION("""COMPUTED_VALUE"""),5.05)</f>
        <v>5.05</v>
      </c>
      <c r="E2174" s="1">
        <f ca="1">IFERROR(__xludf.DUMMYFUNCTION("""COMPUTED_VALUE"""),5.05)</f>
        <v>5.05</v>
      </c>
      <c r="F2174" s="1">
        <f ca="1">IFERROR(__xludf.DUMMYFUNCTION("""COMPUTED_VALUE"""),362500)</f>
        <v>362500</v>
      </c>
      <c r="I2174" s="1"/>
    </row>
    <row r="2175" spans="1:9">
      <c r="A2175" s="3">
        <f ca="1">IFERROR(__xludf.DUMMYFUNCTION("""COMPUTED_VALUE"""),32360.6666666666)</f>
        <v>32360.666666666599</v>
      </c>
      <c r="B2175" s="1">
        <f ca="1">IFERROR(__xludf.DUMMYFUNCTION("""COMPUTED_VALUE"""),5.05)</f>
        <v>5.05</v>
      </c>
      <c r="C2175" s="1">
        <f ca="1">IFERROR(__xludf.DUMMYFUNCTION("""COMPUTED_VALUE"""),5.05)</f>
        <v>5.05</v>
      </c>
      <c r="D2175" s="1">
        <f ca="1">IFERROR(__xludf.DUMMYFUNCTION("""COMPUTED_VALUE"""),5.02)</f>
        <v>5.0199999999999996</v>
      </c>
      <c r="E2175" s="1">
        <f ca="1">IFERROR(__xludf.DUMMYFUNCTION("""COMPUTED_VALUE"""),5.05)</f>
        <v>5.05</v>
      </c>
      <c r="F2175" s="1">
        <f ca="1">IFERROR(__xludf.DUMMYFUNCTION("""COMPUTED_VALUE"""),132200)</f>
        <v>132200</v>
      </c>
      <c r="I2175" s="1"/>
    </row>
    <row r="2176" spans="1:9">
      <c r="A2176" s="3">
        <f ca="1">IFERROR(__xludf.DUMMYFUNCTION("""COMPUTED_VALUE"""),32363.6666666666)</f>
        <v>32363.666666666599</v>
      </c>
      <c r="B2176" s="1">
        <f ca="1">IFERROR(__xludf.DUMMYFUNCTION("""COMPUTED_VALUE"""),5.07)</f>
        <v>5.07</v>
      </c>
      <c r="C2176" s="1">
        <f ca="1">IFERROR(__xludf.DUMMYFUNCTION("""COMPUTED_VALUE"""),5.13)</f>
        <v>5.13</v>
      </c>
      <c r="D2176" s="1">
        <f ca="1">IFERROR(__xludf.DUMMYFUNCTION("""COMPUTED_VALUE"""),5.04)</f>
        <v>5.04</v>
      </c>
      <c r="E2176" s="1">
        <f ca="1">IFERROR(__xludf.DUMMYFUNCTION("""COMPUTED_VALUE"""),5.07)</f>
        <v>5.07</v>
      </c>
      <c r="F2176" s="1">
        <f ca="1">IFERROR(__xludf.DUMMYFUNCTION("""COMPUTED_VALUE"""),382900)</f>
        <v>382900</v>
      </c>
      <c r="I2176" s="1"/>
    </row>
    <row r="2177" spans="1:9">
      <c r="A2177" s="3">
        <f ca="1">IFERROR(__xludf.DUMMYFUNCTION("""COMPUTED_VALUE"""),32364.6666666666)</f>
        <v>32364.666666666599</v>
      </c>
      <c r="B2177" s="1">
        <f ca="1">IFERROR(__xludf.DUMMYFUNCTION("""COMPUTED_VALUE"""),5.03)</f>
        <v>5.03</v>
      </c>
      <c r="C2177" s="1">
        <f ca="1">IFERROR(__xludf.DUMMYFUNCTION("""COMPUTED_VALUE"""),5.07)</f>
        <v>5.07</v>
      </c>
      <c r="D2177" s="1">
        <f ca="1">IFERROR(__xludf.DUMMYFUNCTION("""COMPUTED_VALUE"""),4.98)</f>
        <v>4.9800000000000004</v>
      </c>
      <c r="E2177" s="1">
        <f ca="1">IFERROR(__xludf.DUMMYFUNCTION("""COMPUTED_VALUE"""),5.03)</f>
        <v>5.03</v>
      </c>
      <c r="F2177" s="1">
        <f ca="1">IFERROR(__xludf.DUMMYFUNCTION("""COMPUTED_VALUE"""),433100)</f>
        <v>433100</v>
      </c>
      <c r="I2177" s="1"/>
    </row>
    <row r="2178" spans="1:9">
      <c r="A2178" s="3">
        <f ca="1">IFERROR(__xludf.DUMMYFUNCTION("""COMPUTED_VALUE"""),32365.6666666666)</f>
        <v>32365.666666666599</v>
      </c>
      <c r="B2178" s="1">
        <f ca="1">IFERROR(__xludf.DUMMYFUNCTION("""COMPUTED_VALUE"""),4.98)</f>
        <v>4.9800000000000004</v>
      </c>
      <c r="C2178" s="1">
        <f ca="1">IFERROR(__xludf.DUMMYFUNCTION("""COMPUTED_VALUE"""),5.05)</f>
        <v>5.05</v>
      </c>
      <c r="D2178" s="1">
        <f ca="1">IFERROR(__xludf.DUMMYFUNCTION("""COMPUTED_VALUE"""),4.98)</f>
        <v>4.9800000000000004</v>
      </c>
      <c r="E2178" s="1">
        <f ca="1">IFERROR(__xludf.DUMMYFUNCTION("""COMPUTED_VALUE"""),4.98)</f>
        <v>4.9800000000000004</v>
      </c>
      <c r="F2178" s="1">
        <f ca="1">IFERROR(__xludf.DUMMYFUNCTION("""COMPUTED_VALUE"""),486300)</f>
        <v>486300</v>
      </c>
      <c r="I2178" s="1"/>
    </row>
    <row r="2179" spans="1:9">
      <c r="A2179" s="3">
        <f ca="1">IFERROR(__xludf.DUMMYFUNCTION("""COMPUTED_VALUE"""),32366.6666666666)</f>
        <v>32366.666666666599</v>
      </c>
      <c r="B2179" s="1">
        <f ca="1">IFERROR(__xludf.DUMMYFUNCTION("""COMPUTED_VALUE"""),4.98)</f>
        <v>4.9800000000000004</v>
      </c>
      <c r="C2179" s="1">
        <f ca="1">IFERROR(__xludf.DUMMYFUNCTION("""COMPUTED_VALUE"""),5)</f>
        <v>5</v>
      </c>
      <c r="D2179" s="1">
        <f ca="1">IFERROR(__xludf.DUMMYFUNCTION("""COMPUTED_VALUE"""),4.95)</f>
        <v>4.95</v>
      </c>
      <c r="E2179" s="1">
        <f ca="1">IFERROR(__xludf.DUMMYFUNCTION("""COMPUTED_VALUE"""),4.98)</f>
        <v>4.9800000000000004</v>
      </c>
      <c r="F2179" s="1">
        <f ca="1">IFERROR(__xludf.DUMMYFUNCTION("""COMPUTED_VALUE"""),265000)</f>
        <v>265000</v>
      </c>
      <c r="I2179" s="1"/>
    </row>
    <row r="2180" spans="1:9">
      <c r="A2180" s="3">
        <f ca="1">IFERROR(__xludf.DUMMYFUNCTION("""COMPUTED_VALUE"""),32367.6666666666)</f>
        <v>32367.666666666599</v>
      </c>
      <c r="B2180" s="1">
        <f ca="1">IFERROR(__xludf.DUMMYFUNCTION("""COMPUTED_VALUE"""),4.98)</f>
        <v>4.9800000000000004</v>
      </c>
      <c r="C2180" s="1">
        <f ca="1">IFERROR(__xludf.DUMMYFUNCTION("""COMPUTED_VALUE"""),5.01)</f>
        <v>5.01</v>
      </c>
      <c r="D2180" s="1">
        <f ca="1">IFERROR(__xludf.DUMMYFUNCTION("""COMPUTED_VALUE"""),4.96)</f>
        <v>4.96</v>
      </c>
      <c r="E2180" s="1">
        <f ca="1">IFERROR(__xludf.DUMMYFUNCTION("""COMPUTED_VALUE"""),4.98)</f>
        <v>4.9800000000000004</v>
      </c>
      <c r="F2180" s="1">
        <f ca="1">IFERROR(__xludf.DUMMYFUNCTION("""COMPUTED_VALUE"""),218800)</f>
        <v>218800</v>
      </c>
      <c r="I2180" s="1"/>
    </row>
    <row r="2181" spans="1:9">
      <c r="A2181" s="3">
        <f ca="1">IFERROR(__xludf.DUMMYFUNCTION("""COMPUTED_VALUE"""),32370.6666666666)</f>
        <v>32370.666666666599</v>
      </c>
      <c r="B2181" s="1">
        <f ca="1">IFERROR(__xludf.DUMMYFUNCTION("""COMPUTED_VALUE"""),4.97)</f>
        <v>4.97</v>
      </c>
      <c r="C2181" s="1">
        <f ca="1">IFERROR(__xludf.DUMMYFUNCTION("""COMPUTED_VALUE"""),5.02)</f>
        <v>5.0199999999999996</v>
      </c>
      <c r="D2181" s="1">
        <f ca="1">IFERROR(__xludf.DUMMYFUNCTION("""COMPUTED_VALUE"""),4.97)</f>
        <v>4.97</v>
      </c>
      <c r="E2181" s="1">
        <f ca="1">IFERROR(__xludf.DUMMYFUNCTION("""COMPUTED_VALUE"""),4.97)</f>
        <v>4.97</v>
      </c>
      <c r="F2181" s="1">
        <f ca="1">IFERROR(__xludf.DUMMYFUNCTION("""COMPUTED_VALUE"""),211100)</f>
        <v>211100</v>
      </c>
      <c r="I2181" s="1"/>
    </row>
    <row r="2182" spans="1:9">
      <c r="A2182" s="3">
        <f ca="1">IFERROR(__xludf.DUMMYFUNCTION("""COMPUTED_VALUE"""),32371.6666666666)</f>
        <v>32371.666666666599</v>
      </c>
      <c r="B2182" s="1">
        <f ca="1">IFERROR(__xludf.DUMMYFUNCTION("""COMPUTED_VALUE"""),4.98)</f>
        <v>4.9800000000000004</v>
      </c>
      <c r="C2182" s="1">
        <f ca="1">IFERROR(__xludf.DUMMYFUNCTION("""COMPUTED_VALUE"""),5.05)</f>
        <v>5.05</v>
      </c>
      <c r="D2182" s="1">
        <f ca="1">IFERROR(__xludf.DUMMYFUNCTION("""COMPUTED_VALUE"""),4.92)</f>
        <v>4.92</v>
      </c>
      <c r="E2182" s="1">
        <f ca="1">IFERROR(__xludf.DUMMYFUNCTION("""COMPUTED_VALUE"""),4.98)</f>
        <v>4.9800000000000004</v>
      </c>
      <c r="F2182" s="1">
        <f ca="1">IFERROR(__xludf.DUMMYFUNCTION("""COMPUTED_VALUE"""),514200)</f>
        <v>514200</v>
      </c>
      <c r="I2182" s="1"/>
    </row>
    <row r="2183" spans="1:9">
      <c r="A2183" s="3">
        <f ca="1">IFERROR(__xludf.DUMMYFUNCTION("""COMPUTED_VALUE"""),32372.6666666666)</f>
        <v>32372.666666666599</v>
      </c>
      <c r="B2183" s="1">
        <f ca="1">IFERROR(__xludf.DUMMYFUNCTION("""COMPUTED_VALUE"""),5.03)</f>
        <v>5.03</v>
      </c>
      <c r="C2183" s="1">
        <f ca="1">IFERROR(__xludf.DUMMYFUNCTION("""COMPUTED_VALUE"""),5.03)</f>
        <v>5.03</v>
      </c>
      <c r="D2183" s="1">
        <f ca="1">IFERROR(__xludf.DUMMYFUNCTION("""COMPUTED_VALUE"""),4.97)</f>
        <v>4.97</v>
      </c>
      <c r="E2183" s="1">
        <f ca="1">IFERROR(__xludf.DUMMYFUNCTION("""COMPUTED_VALUE"""),5.03)</f>
        <v>5.03</v>
      </c>
      <c r="F2183" s="1">
        <f ca="1">IFERROR(__xludf.DUMMYFUNCTION("""COMPUTED_VALUE"""),335800)</f>
        <v>335800</v>
      </c>
      <c r="I2183" s="1"/>
    </row>
    <row r="2184" spans="1:9">
      <c r="A2184" s="3">
        <f ca="1">IFERROR(__xludf.DUMMYFUNCTION("""COMPUTED_VALUE"""),32373.6666666666)</f>
        <v>32373.666666666599</v>
      </c>
      <c r="B2184" s="1">
        <f ca="1">IFERROR(__xludf.DUMMYFUNCTION("""COMPUTED_VALUE"""),5.05)</f>
        <v>5.05</v>
      </c>
      <c r="C2184" s="1">
        <f ca="1">IFERROR(__xludf.DUMMYFUNCTION("""COMPUTED_VALUE"""),5.06)</f>
        <v>5.0599999999999996</v>
      </c>
      <c r="D2184" s="1">
        <f ca="1">IFERROR(__xludf.DUMMYFUNCTION("""COMPUTED_VALUE"""),5)</f>
        <v>5</v>
      </c>
      <c r="E2184" s="1">
        <f ca="1">IFERROR(__xludf.DUMMYFUNCTION("""COMPUTED_VALUE"""),5.05)</f>
        <v>5.05</v>
      </c>
      <c r="F2184" s="1">
        <f ca="1">IFERROR(__xludf.DUMMYFUNCTION("""COMPUTED_VALUE"""),284200)</f>
        <v>284200</v>
      </c>
      <c r="I2184" s="1"/>
    </row>
    <row r="2185" spans="1:9">
      <c r="A2185" s="3">
        <f ca="1">IFERROR(__xludf.DUMMYFUNCTION("""COMPUTED_VALUE"""),32374.6666666666)</f>
        <v>32374.666666666599</v>
      </c>
      <c r="B2185" s="1">
        <f ca="1">IFERROR(__xludf.DUMMYFUNCTION("""COMPUTED_VALUE"""),5)</f>
        <v>5</v>
      </c>
      <c r="C2185" s="1">
        <f ca="1">IFERROR(__xludf.DUMMYFUNCTION("""COMPUTED_VALUE"""),5.1)</f>
        <v>5.0999999999999996</v>
      </c>
      <c r="D2185" s="1">
        <f ca="1">IFERROR(__xludf.DUMMYFUNCTION("""COMPUTED_VALUE"""),4.97)</f>
        <v>4.97</v>
      </c>
      <c r="E2185" s="1">
        <f ca="1">IFERROR(__xludf.DUMMYFUNCTION("""COMPUTED_VALUE"""),5)</f>
        <v>5</v>
      </c>
      <c r="F2185" s="1">
        <f ca="1">IFERROR(__xludf.DUMMYFUNCTION("""COMPUTED_VALUE"""),444500)</f>
        <v>444500</v>
      </c>
      <c r="I2185" s="1"/>
    </row>
    <row r="2186" spans="1:9">
      <c r="A2186" s="3">
        <f ca="1">IFERROR(__xludf.DUMMYFUNCTION("""COMPUTED_VALUE"""),32377.6666666666)</f>
        <v>32377.666666666599</v>
      </c>
      <c r="B2186" s="1">
        <f ca="1">IFERROR(__xludf.DUMMYFUNCTION("""COMPUTED_VALUE"""),4.97)</f>
        <v>4.97</v>
      </c>
      <c r="C2186" s="1">
        <f ca="1">IFERROR(__xludf.DUMMYFUNCTION("""COMPUTED_VALUE"""),5)</f>
        <v>5</v>
      </c>
      <c r="D2186" s="1">
        <f ca="1">IFERROR(__xludf.DUMMYFUNCTION("""COMPUTED_VALUE"""),4.95)</f>
        <v>4.95</v>
      </c>
      <c r="E2186" s="1">
        <f ca="1">IFERROR(__xludf.DUMMYFUNCTION("""COMPUTED_VALUE"""),4.97)</f>
        <v>4.97</v>
      </c>
      <c r="F2186" s="1">
        <f ca="1">IFERROR(__xludf.DUMMYFUNCTION("""COMPUTED_VALUE"""),354700)</f>
        <v>354700</v>
      </c>
      <c r="I2186" s="1"/>
    </row>
    <row r="2187" spans="1:9">
      <c r="A2187" s="3">
        <f ca="1">IFERROR(__xludf.DUMMYFUNCTION("""COMPUTED_VALUE"""),32378.6666666666)</f>
        <v>32378.666666666599</v>
      </c>
      <c r="B2187" s="1">
        <f ca="1">IFERROR(__xludf.DUMMYFUNCTION("""COMPUTED_VALUE"""),5)</f>
        <v>5</v>
      </c>
      <c r="C2187" s="1">
        <f ca="1">IFERROR(__xludf.DUMMYFUNCTION("""COMPUTED_VALUE"""),5.02)</f>
        <v>5.0199999999999996</v>
      </c>
      <c r="D2187" s="1">
        <f ca="1">IFERROR(__xludf.DUMMYFUNCTION("""COMPUTED_VALUE"""),4.95)</f>
        <v>4.95</v>
      </c>
      <c r="E2187" s="1">
        <f ca="1">IFERROR(__xludf.DUMMYFUNCTION("""COMPUTED_VALUE"""),5)</f>
        <v>5</v>
      </c>
      <c r="F2187" s="1">
        <f ca="1">IFERROR(__xludf.DUMMYFUNCTION("""COMPUTED_VALUE"""),285500)</f>
        <v>285500</v>
      </c>
      <c r="I2187" s="1"/>
    </row>
    <row r="2188" spans="1:9">
      <c r="A2188" s="3">
        <f ca="1">IFERROR(__xludf.DUMMYFUNCTION("""COMPUTED_VALUE"""),32379.6666666666)</f>
        <v>32379.666666666599</v>
      </c>
      <c r="B2188" s="1">
        <f ca="1">IFERROR(__xludf.DUMMYFUNCTION("""COMPUTED_VALUE"""),5.06)</f>
        <v>5.0599999999999996</v>
      </c>
      <c r="C2188" s="1">
        <f ca="1">IFERROR(__xludf.DUMMYFUNCTION("""COMPUTED_VALUE"""),5.09)</f>
        <v>5.09</v>
      </c>
      <c r="D2188" s="1">
        <f ca="1">IFERROR(__xludf.DUMMYFUNCTION("""COMPUTED_VALUE"""),4.98)</f>
        <v>4.9800000000000004</v>
      </c>
      <c r="E2188" s="1">
        <f ca="1">IFERROR(__xludf.DUMMYFUNCTION("""COMPUTED_VALUE"""),5.06)</f>
        <v>5.0599999999999996</v>
      </c>
      <c r="F2188" s="1">
        <f ca="1">IFERROR(__xludf.DUMMYFUNCTION("""COMPUTED_VALUE"""),353700)</f>
        <v>353700</v>
      </c>
      <c r="I2188" s="1"/>
    </row>
    <row r="2189" spans="1:9">
      <c r="A2189" s="3">
        <f ca="1">IFERROR(__xludf.DUMMYFUNCTION("""COMPUTED_VALUE"""),32380.6666666666)</f>
        <v>32380.666666666599</v>
      </c>
      <c r="B2189" s="1">
        <f ca="1">IFERROR(__xludf.DUMMYFUNCTION("""COMPUTED_VALUE"""),5.11)</f>
        <v>5.1100000000000003</v>
      </c>
      <c r="C2189" s="1">
        <f ca="1">IFERROR(__xludf.DUMMYFUNCTION("""COMPUTED_VALUE"""),5.12)</f>
        <v>5.12</v>
      </c>
      <c r="D2189" s="1">
        <f ca="1">IFERROR(__xludf.DUMMYFUNCTION("""COMPUTED_VALUE"""),5.03)</f>
        <v>5.03</v>
      </c>
      <c r="E2189" s="1">
        <f ca="1">IFERROR(__xludf.DUMMYFUNCTION("""COMPUTED_VALUE"""),5.11)</f>
        <v>5.1100000000000003</v>
      </c>
      <c r="F2189" s="1">
        <f ca="1">IFERROR(__xludf.DUMMYFUNCTION("""COMPUTED_VALUE"""),301700)</f>
        <v>301700</v>
      </c>
      <c r="I2189" s="1"/>
    </row>
    <row r="2190" spans="1:9">
      <c r="A2190" s="3">
        <f ca="1">IFERROR(__xludf.DUMMYFUNCTION("""COMPUTED_VALUE"""),32381.6666666666)</f>
        <v>32381.666666666599</v>
      </c>
      <c r="B2190" s="1">
        <f ca="1">IFERROR(__xludf.DUMMYFUNCTION("""COMPUTED_VALUE"""),5.05)</f>
        <v>5.05</v>
      </c>
      <c r="C2190" s="1">
        <f ca="1">IFERROR(__xludf.DUMMYFUNCTION("""COMPUTED_VALUE"""),5.11)</f>
        <v>5.1100000000000003</v>
      </c>
      <c r="D2190" s="1">
        <f ca="1">IFERROR(__xludf.DUMMYFUNCTION("""COMPUTED_VALUE"""),5.05)</f>
        <v>5.05</v>
      </c>
      <c r="E2190" s="1">
        <f ca="1">IFERROR(__xludf.DUMMYFUNCTION("""COMPUTED_VALUE"""),5.05)</f>
        <v>5.05</v>
      </c>
      <c r="F2190" s="1">
        <f ca="1">IFERROR(__xludf.DUMMYFUNCTION("""COMPUTED_VALUE"""),178700)</f>
        <v>178700</v>
      </c>
      <c r="I2190" s="1"/>
    </row>
    <row r="2191" spans="1:9">
      <c r="A2191" s="3">
        <f ca="1">IFERROR(__xludf.DUMMYFUNCTION("""COMPUTED_VALUE"""),32384.6666666666)</f>
        <v>32384.666666666599</v>
      </c>
      <c r="B2191" s="1">
        <f ca="1">IFERROR(__xludf.DUMMYFUNCTION("""COMPUTED_VALUE"""),5.08)</f>
        <v>5.08</v>
      </c>
      <c r="C2191" s="1">
        <f ca="1">IFERROR(__xludf.DUMMYFUNCTION("""COMPUTED_VALUE"""),5.09)</f>
        <v>5.09</v>
      </c>
      <c r="D2191" s="1">
        <f ca="1">IFERROR(__xludf.DUMMYFUNCTION("""COMPUTED_VALUE"""),5.06)</f>
        <v>5.0599999999999996</v>
      </c>
      <c r="E2191" s="1">
        <f ca="1">IFERROR(__xludf.DUMMYFUNCTION("""COMPUTED_VALUE"""),5.08)</f>
        <v>5.08</v>
      </c>
      <c r="F2191" s="1">
        <f ca="1">IFERROR(__xludf.DUMMYFUNCTION("""COMPUTED_VALUE"""),270100)</f>
        <v>270100</v>
      </c>
      <c r="I2191" s="1"/>
    </row>
    <row r="2192" spans="1:9">
      <c r="A2192" s="3">
        <f ca="1">IFERROR(__xludf.DUMMYFUNCTION("""COMPUTED_VALUE"""),32385.6666666666)</f>
        <v>32385.666666666599</v>
      </c>
      <c r="B2192" s="1">
        <f ca="1">IFERROR(__xludf.DUMMYFUNCTION("""COMPUTED_VALUE"""),5.05)</f>
        <v>5.05</v>
      </c>
      <c r="C2192" s="1">
        <f ca="1">IFERROR(__xludf.DUMMYFUNCTION("""COMPUTED_VALUE"""),5.08)</f>
        <v>5.08</v>
      </c>
      <c r="D2192" s="1">
        <f ca="1">IFERROR(__xludf.DUMMYFUNCTION("""COMPUTED_VALUE"""),5.04)</f>
        <v>5.04</v>
      </c>
      <c r="E2192" s="1">
        <f ca="1">IFERROR(__xludf.DUMMYFUNCTION("""COMPUTED_VALUE"""),5.05)</f>
        <v>5.05</v>
      </c>
      <c r="F2192" s="1">
        <f ca="1">IFERROR(__xludf.DUMMYFUNCTION("""COMPUTED_VALUE"""),186100)</f>
        <v>186100</v>
      </c>
      <c r="I2192" s="1"/>
    </row>
    <row r="2193" spans="1:9">
      <c r="A2193" s="3">
        <f ca="1">IFERROR(__xludf.DUMMYFUNCTION("""COMPUTED_VALUE"""),32386.6666666666)</f>
        <v>32386.666666666599</v>
      </c>
      <c r="B2193" s="1">
        <f ca="1">IFERROR(__xludf.DUMMYFUNCTION("""COMPUTED_VALUE"""),5.06)</f>
        <v>5.0599999999999996</v>
      </c>
      <c r="C2193" s="1">
        <f ca="1">IFERROR(__xludf.DUMMYFUNCTION("""COMPUTED_VALUE"""),5.08)</f>
        <v>5.08</v>
      </c>
      <c r="D2193" s="1">
        <f ca="1">IFERROR(__xludf.DUMMYFUNCTION("""COMPUTED_VALUE"""),5.04)</f>
        <v>5.04</v>
      </c>
      <c r="E2193" s="1">
        <f ca="1">IFERROR(__xludf.DUMMYFUNCTION("""COMPUTED_VALUE"""),5.06)</f>
        <v>5.0599999999999996</v>
      </c>
      <c r="F2193" s="1">
        <f ca="1">IFERROR(__xludf.DUMMYFUNCTION("""COMPUTED_VALUE"""),180900)</f>
        <v>180900</v>
      </c>
      <c r="I2193" s="1"/>
    </row>
    <row r="2194" spans="1:9">
      <c r="A2194" s="3">
        <f ca="1">IFERROR(__xludf.DUMMYFUNCTION("""COMPUTED_VALUE"""),32387.6666666666)</f>
        <v>32387.666666666599</v>
      </c>
      <c r="B2194" s="1">
        <f ca="1">IFERROR(__xludf.DUMMYFUNCTION("""COMPUTED_VALUE"""),5.03)</f>
        <v>5.03</v>
      </c>
      <c r="C2194" s="1">
        <f ca="1">IFERROR(__xludf.DUMMYFUNCTION("""COMPUTED_VALUE"""),5.05)</f>
        <v>5.05</v>
      </c>
      <c r="D2194" s="1">
        <f ca="1">IFERROR(__xludf.DUMMYFUNCTION("""COMPUTED_VALUE"""),4.98)</f>
        <v>4.9800000000000004</v>
      </c>
      <c r="E2194" s="1">
        <f ca="1">IFERROR(__xludf.DUMMYFUNCTION("""COMPUTED_VALUE"""),5.03)</f>
        <v>5.03</v>
      </c>
      <c r="F2194" s="1">
        <f ca="1">IFERROR(__xludf.DUMMYFUNCTION("""COMPUTED_VALUE"""),309800)</f>
        <v>309800</v>
      </c>
      <c r="I2194" s="1"/>
    </row>
    <row r="2195" spans="1:9">
      <c r="A2195" s="3">
        <f ca="1">IFERROR(__xludf.DUMMYFUNCTION("""COMPUTED_VALUE"""),32388.6666666666)</f>
        <v>32388.666666666599</v>
      </c>
      <c r="B2195" s="1">
        <f ca="1">IFERROR(__xludf.DUMMYFUNCTION("""COMPUTED_VALUE"""),5.13)</f>
        <v>5.13</v>
      </c>
      <c r="C2195" s="1">
        <f ca="1">IFERROR(__xludf.DUMMYFUNCTION("""COMPUTED_VALUE"""),5.16)</f>
        <v>5.16</v>
      </c>
      <c r="D2195" s="1">
        <f ca="1">IFERROR(__xludf.DUMMYFUNCTION("""COMPUTED_VALUE"""),5.07)</f>
        <v>5.07</v>
      </c>
      <c r="E2195" s="1">
        <f ca="1">IFERROR(__xludf.DUMMYFUNCTION("""COMPUTED_VALUE"""),5.13)</f>
        <v>5.13</v>
      </c>
      <c r="F2195" s="1">
        <f ca="1">IFERROR(__xludf.DUMMYFUNCTION("""COMPUTED_VALUE"""),408000)</f>
        <v>408000</v>
      </c>
      <c r="I2195" s="1"/>
    </row>
    <row r="2196" spans="1:9">
      <c r="A2196" s="3">
        <f ca="1">IFERROR(__xludf.DUMMYFUNCTION("""COMPUTED_VALUE"""),32392.6666666666)</f>
        <v>32392.666666666599</v>
      </c>
      <c r="B2196" s="1">
        <f ca="1">IFERROR(__xludf.DUMMYFUNCTION("""COMPUTED_VALUE"""),5.2)</f>
        <v>5.2</v>
      </c>
      <c r="C2196" s="1">
        <f ca="1">IFERROR(__xludf.DUMMYFUNCTION("""COMPUTED_VALUE"""),5.2)</f>
        <v>5.2</v>
      </c>
      <c r="D2196" s="1">
        <f ca="1">IFERROR(__xludf.DUMMYFUNCTION("""COMPUTED_VALUE"""),5.14)</f>
        <v>5.14</v>
      </c>
      <c r="E2196" s="1">
        <f ca="1">IFERROR(__xludf.DUMMYFUNCTION("""COMPUTED_VALUE"""),5.2)</f>
        <v>5.2</v>
      </c>
      <c r="F2196" s="1">
        <f ca="1">IFERROR(__xludf.DUMMYFUNCTION("""COMPUTED_VALUE"""),524600)</f>
        <v>524600</v>
      </c>
      <c r="I2196" s="1"/>
    </row>
    <row r="2197" spans="1:9">
      <c r="A2197" s="3">
        <f ca="1">IFERROR(__xludf.DUMMYFUNCTION("""COMPUTED_VALUE"""),32393.6666666666)</f>
        <v>32393.666666666599</v>
      </c>
      <c r="B2197" s="1">
        <f ca="1">IFERROR(__xludf.DUMMYFUNCTION("""COMPUTED_VALUE"""),5.27)</f>
        <v>5.27</v>
      </c>
      <c r="C2197" s="1">
        <f ca="1">IFERROR(__xludf.DUMMYFUNCTION("""COMPUTED_VALUE"""),5.28)</f>
        <v>5.28</v>
      </c>
      <c r="D2197" s="1">
        <f ca="1">IFERROR(__xludf.DUMMYFUNCTION("""COMPUTED_VALUE"""),5.25)</f>
        <v>5.25</v>
      </c>
      <c r="E2197" s="1">
        <f ca="1">IFERROR(__xludf.DUMMYFUNCTION("""COMPUTED_VALUE"""),5.27)</f>
        <v>5.27</v>
      </c>
      <c r="F2197" s="1">
        <f ca="1">IFERROR(__xludf.DUMMYFUNCTION("""COMPUTED_VALUE"""),631300)</f>
        <v>631300</v>
      </c>
      <c r="I2197" s="1"/>
    </row>
    <row r="2198" spans="1:9">
      <c r="A2198" s="3">
        <f ca="1">IFERROR(__xludf.DUMMYFUNCTION("""COMPUTED_VALUE"""),32394.6666666666)</f>
        <v>32394.666666666599</v>
      </c>
      <c r="B2198" s="1">
        <f ca="1">IFERROR(__xludf.DUMMYFUNCTION("""COMPUTED_VALUE"""),5.28)</f>
        <v>5.28</v>
      </c>
      <c r="C2198" s="1">
        <f ca="1">IFERROR(__xludf.DUMMYFUNCTION("""COMPUTED_VALUE"""),5.3)</f>
        <v>5.3</v>
      </c>
      <c r="D2198" s="1">
        <f ca="1">IFERROR(__xludf.DUMMYFUNCTION("""COMPUTED_VALUE"""),5.23)</f>
        <v>5.23</v>
      </c>
      <c r="E2198" s="1">
        <f ca="1">IFERROR(__xludf.DUMMYFUNCTION("""COMPUTED_VALUE"""),5.28)</f>
        <v>5.28</v>
      </c>
      <c r="F2198" s="1">
        <f ca="1">IFERROR(__xludf.DUMMYFUNCTION("""COMPUTED_VALUE"""),425500)</f>
        <v>425500</v>
      </c>
      <c r="I2198" s="1"/>
    </row>
    <row r="2199" spans="1:9">
      <c r="A2199" s="3">
        <f ca="1">IFERROR(__xludf.DUMMYFUNCTION("""COMPUTED_VALUE"""),32395.6666666666)</f>
        <v>32395.666666666599</v>
      </c>
      <c r="B2199" s="1">
        <f ca="1">IFERROR(__xludf.DUMMYFUNCTION("""COMPUTED_VALUE"""),5.25)</f>
        <v>5.25</v>
      </c>
      <c r="C2199" s="1">
        <f ca="1">IFERROR(__xludf.DUMMYFUNCTION("""COMPUTED_VALUE"""),5.3)</f>
        <v>5.3</v>
      </c>
      <c r="D2199" s="1">
        <f ca="1">IFERROR(__xludf.DUMMYFUNCTION("""COMPUTED_VALUE"""),5.22)</f>
        <v>5.22</v>
      </c>
      <c r="E2199" s="1">
        <f ca="1">IFERROR(__xludf.DUMMYFUNCTION("""COMPUTED_VALUE"""),5.25)</f>
        <v>5.25</v>
      </c>
      <c r="F2199" s="1">
        <f ca="1">IFERROR(__xludf.DUMMYFUNCTION("""COMPUTED_VALUE"""),307500)</f>
        <v>307500</v>
      </c>
      <c r="I2199" s="1"/>
    </row>
    <row r="2200" spans="1:9">
      <c r="A2200" s="3">
        <f ca="1">IFERROR(__xludf.DUMMYFUNCTION("""COMPUTED_VALUE"""),32398.6666666666)</f>
        <v>32398.666666666599</v>
      </c>
      <c r="B2200" s="1">
        <f ca="1">IFERROR(__xludf.DUMMYFUNCTION("""COMPUTED_VALUE"""),5.24)</f>
        <v>5.24</v>
      </c>
      <c r="C2200" s="1">
        <f ca="1">IFERROR(__xludf.DUMMYFUNCTION("""COMPUTED_VALUE"""),5.27)</f>
        <v>5.27</v>
      </c>
      <c r="D2200" s="1">
        <f ca="1">IFERROR(__xludf.DUMMYFUNCTION("""COMPUTED_VALUE"""),5.22)</f>
        <v>5.22</v>
      </c>
      <c r="E2200" s="1">
        <f ca="1">IFERROR(__xludf.DUMMYFUNCTION("""COMPUTED_VALUE"""),5.24)</f>
        <v>5.24</v>
      </c>
      <c r="F2200" s="1">
        <f ca="1">IFERROR(__xludf.DUMMYFUNCTION("""COMPUTED_VALUE"""),325600)</f>
        <v>325600</v>
      </c>
      <c r="I2200" s="1"/>
    </row>
    <row r="2201" spans="1:9">
      <c r="A2201" s="3">
        <f ca="1">IFERROR(__xludf.DUMMYFUNCTION("""COMPUTED_VALUE"""),32399.6666666666)</f>
        <v>32399.666666666599</v>
      </c>
      <c r="B2201" s="1">
        <f ca="1">IFERROR(__xludf.DUMMYFUNCTION("""COMPUTED_VALUE"""),5.22)</f>
        <v>5.22</v>
      </c>
      <c r="C2201" s="1">
        <f ca="1">IFERROR(__xludf.DUMMYFUNCTION("""COMPUTED_VALUE"""),5.23)</f>
        <v>5.23</v>
      </c>
      <c r="D2201" s="1">
        <f ca="1">IFERROR(__xludf.DUMMYFUNCTION("""COMPUTED_VALUE"""),5.2)</f>
        <v>5.2</v>
      </c>
      <c r="E2201" s="1">
        <f ca="1">IFERROR(__xludf.DUMMYFUNCTION("""COMPUTED_VALUE"""),5.22)</f>
        <v>5.22</v>
      </c>
      <c r="F2201" s="1">
        <f ca="1">IFERROR(__xludf.DUMMYFUNCTION("""COMPUTED_VALUE"""),442300)</f>
        <v>442300</v>
      </c>
      <c r="I2201" s="1"/>
    </row>
    <row r="2202" spans="1:9">
      <c r="A2202" s="3">
        <f ca="1">IFERROR(__xludf.DUMMYFUNCTION("""COMPUTED_VALUE"""),32400.6666666666)</f>
        <v>32400.666666666599</v>
      </c>
      <c r="B2202" s="1">
        <f ca="1">IFERROR(__xludf.DUMMYFUNCTION("""COMPUTED_VALUE"""),5.3)</f>
        <v>5.3</v>
      </c>
      <c r="C2202" s="1">
        <f ca="1">IFERROR(__xludf.DUMMYFUNCTION("""COMPUTED_VALUE"""),5.3)</f>
        <v>5.3</v>
      </c>
      <c r="D2202" s="1">
        <f ca="1">IFERROR(__xludf.DUMMYFUNCTION("""COMPUTED_VALUE"""),5.23)</f>
        <v>5.23</v>
      </c>
      <c r="E2202" s="1">
        <f ca="1">IFERROR(__xludf.DUMMYFUNCTION("""COMPUTED_VALUE"""),5.3)</f>
        <v>5.3</v>
      </c>
      <c r="F2202" s="1">
        <f ca="1">IFERROR(__xludf.DUMMYFUNCTION("""COMPUTED_VALUE"""),659300)</f>
        <v>659300</v>
      </c>
      <c r="I2202" s="1"/>
    </row>
    <row r="2203" spans="1:9">
      <c r="A2203" s="3">
        <f ca="1">IFERROR(__xludf.DUMMYFUNCTION("""COMPUTED_VALUE"""),32401.6666666666)</f>
        <v>32401.666666666599</v>
      </c>
      <c r="B2203" s="1">
        <f ca="1">IFERROR(__xludf.DUMMYFUNCTION("""COMPUTED_VALUE"""),5.27)</f>
        <v>5.27</v>
      </c>
      <c r="C2203" s="1">
        <f ca="1">IFERROR(__xludf.DUMMYFUNCTION("""COMPUTED_VALUE"""),5.34)</f>
        <v>5.34</v>
      </c>
      <c r="D2203" s="1">
        <f ca="1">IFERROR(__xludf.DUMMYFUNCTION("""COMPUTED_VALUE"""),5.27)</f>
        <v>5.27</v>
      </c>
      <c r="E2203" s="1">
        <f ca="1">IFERROR(__xludf.DUMMYFUNCTION("""COMPUTED_VALUE"""),5.27)</f>
        <v>5.27</v>
      </c>
      <c r="F2203" s="1">
        <f ca="1">IFERROR(__xludf.DUMMYFUNCTION("""COMPUTED_VALUE"""),368600)</f>
        <v>368600</v>
      </c>
      <c r="I2203" s="1"/>
    </row>
    <row r="2204" spans="1:9">
      <c r="A2204" s="3">
        <f ca="1">IFERROR(__xludf.DUMMYFUNCTION("""COMPUTED_VALUE"""),32402.6666666666)</f>
        <v>32402.666666666599</v>
      </c>
      <c r="B2204" s="1">
        <f ca="1">IFERROR(__xludf.DUMMYFUNCTION("""COMPUTED_VALUE"""),5.3)</f>
        <v>5.3</v>
      </c>
      <c r="C2204" s="1">
        <f ca="1">IFERROR(__xludf.DUMMYFUNCTION("""COMPUTED_VALUE"""),5.34)</f>
        <v>5.34</v>
      </c>
      <c r="D2204" s="1">
        <f ca="1">IFERROR(__xludf.DUMMYFUNCTION("""COMPUTED_VALUE"""),5.26)</f>
        <v>5.26</v>
      </c>
      <c r="E2204" s="1">
        <f ca="1">IFERROR(__xludf.DUMMYFUNCTION("""COMPUTED_VALUE"""),5.3)</f>
        <v>5.3</v>
      </c>
      <c r="F2204" s="1">
        <f ca="1">IFERROR(__xludf.DUMMYFUNCTION("""COMPUTED_VALUE"""),863100)</f>
        <v>863100</v>
      </c>
      <c r="I2204" s="1"/>
    </row>
    <row r="2205" spans="1:9">
      <c r="A2205" s="3">
        <f ca="1">IFERROR(__xludf.DUMMYFUNCTION("""COMPUTED_VALUE"""),32405.6666666666)</f>
        <v>32405.666666666599</v>
      </c>
      <c r="B2205" s="1">
        <f ca="1">IFERROR(__xludf.DUMMYFUNCTION("""COMPUTED_VALUE"""),5.27)</f>
        <v>5.27</v>
      </c>
      <c r="C2205" s="1">
        <f ca="1">IFERROR(__xludf.DUMMYFUNCTION("""COMPUTED_VALUE"""),5.29)</f>
        <v>5.29</v>
      </c>
      <c r="D2205" s="1">
        <f ca="1">IFERROR(__xludf.DUMMYFUNCTION("""COMPUTED_VALUE"""),5.23)</f>
        <v>5.23</v>
      </c>
      <c r="E2205" s="1">
        <f ca="1">IFERROR(__xludf.DUMMYFUNCTION("""COMPUTED_VALUE"""),5.27)</f>
        <v>5.27</v>
      </c>
      <c r="F2205" s="1">
        <f ca="1">IFERROR(__xludf.DUMMYFUNCTION("""COMPUTED_VALUE"""),256800)</f>
        <v>256800</v>
      </c>
      <c r="I2205" s="1"/>
    </row>
    <row r="2206" spans="1:9">
      <c r="A2206" s="3">
        <f ca="1">IFERROR(__xludf.DUMMYFUNCTION("""COMPUTED_VALUE"""),32406.6666666666)</f>
        <v>32406.666666666599</v>
      </c>
      <c r="B2206" s="1">
        <f ca="1">IFERROR(__xludf.DUMMYFUNCTION("""COMPUTED_VALUE"""),5.29)</f>
        <v>5.29</v>
      </c>
      <c r="C2206" s="1">
        <f ca="1">IFERROR(__xludf.DUMMYFUNCTION("""COMPUTED_VALUE"""),5.3)</f>
        <v>5.3</v>
      </c>
      <c r="D2206" s="1">
        <f ca="1">IFERROR(__xludf.DUMMYFUNCTION("""COMPUTED_VALUE"""),5.27)</f>
        <v>5.27</v>
      </c>
      <c r="E2206" s="1">
        <f ca="1">IFERROR(__xludf.DUMMYFUNCTION("""COMPUTED_VALUE"""),5.29)</f>
        <v>5.29</v>
      </c>
      <c r="F2206" s="1">
        <f ca="1">IFERROR(__xludf.DUMMYFUNCTION("""COMPUTED_VALUE"""),141400)</f>
        <v>141400</v>
      </c>
      <c r="I2206" s="1"/>
    </row>
    <row r="2207" spans="1:9">
      <c r="A2207" s="3">
        <f ca="1">IFERROR(__xludf.DUMMYFUNCTION("""COMPUTED_VALUE"""),32407.6666666666)</f>
        <v>32407.666666666599</v>
      </c>
      <c r="B2207" s="1">
        <f ca="1">IFERROR(__xludf.DUMMYFUNCTION("""COMPUTED_VALUE"""),5.33)</f>
        <v>5.33</v>
      </c>
      <c r="C2207" s="1">
        <f ca="1">IFERROR(__xludf.DUMMYFUNCTION("""COMPUTED_VALUE"""),5.35)</f>
        <v>5.35</v>
      </c>
      <c r="D2207" s="1">
        <f ca="1">IFERROR(__xludf.DUMMYFUNCTION("""COMPUTED_VALUE"""),5.29)</f>
        <v>5.29</v>
      </c>
      <c r="E2207" s="1">
        <f ca="1">IFERROR(__xludf.DUMMYFUNCTION("""COMPUTED_VALUE"""),5.33)</f>
        <v>5.33</v>
      </c>
      <c r="F2207" s="1">
        <f ca="1">IFERROR(__xludf.DUMMYFUNCTION("""COMPUTED_VALUE"""),303500)</f>
        <v>303500</v>
      </c>
      <c r="I2207" s="1"/>
    </row>
    <row r="2208" spans="1:9">
      <c r="A2208" s="3">
        <f ca="1">IFERROR(__xludf.DUMMYFUNCTION("""COMPUTED_VALUE"""),32408.6666666666)</f>
        <v>32408.666666666599</v>
      </c>
      <c r="B2208" s="1">
        <f ca="1">IFERROR(__xludf.DUMMYFUNCTION("""COMPUTED_VALUE"""),5.29)</f>
        <v>5.29</v>
      </c>
      <c r="C2208" s="1">
        <f ca="1">IFERROR(__xludf.DUMMYFUNCTION("""COMPUTED_VALUE"""),5.34)</f>
        <v>5.34</v>
      </c>
      <c r="D2208" s="1">
        <f ca="1">IFERROR(__xludf.DUMMYFUNCTION("""COMPUTED_VALUE"""),5.27)</f>
        <v>5.27</v>
      </c>
      <c r="E2208" s="1">
        <f ca="1">IFERROR(__xludf.DUMMYFUNCTION("""COMPUTED_VALUE"""),5.29)</f>
        <v>5.29</v>
      </c>
      <c r="F2208" s="1">
        <f ca="1">IFERROR(__xludf.DUMMYFUNCTION("""COMPUTED_VALUE"""),237400)</f>
        <v>237400</v>
      </c>
      <c r="I2208" s="1"/>
    </row>
    <row r="2209" spans="1:9">
      <c r="A2209" s="3">
        <f ca="1">IFERROR(__xludf.DUMMYFUNCTION("""COMPUTED_VALUE"""),32409.6666666666)</f>
        <v>32409.666666666599</v>
      </c>
      <c r="B2209" s="1">
        <f ca="1">IFERROR(__xludf.DUMMYFUNCTION("""COMPUTED_VALUE"""),5.32)</f>
        <v>5.32</v>
      </c>
      <c r="C2209" s="1">
        <f ca="1">IFERROR(__xludf.DUMMYFUNCTION("""COMPUTED_VALUE"""),5.32)</f>
        <v>5.32</v>
      </c>
      <c r="D2209" s="1">
        <f ca="1">IFERROR(__xludf.DUMMYFUNCTION("""COMPUTED_VALUE"""),5.27)</f>
        <v>5.27</v>
      </c>
      <c r="E2209" s="1">
        <f ca="1">IFERROR(__xludf.DUMMYFUNCTION("""COMPUTED_VALUE"""),5.32)</f>
        <v>5.32</v>
      </c>
      <c r="F2209" s="1">
        <f ca="1">IFERROR(__xludf.DUMMYFUNCTION("""COMPUTED_VALUE"""),314200)</f>
        <v>314200</v>
      </c>
      <c r="I2209" s="1"/>
    </row>
    <row r="2210" spans="1:9">
      <c r="A2210" s="3">
        <f ca="1">IFERROR(__xludf.DUMMYFUNCTION("""COMPUTED_VALUE"""),32412.6666666666)</f>
        <v>32412.666666666599</v>
      </c>
      <c r="B2210" s="1">
        <f ca="1">IFERROR(__xludf.DUMMYFUNCTION("""COMPUTED_VALUE"""),5.3)</f>
        <v>5.3</v>
      </c>
      <c r="C2210" s="1">
        <f ca="1">IFERROR(__xludf.DUMMYFUNCTION("""COMPUTED_VALUE"""),5.31)</f>
        <v>5.31</v>
      </c>
      <c r="D2210" s="1">
        <f ca="1">IFERROR(__xludf.DUMMYFUNCTION("""COMPUTED_VALUE"""),5.28)</f>
        <v>5.28</v>
      </c>
      <c r="E2210" s="1">
        <f ca="1">IFERROR(__xludf.DUMMYFUNCTION("""COMPUTED_VALUE"""),5.3)</f>
        <v>5.3</v>
      </c>
      <c r="F2210" s="1">
        <f ca="1">IFERROR(__xludf.DUMMYFUNCTION("""COMPUTED_VALUE"""),134800)</f>
        <v>134800</v>
      </c>
      <c r="I2210" s="1"/>
    </row>
    <row r="2211" spans="1:9">
      <c r="A2211" s="3">
        <f ca="1">IFERROR(__xludf.DUMMYFUNCTION("""COMPUTED_VALUE"""),32413.6666666666)</f>
        <v>32413.666666666599</v>
      </c>
      <c r="B2211" s="1">
        <f ca="1">IFERROR(__xludf.DUMMYFUNCTION("""COMPUTED_VALUE"""),5.31)</f>
        <v>5.31</v>
      </c>
      <c r="C2211" s="1">
        <f ca="1">IFERROR(__xludf.DUMMYFUNCTION("""COMPUTED_VALUE"""),5.32)</f>
        <v>5.32</v>
      </c>
      <c r="D2211" s="1">
        <f ca="1">IFERROR(__xludf.DUMMYFUNCTION("""COMPUTED_VALUE"""),5.29)</f>
        <v>5.29</v>
      </c>
      <c r="E2211" s="1">
        <f ca="1">IFERROR(__xludf.DUMMYFUNCTION("""COMPUTED_VALUE"""),5.31)</f>
        <v>5.31</v>
      </c>
      <c r="F2211" s="1">
        <f ca="1">IFERROR(__xludf.DUMMYFUNCTION("""COMPUTED_VALUE"""),200300)</f>
        <v>200300</v>
      </c>
      <c r="I2211" s="1"/>
    </row>
    <row r="2212" spans="1:9">
      <c r="A2212" s="3">
        <f ca="1">IFERROR(__xludf.DUMMYFUNCTION("""COMPUTED_VALUE"""),32414.6666666666)</f>
        <v>32414.666666666599</v>
      </c>
      <c r="B2212" s="1">
        <f ca="1">IFERROR(__xludf.DUMMYFUNCTION("""COMPUTED_VALUE"""),5.34)</f>
        <v>5.34</v>
      </c>
      <c r="C2212" s="1">
        <f ca="1">IFERROR(__xludf.DUMMYFUNCTION("""COMPUTED_VALUE"""),5.34)</f>
        <v>5.34</v>
      </c>
      <c r="D2212" s="1">
        <f ca="1">IFERROR(__xludf.DUMMYFUNCTION("""COMPUTED_VALUE"""),5.28)</f>
        <v>5.28</v>
      </c>
      <c r="E2212" s="1">
        <f ca="1">IFERROR(__xludf.DUMMYFUNCTION("""COMPUTED_VALUE"""),5.34)</f>
        <v>5.34</v>
      </c>
      <c r="F2212" s="1">
        <f ca="1">IFERROR(__xludf.DUMMYFUNCTION("""COMPUTED_VALUE"""),252000)</f>
        <v>252000</v>
      </c>
      <c r="I2212" s="1"/>
    </row>
    <row r="2213" spans="1:9">
      <c r="A2213" s="3">
        <f ca="1">IFERROR(__xludf.DUMMYFUNCTION("""COMPUTED_VALUE"""),32415.6666666666)</f>
        <v>32415.666666666599</v>
      </c>
      <c r="B2213" s="1">
        <f ca="1">IFERROR(__xludf.DUMMYFUNCTION("""COMPUTED_VALUE"""),5.37)</f>
        <v>5.37</v>
      </c>
      <c r="C2213" s="1">
        <f ca="1">IFERROR(__xludf.DUMMYFUNCTION("""COMPUTED_VALUE"""),5.38)</f>
        <v>5.38</v>
      </c>
      <c r="D2213" s="1">
        <f ca="1">IFERROR(__xludf.DUMMYFUNCTION("""COMPUTED_VALUE"""),5.31)</f>
        <v>5.31</v>
      </c>
      <c r="E2213" s="1">
        <f ca="1">IFERROR(__xludf.DUMMYFUNCTION("""COMPUTED_VALUE"""),5.37)</f>
        <v>5.37</v>
      </c>
      <c r="F2213" s="1">
        <f ca="1">IFERROR(__xludf.DUMMYFUNCTION("""COMPUTED_VALUE"""),309500)</f>
        <v>309500</v>
      </c>
      <c r="I2213" s="1"/>
    </row>
    <row r="2214" spans="1:9">
      <c r="A2214" s="3">
        <f ca="1">IFERROR(__xludf.DUMMYFUNCTION("""COMPUTED_VALUE"""),32416.6666666666)</f>
        <v>32416.666666666599</v>
      </c>
      <c r="B2214" s="1">
        <f ca="1">IFERROR(__xludf.DUMMYFUNCTION("""COMPUTED_VALUE"""),5.37)</f>
        <v>5.37</v>
      </c>
      <c r="C2214" s="1">
        <f ca="1">IFERROR(__xludf.DUMMYFUNCTION("""COMPUTED_VALUE"""),5.42)</f>
        <v>5.42</v>
      </c>
      <c r="D2214" s="1">
        <f ca="1">IFERROR(__xludf.DUMMYFUNCTION("""COMPUTED_VALUE"""),5.34)</f>
        <v>5.34</v>
      </c>
      <c r="E2214" s="1">
        <f ca="1">IFERROR(__xludf.DUMMYFUNCTION("""COMPUTED_VALUE"""),5.37)</f>
        <v>5.37</v>
      </c>
      <c r="F2214" s="1">
        <f ca="1">IFERROR(__xludf.DUMMYFUNCTION("""COMPUTED_VALUE"""),330800)</f>
        <v>330800</v>
      </c>
      <c r="I2214" s="1"/>
    </row>
    <row r="2215" spans="1:9">
      <c r="A2215" s="3">
        <f ca="1">IFERROR(__xludf.DUMMYFUNCTION("""COMPUTED_VALUE"""),32419.6666666666)</f>
        <v>32419.666666666599</v>
      </c>
      <c r="B2215" s="1">
        <f ca="1">IFERROR(__xludf.DUMMYFUNCTION("""COMPUTED_VALUE"""),5.38)</f>
        <v>5.38</v>
      </c>
      <c r="C2215" s="1">
        <f ca="1">IFERROR(__xludf.DUMMYFUNCTION("""COMPUTED_VALUE"""),5.4)</f>
        <v>5.4</v>
      </c>
      <c r="D2215" s="1">
        <f ca="1">IFERROR(__xludf.DUMMYFUNCTION("""COMPUTED_VALUE"""),5.35)</f>
        <v>5.35</v>
      </c>
      <c r="E2215" s="1">
        <f ca="1">IFERROR(__xludf.DUMMYFUNCTION("""COMPUTED_VALUE"""),5.38)</f>
        <v>5.38</v>
      </c>
      <c r="F2215" s="1">
        <f ca="1">IFERROR(__xludf.DUMMYFUNCTION("""COMPUTED_VALUE"""),282900)</f>
        <v>282900</v>
      </c>
      <c r="I2215" s="1"/>
    </row>
    <row r="2216" spans="1:9">
      <c r="A2216" s="3">
        <f ca="1">IFERROR(__xludf.DUMMYFUNCTION("""COMPUTED_VALUE"""),32420.6666666666)</f>
        <v>32420.666666666599</v>
      </c>
      <c r="B2216" s="1">
        <f ca="1">IFERROR(__xludf.DUMMYFUNCTION("""COMPUTED_VALUE"""),5.35)</f>
        <v>5.35</v>
      </c>
      <c r="C2216" s="1">
        <f ca="1">IFERROR(__xludf.DUMMYFUNCTION("""COMPUTED_VALUE"""),5.4)</f>
        <v>5.4</v>
      </c>
      <c r="D2216" s="1">
        <f ca="1">IFERROR(__xludf.DUMMYFUNCTION("""COMPUTED_VALUE"""),5.35)</f>
        <v>5.35</v>
      </c>
      <c r="E2216" s="1">
        <f ca="1">IFERROR(__xludf.DUMMYFUNCTION("""COMPUTED_VALUE"""),5.35)</f>
        <v>5.35</v>
      </c>
      <c r="F2216" s="1">
        <f ca="1">IFERROR(__xludf.DUMMYFUNCTION("""COMPUTED_VALUE"""),203400)</f>
        <v>203400</v>
      </c>
      <c r="I2216" s="1"/>
    </row>
    <row r="2217" spans="1:9">
      <c r="A2217" s="3">
        <f ca="1">IFERROR(__xludf.DUMMYFUNCTION("""COMPUTED_VALUE"""),32421.6666666666)</f>
        <v>32421.666666666599</v>
      </c>
      <c r="B2217" s="1">
        <f ca="1">IFERROR(__xludf.DUMMYFUNCTION("""COMPUTED_VALUE"""),5.37)</f>
        <v>5.37</v>
      </c>
      <c r="C2217" s="1">
        <f ca="1">IFERROR(__xludf.DUMMYFUNCTION("""COMPUTED_VALUE"""),5.4)</f>
        <v>5.4</v>
      </c>
      <c r="D2217" s="1">
        <f ca="1">IFERROR(__xludf.DUMMYFUNCTION("""COMPUTED_VALUE"""),5.35)</f>
        <v>5.35</v>
      </c>
      <c r="E2217" s="1">
        <f ca="1">IFERROR(__xludf.DUMMYFUNCTION("""COMPUTED_VALUE"""),5.37)</f>
        <v>5.37</v>
      </c>
      <c r="F2217" s="1">
        <f ca="1">IFERROR(__xludf.DUMMYFUNCTION("""COMPUTED_VALUE"""),356900)</f>
        <v>356900</v>
      </c>
      <c r="I2217" s="1"/>
    </row>
    <row r="2218" spans="1:9">
      <c r="A2218" s="3">
        <f ca="1">IFERROR(__xludf.DUMMYFUNCTION("""COMPUTED_VALUE"""),32422.6666666666)</f>
        <v>32422.666666666599</v>
      </c>
      <c r="B2218" s="1">
        <f ca="1">IFERROR(__xludf.DUMMYFUNCTION("""COMPUTED_VALUE"""),5.37)</f>
        <v>5.37</v>
      </c>
      <c r="C2218" s="1">
        <f ca="1">IFERROR(__xludf.DUMMYFUNCTION("""COMPUTED_VALUE"""),5.38)</f>
        <v>5.38</v>
      </c>
      <c r="D2218" s="1">
        <f ca="1">IFERROR(__xludf.DUMMYFUNCTION("""COMPUTED_VALUE"""),5.36)</f>
        <v>5.36</v>
      </c>
      <c r="E2218" s="1">
        <f ca="1">IFERROR(__xludf.DUMMYFUNCTION("""COMPUTED_VALUE"""),5.37)</f>
        <v>5.37</v>
      </c>
      <c r="F2218" s="1">
        <f ca="1">IFERROR(__xludf.DUMMYFUNCTION("""COMPUTED_VALUE"""),157600)</f>
        <v>157600</v>
      </c>
      <c r="I2218" s="1"/>
    </row>
    <row r="2219" spans="1:9">
      <c r="A2219" s="3">
        <f ca="1">IFERROR(__xludf.DUMMYFUNCTION("""COMPUTED_VALUE"""),32423.6666666666)</f>
        <v>32423.666666666599</v>
      </c>
      <c r="B2219" s="1">
        <f ca="1">IFERROR(__xludf.DUMMYFUNCTION("""COMPUTED_VALUE"""),5.45)</f>
        <v>5.45</v>
      </c>
      <c r="C2219" s="1">
        <f ca="1">IFERROR(__xludf.DUMMYFUNCTION("""COMPUTED_VALUE"""),5.46)</f>
        <v>5.46</v>
      </c>
      <c r="D2219" s="1">
        <f ca="1">IFERROR(__xludf.DUMMYFUNCTION("""COMPUTED_VALUE"""),5.35)</f>
        <v>5.35</v>
      </c>
      <c r="E2219" s="1">
        <f ca="1">IFERROR(__xludf.DUMMYFUNCTION("""COMPUTED_VALUE"""),5.45)</f>
        <v>5.45</v>
      </c>
      <c r="F2219" s="1">
        <f ca="1">IFERROR(__xludf.DUMMYFUNCTION("""COMPUTED_VALUE"""),462000)</f>
        <v>462000</v>
      </c>
      <c r="I2219" s="1"/>
    </row>
    <row r="2220" spans="1:9">
      <c r="A2220" s="3">
        <f ca="1">IFERROR(__xludf.DUMMYFUNCTION("""COMPUTED_VALUE"""),32426.6666666666)</f>
        <v>32426.666666666599</v>
      </c>
      <c r="B2220" s="1">
        <f ca="1">IFERROR(__xludf.DUMMYFUNCTION("""COMPUTED_VALUE"""),5.46)</f>
        <v>5.46</v>
      </c>
      <c r="C2220" s="1">
        <f ca="1">IFERROR(__xludf.DUMMYFUNCTION("""COMPUTED_VALUE"""),5.48)</f>
        <v>5.48</v>
      </c>
      <c r="D2220" s="1">
        <f ca="1">IFERROR(__xludf.DUMMYFUNCTION("""COMPUTED_VALUE"""),5.45)</f>
        <v>5.45</v>
      </c>
      <c r="E2220" s="1">
        <f ca="1">IFERROR(__xludf.DUMMYFUNCTION("""COMPUTED_VALUE"""),5.46)</f>
        <v>5.46</v>
      </c>
      <c r="F2220" s="1">
        <f ca="1">IFERROR(__xludf.DUMMYFUNCTION("""COMPUTED_VALUE"""),285400)</f>
        <v>285400</v>
      </c>
      <c r="I2220" s="1"/>
    </row>
    <row r="2221" spans="1:9">
      <c r="A2221" s="3">
        <f ca="1">IFERROR(__xludf.DUMMYFUNCTION("""COMPUTED_VALUE"""),32427.6666666666)</f>
        <v>32427.666666666599</v>
      </c>
      <c r="B2221" s="1">
        <f ca="1">IFERROR(__xludf.DUMMYFUNCTION("""COMPUTED_VALUE"""),5.41)</f>
        <v>5.41</v>
      </c>
      <c r="C2221" s="1">
        <f ca="1">IFERROR(__xludf.DUMMYFUNCTION("""COMPUTED_VALUE"""),5.43)</f>
        <v>5.43</v>
      </c>
      <c r="D2221" s="1">
        <f ca="1">IFERROR(__xludf.DUMMYFUNCTION("""COMPUTED_VALUE"""),5.38)</f>
        <v>5.38</v>
      </c>
      <c r="E2221" s="1">
        <f ca="1">IFERROR(__xludf.DUMMYFUNCTION("""COMPUTED_VALUE"""),5.41)</f>
        <v>5.41</v>
      </c>
      <c r="F2221" s="1">
        <f ca="1">IFERROR(__xludf.DUMMYFUNCTION("""COMPUTED_VALUE"""),296300)</f>
        <v>296300</v>
      </c>
      <c r="I2221" s="1"/>
    </row>
    <row r="2222" spans="1:9">
      <c r="A2222" s="3">
        <f ca="1">IFERROR(__xludf.DUMMYFUNCTION("""COMPUTED_VALUE"""),32428.6666666666)</f>
        <v>32428.666666666599</v>
      </c>
      <c r="B2222" s="1">
        <f ca="1">IFERROR(__xludf.DUMMYFUNCTION("""COMPUTED_VALUE"""),5.31)</f>
        <v>5.31</v>
      </c>
      <c r="C2222" s="1">
        <f ca="1">IFERROR(__xludf.DUMMYFUNCTION("""COMPUTED_VALUE"""),5.36)</f>
        <v>5.36</v>
      </c>
      <c r="D2222" s="1">
        <f ca="1">IFERROR(__xludf.DUMMYFUNCTION("""COMPUTED_VALUE"""),5.27)</f>
        <v>5.27</v>
      </c>
      <c r="E2222" s="1">
        <f ca="1">IFERROR(__xludf.DUMMYFUNCTION("""COMPUTED_VALUE"""),5.31)</f>
        <v>5.31</v>
      </c>
      <c r="F2222" s="1">
        <f ca="1">IFERROR(__xludf.DUMMYFUNCTION("""COMPUTED_VALUE"""),422200)</f>
        <v>422200</v>
      </c>
      <c r="I2222" s="1"/>
    </row>
    <row r="2223" spans="1:9">
      <c r="A2223" s="3">
        <f ca="1">IFERROR(__xludf.DUMMYFUNCTION("""COMPUTED_VALUE"""),32429.6666666666)</f>
        <v>32429.666666666599</v>
      </c>
      <c r="B2223" s="1">
        <f ca="1">IFERROR(__xludf.DUMMYFUNCTION("""COMPUTED_VALUE"""),5.38)</f>
        <v>5.38</v>
      </c>
      <c r="C2223" s="1">
        <f ca="1">IFERROR(__xludf.DUMMYFUNCTION("""COMPUTED_VALUE"""),5.38)</f>
        <v>5.38</v>
      </c>
      <c r="D2223" s="1">
        <f ca="1">IFERROR(__xludf.DUMMYFUNCTION("""COMPUTED_VALUE"""),5.28)</f>
        <v>5.28</v>
      </c>
      <c r="E2223" s="1">
        <f ca="1">IFERROR(__xludf.DUMMYFUNCTION("""COMPUTED_VALUE"""),5.38)</f>
        <v>5.38</v>
      </c>
      <c r="F2223" s="1">
        <f ca="1">IFERROR(__xludf.DUMMYFUNCTION("""COMPUTED_VALUE"""),297700)</f>
        <v>297700</v>
      </c>
      <c r="I2223" s="1"/>
    </row>
    <row r="2224" spans="1:9">
      <c r="A2224" s="3">
        <f ca="1">IFERROR(__xludf.DUMMYFUNCTION("""COMPUTED_VALUE"""),32430.6666666666)</f>
        <v>32430.666666666599</v>
      </c>
      <c r="B2224" s="1">
        <f ca="1">IFERROR(__xludf.DUMMYFUNCTION("""COMPUTED_VALUE"""),5.39)</f>
        <v>5.39</v>
      </c>
      <c r="C2224" s="1">
        <f ca="1">IFERROR(__xludf.DUMMYFUNCTION("""COMPUTED_VALUE"""),5.44)</f>
        <v>5.44</v>
      </c>
      <c r="D2224" s="1">
        <f ca="1">IFERROR(__xludf.DUMMYFUNCTION("""COMPUTED_VALUE"""),5.38)</f>
        <v>5.38</v>
      </c>
      <c r="E2224" s="1">
        <f ca="1">IFERROR(__xludf.DUMMYFUNCTION("""COMPUTED_VALUE"""),5.39)</f>
        <v>5.39</v>
      </c>
      <c r="F2224" s="1">
        <f ca="1">IFERROR(__xludf.DUMMYFUNCTION("""COMPUTED_VALUE"""),276300)</f>
        <v>276300</v>
      </c>
      <c r="I2224" s="1"/>
    </row>
    <row r="2225" spans="1:9">
      <c r="A2225" s="3">
        <f ca="1">IFERROR(__xludf.DUMMYFUNCTION("""COMPUTED_VALUE"""),32433.6666666666)</f>
        <v>32433.666666666599</v>
      </c>
      <c r="B2225" s="1">
        <f ca="1">IFERROR(__xludf.DUMMYFUNCTION("""COMPUTED_VALUE"""),5.4)</f>
        <v>5.4</v>
      </c>
      <c r="C2225" s="1">
        <f ca="1">IFERROR(__xludf.DUMMYFUNCTION("""COMPUTED_VALUE"""),5.42)</f>
        <v>5.42</v>
      </c>
      <c r="D2225" s="1">
        <f ca="1">IFERROR(__xludf.DUMMYFUNCTION("""COMPUTED_VALUE"""),5.38)</f>
        <v>5.38</v>
      </c>
      <c r="E2225" s="1">
        <f ca="1">IFERROR(__xludf.DUMMYFUNCTION("""COMPUTED_VALUE"""),5.4)</f>
        <v>5.4</v>
      </c>
      <c r="F2225" s="1">
        <f ca="1">IFERROR(__xludf.DUMMYFUNCTION("""COMPUTED_VALUE"""),212200)</f>
        <v>212200</v>
      </c>
      <c r="I2225" s="1"/>
    </row>
    <row r="2226" spans="1:9">
      <c r="A2226" s="3">
        <f ca="1">IFERROR(__xludf.DUMMYFUNCTION("""COMPUTED_VALUE"""),32434.6666666666)</f>
        <v>32434.666666666599</v>
      </c>
      <c r="B2226" s="1">
        <f ca="1">IFERROR(__xludf.DUMMYFUNCTION("""COMPUTED_VALUE"""),5.41)</f>
        <v>5.41</v>
      </c>
      <c r="C2226" s="1">
        <f ca="1">IFERROR(__xludf.DUMMYFUNCTION("""COMPUTED_VALUE"""),5.43)</f>
        <v>5.43</v>
      </c>
      <c r="D2226" s="1">
        <f ca="1">IFERROR(__xludf.DUMMYFUNCTION("""COMPUTED_VALUE"""),5.4)</f>
        <v>5.4</v>
      </c>
      <c r="E2226" s="1">
        <f ca="1">IFERROR(__xludf.DUMMYFUNCTION("""COMPUTED_VALUE"""),5.41)</f>
        <v>5.41</v>
      </c>
      <c r="F2226" s="1">
        <f ca="1">IFERROR(__xludf.DUMMYFUNCTION("""COMPUTED_VALUE"""),386700)</f>
        <v>386700</v>
      </c>
      <c r="I2226" s="1"/>
    </row>
    <row r="2227" spans="1:9">
      <c r="A2227" s="3">
        <f ca="1">IFERROR(__xludf.DUMMYFUNCTION("""COMPUTED_VALUE"""),32435.6666666666)</f>
        <v>32435.666666666599</v>
      </c>
      <c r="B2227" s="1">
        <f ca="1">IFERROR(__xludf.DUMMYFUNCTION("""COMPUTED_VALUE"""),5.4)</f>
        <v>5.4</v>
      </c>
      <c r="C2227" s="1">
        <f ca="1">IFERROR(__xludf.DUMMYFUNCTION("""COMPUTED_VALUE"""),5.44)</f>
        <v>5.44</v>
      </c>
      <c r="D2227" s="1">
        <f ca="1">IFERROR(__xludf.DUMMYFUNCTION("""COMPUTED_VALUE"""),5.36)</f>
        <v>5.36</v>
      </c>
      <c r="E2227" s="1">
        <f ca="1">IFERROR(__xludf.DUMMYFUNCTION("""COMPUTED_VALUE"""),5.4)</f>
        <v>5.4</v>
      </c>
      <c r="F2227" s="1">
        <f ca="1">IFERROR(__xludf.DUMMYFUNCTION("""COMPUTED_VALUE"""),409200)</f>
        <v>409200</v>
      </c>
      <c r="I2227" s="1"/>
    </row>
    <row r="2228" spans="1:9">
      <c r="A2228" s="3">
        <f ca="1">IFERROR(__xludf.DUMMYFUNCTION("""COMPUTED_VALUE"""),32436.6666666666)</f>
        <v>32436.666666666599</v>
      </c>
      <c r="B2228" s="1">
        <f ca="1">IFERROR(__xludf.DUMMYFUNCTION("""COMPUTED_VALUE"""),5.5)</f>
        <v>5.5</v>
      </c>
      <c r="C2228" s="1">
        <f ca="1">IFERROR(__xludf.DUMMYFUNCTION("""COMPUTED_VALUE"""),5.5)</f>
        <v>5.5</v>
      </c>
      <c r="D2228" s="1">
        <f ca="1">IFERROR(__xludf.DUMMYFUNCTION("""COMPUTED_VALUE"""),5.39)</f>
        <v>5.39</v>
      </c>
      <c r="E2228" s="1">
        <f ca="1">IFERROR(__xludf.DUMMYFUNCTION("""COMPUTED_VALUE"""),5.5)</f>
        <v>5.5</v>
      </c>
      <c r="F2228" s="1">
        <f ca="1">IFERROR(__xludf.DUMMYFUNCTION("""COMPUTED_VALUE"""),557200)</f>
        <v>557200</v>
      </c>
      <c r="I2228" s="1"/>
    </row>
    <row r="2229" spans="1:9">
      <c r="A2229" s="3">
        <f ca="1">IFERROR(__xludf.DUMMYFUNCTION("""COMPUTED_VALUE"""),32437.6666666666)</f>
        <v>32437.666666666599</v>
      </c>
      <c r="B2229" s="1">
        <f ca="1">IFERROR(__xludf.DUMMYFUNCTION("""COMPUTED_VALUE"""),5.51)</f>
        <v>5.51</v>
      </c>
      <c r="C2229" s="1">
        <f ca="1">IFERROR(__xludf.DUMMYFUNCTION("""COMPUTED_VALUE"""),5.51)</f>
        <v>5.51</v>
      </c>
      <c r="D2229" s="1">
        <f ca="1">IFERROR(__xludf.DUMMYFUNCTION("""COMPUTED_VALUE"""),5.45)</f>
        <v>5.45</v>
      </c>
      <c r="E2229" s="1">
        <f ca="1">IFERROR(__xludf.DUMMYFUNCTION("""COMPUTED_VALUE"""),5.51)</f>
        <v>5.51</v>
      </c>
      <c r="F2229" s="1">
        <f ca="1">IFERROR(__xludf.DUMMYFUNCTION("""COMPUTED_VALUE"""),691600)</f>
        <v>691600</v>
      </c>
      <c r="I2229" s="1"/>
    </row>
    <row r="2230" spans="1:9">
      <c r="A2230" s="3">
        <f ca="1">IFERROR(__xludf.DUMMYFUNCTION("""COMPUTED_VALUE"""),32440.6666666666)</f>
        <v>32440.666666666599</v>
      </c>
      <c r="B2230" s="1">
        <f ca="1">IFERROR(__xludf.DUMMYFUNCTION("""COMPUTED_VALUE"""),5.44)</f>
        <v>5.44</v>
      </c>
      <c r="C2230" s="1">
        <f ca="1">IFERROR(__xludf.DUMMYFUNCTION("""COMPUTED_VALUE"""),5.51)</f>
        <v>5.51</v>
      </c>
      <c r="D2230" s="1">
        <f ca="1">IFERROR(__xludf.DUMMYFUNCTION("""COMPUTED_VALUE"""),5.44)</f>
        <v>5.44</v>
      </c>
      <c r="E2230" s="1">
        <f ca="1">IFERROR(__xludf.DUMMYFUNCTION("""COMPUTED_VALUE"""),5.44)</f>
        <v>5.44</v>
      </c>
      <c r="F2230" s="1">
        <f ca="1">IFERROR(__xludf.DUMMYFUNCTION("""COMPUTED_VALUE"""),169700)</f>
        <v>169700</v>
      </c>
      <c r="I2230" s="1"/>
    </row>
    <row r="2231" spans="1:9">
      <c r="A2231" s="3">
        <f ca="1">IFERROR(__xludf.DUMMYFUNCTION("""COMPUTED_VALUE"""),32441.6666666666)</f>
        <v>32441.666666666599</v>
      </c>
      <c r="B2231" s="1">
        <f ca="1">IFERROR(__xludf.DUMMYFUNCTION("""COMPUTED_VALUE"""),5.47)</f>
        <v>5.47</v>
      </c>
      <c r="C2231" s="1">
        <f ca="1">IFERROR(__xludf.DUMMYFUNCTION("""COMPUTED_VALUE"""),5.48)</f>
        <v>5.48</v>
      </c>
      <c r="D2231" s="1">
        <f ca="1">IFERROR(__xludf.DUMMYFUNCTION("""COMPUTED_VALUE"""),5.43)</f>
        <v>5.43</v>
      </c>
      <c r="E2231" s="1">
        <f ca="1">IFERROR(__xludf.DUMMYFUNCTION("""COMPUTED_VALUE"""),5.47)</f>
        <v>5.47</v>
      </c>
      <c r="F2231" s="1">
        <f ca="1">IFERROR(__xludf.DUMMYFUNCTION("""COMPUTED_VALUE"""),152600)</f>
        <v>152600</v>
      </c>
      <c r="I2231" s="1"/>
    </row>
    <row r="2232" spans="1:9">
      <c r="A2232" s="3">
        <f ca="1">IFERROR(__xludf.DUMMYFUNCTION("""COMPUTED_VALUE"""),32442.6666666666)</f>
        <v>32442.666666666599</v>
      </c>
      <c r="B2232" s="1">
        <f ca="1">IFERROR(__xludf.DUMMYFUNCTION("""COMPUTED_VALUE"""),5.46)</f>
        <v>5.46</v>
      </c>
      <c r="C2232" s="1">
        <f ca="1">IFERROR(__xludf.DUMMYFUNCTION("""COMPUTED_VALUE"""),5.49)</f>
        <v>5.49</v>
      </c>
      <c r="D2232" s="1">
        <f ca="1">IFERROR(__xludf.DUMMYFUNCTION("""COMPUTED_VALUE"""),5.41)</f>
        <v>5.41</v>
      </c>
      <c r="E2232" s="1">
        <f ca="1">IFERROR(__xludf.DUMMYFUNCTION("""COMPUTED_VALUE"""),5.46)</f>
        <v>5.46</v>
      </c>
      <c r="F2232" s="1">
        <f ca="1">IFERROR(__xludf.DUMMYFUNCTION("""COMPUTED_VALUE"""),254900)</f>
        <v>254900</v>
      </c>
      <c r="I2232" s="1"/>
    </row>
    <row r="2233" spans="1:9">
      <c r="A2233" s="3">
        <f ca="1">IFERROR(__xludf.DUMMYFUNCTION("""COMPUTED_VALUE"""),32443.6666666666)</f>
        <v>32443.666666666599</v>
      </c>
      <c r="B2233" s="1">
        <f ca="1">IFERROR(__xludf.DUMMYFUNCTION("""COMPUTED_VALUE"""),5.4)</f>
        <v>5.4</v>
      </c>
      <c r="C2233" s="1">
        <f ca="1">IFERROR(__xludf.DUMMYFUNCTION("""COMPUTED_VALUE"""),5.44)</f>
        <v>5.44</v>
      </c>
      <c r="D2233" s="1">
        <f ca="1">IFERROR(__xludf.DUMMYFUNCTION("""COMPUTED_VALUE"""),5.38)</f>
        <v>5.38</v>
      </c>
      <c r="E2233" s="1">
        <f ca="1">IFERROR(__xludf.DUMMYFUNCTION("""COMPUTED_VALUE"""),5.4)</f>
        <v>5.4</v>
      </c>
      <c r="F2233" s="1">
        <f ca="1">IFERROR(__xludf.DUMMYFUNCTION("""COMPUTED_VALUE"""),342600)</f>
        <v>342600</v>
      </c>
      <c r="I2233" s="1"/>
    </row>
    <row r="2234" spans="1:9">
      <c r="A2234" s="3">
        <f ca="1">IFERROR(__xludf.DUMMYFUNCTION("""COMPUTED_VALUE"""),32444.6666666666)</f>
        <v>32444.666666666599</v>
      </c>
      <c r="B2234" s="1">
        <f ca="1">IFERROR(__xludf.DUMMYFUNCTION("""COMPUTED_VALUE"""),5.44)</f>
        <v>5.44</v>
      </c>
      <c r="C2234" s="1">
        <f ca="1">IFERROR(__xludf.DUMMYFUNCTION("""COMPUTED_VALUE"""),5.45)</f>
        <v>5.45</v>
      </c>
      <c r="D2234" s="1">
        <f ca="1">IFERROR(__xludf.DUMMYFUNCTION("""COMPUTED_VALUE"""),5.39)</f>
        <v>5.39</v>
      </c>
      <c r="E2234" s="1">
        <f ca="1">IFERROR(__xludf.DUMMYFUNCTION("""COMPUTED_VALUE"""),5.44)</f>
        <v>5.44</v>
      </c>
      <c r="F2234" s="1">
        <f ca="1">IFERROR(__xludf.DUMMYFUNCTION("""COMPUTED_VALUE"""),350000)</f>
        <v>350000</v>
      </c>
      <c r="I2234" s="1"/>
    </row>
    <row r="2235" spans="1:9">
      <c r="A2235" s="3">
        <f ca="1">IFERROR(__xludf.DUMMYFUNCTION("""COMPUTED_VALUE"""),32447.6666666666)</f>
        <v>32447.666666666599</v>
      </c>
      <c r="B2235" s="1">
        <f ca="1">IFERROR(__xludf.DUMMYFUNCTION("""COMPUTED_VALUE"""),5.44)</f>
        <v>5.44</v>
      </c>
      <c r="C2235" s="1">
        <f ca="1">IFERROR(__xludf.DUMMYFUNCTION("""COMPUTED_VALUE"""),5.47)</f>
        <v>5.47</v>
      </c>
      <c r="D2235" s="1">
        <f ca="1">IFERROR(__xludf.DUMMYFUNCTION("""COMPUTED_VALUE"""),5.42)</f>
        <v>5.42</v>
      </c>
      <c r="E2235" s="1">
        <f ca="1">IFERROR(__xludf.DUMMYFUNCTION("""COMPUTED_VALUE"""),5.44)</f>
        <v>5.44</v>
      </c>
      <c r="F2235" s="1">
        <f ca="1">IFERROR(__xludf.DUMMYFUNCTION("""COMPUTED_VALUE"""),256100)</f>
        <v>256100</v>
      </c>
      <c r="I2235" s="1"/>
    </row>
    <row r="2236" spans="1:9">
      <c r="A2236" s="3">
        <f ca="1">IFERROR(__xludf.DUMMYFUNCTION("""COMPUTED_VALUE"""),32448.6666666666)</f>
        <v>32448.666666666599</v>
      </c>
      <c r="B2236" s="1">
        <f ca="1">IFERROR(__xludf.DUMMYFUNCTION("""COMPUTED_VALUE"""),5.45)</f>
        <v>5.45</v>
      </c>
      <c r="C2236" s="1">
        <f ca="1">IFERROR(__xludf.DUMMYFUNCTION("""COMPUTED_VALUE"""),5.48)</f>
        <v>5.48</v>
      </c>
      <c r="D2236" s="1">
        <f ca="1">IFERROR(__xludf.DUMMYFUNCTION("""COMPUTED_VALUE"""),5.43)</f>
        <v>5.43</v>
      </c>
      <c r="E2236" s="1">
        <f ca="1">IFERROR(__xludf.DUMMYFUNCTION("""COMPUTED_VALUE"""),5.45)</f>
        <v>5.45</v>
      </c>
      <c r="F2236" s="1">
        <f ca="1">IFERROR(__xludf.DUMMYFUNCTION("""COMPUTED_VALUE"""),279400)</f>
        <v>279400</v>
      </c>
      <c r="I2236" s="1"/>
    </row>
    <row r="2237" spans="1:9">
      <c r="A2237" s="3">
        <f ca="1">IFERROR(__xludf.DUMMYFUNCTION("""COMPUTED_VALUE"""),32449.6666666666)</f>
        <v>32449.666666666599</v>
      </c>
      <c r="B2237" s="1">
        <f ca="1">IFERROR(__xludf.DUMMYFUNCTION("""COMPUTED_VALUE"""),5.47)</f>
        <v>5.47</v>
      </c>
      <c r="C2237" s="1">
        <f ca="1">IFERROR(__xludf.DUMMYFUNCTION("""COMPUTED_VALUE"""),5.47)</f>
        <v>5.47</v>
      </c>
      <c r="D2237" s="1">
        <f ca="1">IFERROR(__xludf.DUMMYFUNCTION("""COMPUTED_VALUE"""),5.42)</f>
        <v>5.42</v>
      </c>
      <c r="E2237" s="1">
        <f ca="1">IFERROR(__xludf.DUMMYFUNCTION("""COMPUTED_VALUE"""),5.47)</f>
        <v>5.47</v>
      </c>
      <c r="F2237" s="1">
        <f ca="1">IFERROR(__xludf.DUMMYFUNCTION("""COMPUTED_VALUE"""),348000)</f>
        <v>348000</v>
      </c>
      <c r="I2237" s="1"/>
    </row>
    <row r="2238" spans="1:9">
      <c r="A2238" s="3">
        <f ca="1">IFERROR(__xludf.DUMMYFUNCTION("""COMPUTED_VALUE"""),32450.6666666666)</f>
        <v>32450.666666666599</v>
      </c>
      <c r="B2238" s="1">
        <f ca="1">IFERROR(__xludf.DUMMYFUNCTION("""COMPUTED_VALUE"""),5.45)</f>
        <v>5.45</v>
      </c>
      <c r="C2238" s="1">
        <f ca="1">IFERROR(__xludf.DUMMYFUNCTION("""COMPUTED_VALUE"""),5.5)</f>
        <v>5.5</v>
      </c>
      <c r="D2238" s="1">
        <f ca="1">IFERROR(__xludf.DUMMYFUNCTION("""COMPUTED_VALUE"""),5.44)</f>
        <v>5.44</v>
      </c>
      <c r="E2238" s="1">
        <f ca="1">IFERROR(__xludf.DUMMYFUNCTION("""COMPUTED_VALUE"""),5.45)</f>
        <v>5.45</v>
      </c>
      <c r="F2238" s="1">
        <f ca="1">IFERROR(__xludf.DUMMYFUNCTION("""COMPUTED_VALUE"""),211700)</f>
        <v>211700</v>
      </c>
      <c r="I2238" s="1"/>
    </row>
    <row r="2239" spans="1:9">
      <c r="A2239" s="3">
        <f ca="1">IFERROR(__xludf.DUMMYFUNCTION("""COMPUTED_VALUE"""),32451.6666666666)</f>
        <v>32451.666666666599</v>
      </c>
      <c r="B2239" s="1">
        <f ca="1">IFERROR(__xludf.DUMMYFUNCTION("""COMPUTED_VALUE"""),5.41)</f>
        <v>5.41</v>
      </c>
      <c r="C2239" s="1">
        <f ca="1">IFERROR(__xludf.DUMMYFUNCTION("""COMPUTED_VALUE"""),5.48)</f>
        <v>5.48</v>
      </c>
      <c r="D2239" s="1">
        <f ca="1">IFERROR(__xludf.DUMMYFUNCTION("""COMPUTED_VALUE"""),5.41)</f>
        <v>5.41</v>
      </c>
      <c r="E2239" s="1">
        <f ca="1">IFERROR(__xludf.DUMMYFUNCTION("""COMPUTED_VALUE"""),5.41)</f>
        <v>5.41</v>
      </c>
      <c r="F2239" s="1">
        <f ca="1">IFERROR(__xludf.DUMMYFUNCTION("""COMPUTED_VALUE"""),270200)</f>
        <v>270200</v>
      </c>
      <c r="I2239" s="1"/>
    </row>
    <row r="2240" spans="1:9">
      <c r="A2240" s="3">
        <f ca="1">IFERROR(__xludf.DUMMYFUNCTION("""COMPUTED_VALUE"""),32454.6666666666)</f>
        <v>32454.666666666599</v>
      </c>
      <c r="B2240" s="1">
        <f ca="1">IFERROR(__xludf.DUMMYFUNCTION("""COMPUTED_VALUE"""),5.37)</f>
        <v>5.37</v>
      </c>
      <c r="C2240" s="1">
        <f ca="1">IFERROR(__xludf.DUMMYFUNCTION("""COMPUTED_VALUE"""),5.39)</f>
        <v>5.39</v>
      </c>
      <c r="D2240" s="1">
        <f ca="1">IFERROR(__xludf.DUMMYFUNCTION("""COMPUTED_VALUE"""),5.36)</f>
        <v>5.36</v>
      </c>
      <c r="E2240" s="1">
        <f ca="1">IFERROR(__xludf.DUMMYFUNCTION("""COMPUTED_VALUE"""),5.37)</f>
        <v>5.37</v>
      </c>
      <c r="F2240" s="1">
        <f ca="1">IFERROR(__xludf.DUMMYFUNCTION("""COMPUTED_VALUE"""),448000)</f>
        <v>448000</v>
      </c>
      <c r="I2240" s="1"/>
    </row>
    <row r="2241" spans="1:9">
      <c r="A2241" s="3">
        <f ca="1">IFERROR(__xludf.DUMMYFUNCTION("""COMPUTED_VALUE"""),32455.6666666666)</f>
        <v>32455.666666666599</v>
      </c>
      <c r="B2241" s="1">
        <f ca="1">IFERROR(__xludf.DUMMYFUNCTION("""COMPUTED_VALUE"""),5.41)</f>
        <v>5.41</v>
      </c>
      <c r="C2241" s="1">
        <f ca="1">IFERROR(__xludf.DUMMYFUNCTION("""COMPUTED_VALUE"""),5.43)</f>
        <v>5.43</v>
      </c>
      <c r="D2241" s="1">
        <f ca="1">IFERROR(__xludf.DUMMYFUNCTION("""COMPUTED_VALUE"""),5.39)</f>
        <v>5.39</v>
      </c>
      <c r="E2241" s="1">
        <f ca="1">IFERROR(__xludf.DUMMYFUNCTION("""COMPUTED_VALUE"""),5.41)</f>
        <v>5.41</v>
      </c>
      <c r="F2241" s="1">
        <f ca="1">IFERROR(__xludf.DUMMYFUNCTION("""COMPUTED_VALUE"""),198000)</f>
        <v>198000</v>
      </c>
      <c r="I2241" s="1"/>
    </row>
    <row r="2242" spans="1:9">
      <c r="A2242" s="3">
        <f ca="1">IFERROR(__xludf.DUMMYFUNCTION("""COMPUTED_VALUE"""),32456.6666666666)</f>
        <v>32456.666666666599</v>
      </c>
      <c r="B2242" s="1">
        <f ca="1">IFERROR(__xludf.DUMMYFUNCTION("""COMPUTED_VALUE"""),5.38)</f>
        <v>5.38</v>
      </c>
      <c r="C2242" s="1">
        <f ca="1">IFERROR(__xludf.DUMMYFUNCTION("""COMPUTED_VALUE"""),5.41)</f>
        <v>5.41</v>
      </c>
      <c r="D2242" s="1">
        <f ca="1">IFERROR(__xludf.DUMMYFUNCTION("""COMPUTED_VALUE"""),5.37)</f>
        <v>5.37</v>
      </c>
      <c r="E2242" s="1">
        <f ca="1">IFERROR(__xludf.DUMMYFUNCTION("""COMPUTED_VALUE"""),5.38)</f>
        <v>5.38</v>
      </c>
      <c r="F2242" s="1">
        <f ca="1">IFERROR(__xludf.DUMMYFUNCTION("""COMPUTED_VALUE"""),410000)</f>
        <v>410000</v>
      </c>
      <c r="I2242" s="1"/>
    </row>
    <row r="2243" spans="1:9">
      <c r="A2243" s="3">
        <f ca="1">IFERROR(__xludf.DUMMYFUNCTION("""COMPUTED_VALUE"""),32457.6666666666)</f>
        <v>32457.666666666599</v>
      </c>
      <c r="B2243" s="1">
        <f ca="1">IFERROR(__xludf.DUMMYFUNCTION("""COMPUTED_VALUE"""),5.38)</f>
        <v>5.38</v>
      </c>
      <c r="C2243" s="1">
        <f ca="1">IFERROR(__xludf.DUMMYFUNCTION("""COMPUTED_VALUE"""),5.4)</f>
        <v>5.4</v>
      </c>
      <c r="D2243" s="1">
        <f ca="1">IFERROR(__xludf.DUMMYFUNCTION("""COMPUTED_VALUE"""),5.37)</f>
        <v>5.37</v>
      </c>
      <c r="E2243" s="1">
        <f ca="1">IFERROR(__xludf.DUMMYFUNCTION("""COMPUTED_VALUE"""),5.38)</f>
        <v>5.38</v>
      </c>
      <c r="F2243" s="1">
        <f ca="1">IFERROR(__xludf.DUMMYFUNCTION("""COMPUTED_VALUE"""),174700)</f>
        <v>174700</v>
      </c>
      <c r="I2243" s="1"/>
    </row>
    <row r="2244" spans="1:9">
      <c r="A2244" s="3">
        <f ca="1">IFERROR(__xludf.DUMMYFUNCTION("""COMPUTED_VALUE"""),32458.6666666666)</f>
        <v>32458.666666666599</v>
      </c>
      <c r="B2244" s="1">
        <f ca="1">IFERROR(__xludf.DUMMYFUNCTION("""COMPUTED_VALUE"""),5.27)</f>
        <v>5.27</v>
      </c>
      <c r="C2244" s="1">
        <f ca="1">IFERROR(__xludf.DUMMYFUNCTION("""COMPUTED_VALUE"""),5.36)</f>
        <v>5.36</v>
      </c>
      <c r="D2244" s="1">
        <f ca="1">IFERROR(__xludf.DUMMYFUNCTION("""COMPUTED_VALUE"""),5.27)</f>
        <v>5.27</v>
      </c>
      <c r="E2244" s="1">
        <f ca="1">IFERROR(__xludf.DUMMYFUNCTION("""COMPUTED_VALUE"""),5.27)</f>
        <v>5.27</v>
      </c>
      <c r="F2244" s="1">
        <f ca="1">IFERROR(__xludf.DUMMYFUNCTION("""COMPUTED_VALUE"""),560000)</f>
        <v>560000</v>
      </c>
      <c r="I2244" s="1"/>
    </row>
    <row r="2245" spans="1:9">
      <c r="A2245" s="3">
        <f ca="1">IFERROR(__xludf.DUMMYFUNCTION("""COMPUTED_VALUE"""),32461.6666666666)</f>
        <v>32461.666666666599</v>
      </c>
      <c r="B2245" s="1">
        <f ca="1">IFERROR(__xludf.DUMMYFUNCTION("""COMPUTED_VALUE"""),5.23)</f>
        <v>5.23</v>
      </c>
      <c r="C2245" s="1">
        <f ca="1">IFERROR(__xludf.DUMMYFUNCTION("""COMPUTED_VALUE"""),5.29)</f>
        <v>5.29</v>
      </c>
      <c r="D2245" s="1">
        <f ca="1">IFERROR(__xludf.DUMMYFUNCTION("""COMPUTED_VALUE"""),5.18)</f>
        <v>5.18</v>
      </c>
      <c r="E2245" s="1">
        <f ca="1">IFERROR(__xludf.DUMMYFUNCTION("""COMPUTED_VALUE"""),5.23)</f>
        <v>5.23</v>
      </c>
      <c r="F2245" s="1">
        <f ca="1">IFERROR(__xludf.DUMMYFUNCTION("""COMPUTED_VALUE"""),382400)</f>
        <v>382400</v>
      </c>
      <c r="I2245" s="1"/>
    </row>
    <row r="2246" spans="1:9">
      <c r="A2246" s="3">
        <f ca="1">IFERROR(__xludf.DUMMYFUNCTION("""COMPUTED_VALUE"""),32462.6666666666)</f>
        <v>32462.666666666599</v>
      </c>
      <c r="B2246" s="1">
        <f ca="1">IFERROR(__xludf.DUMMYFUNCTION("""COMPUTED_VALUE"""),5.2)</f>
        <v>5.2</v>
      </c>
      <c r="C2246" s="1">
        <f ca="1">IFERROR(__xludf.DUMMYFUNCTION("""COMPUTED_VALUE"""),5.24)</f>
        <v>5.24</v>
      </c>
      <c r="D2246" s="1">
        <f ca="1">IFERROR(__xludf.DUMMYFUNCTION("""COMPUTED_VALUE"""),5.19)</f>
        <v>5.19</v>
      </c>
      <c r="E2246" s="1">
        <f ca="1">IFERROR(__xludf.DUMMYFUNCTION("""COMPUTED_VALUE"""),5.2)</f>
        <v>5.2</v>
      </c>
      <c r="F2246" s="1">
        <f ca="1">IFERROR(__xludf.DUMMYFUNCTION("""COMPUTED_VALUE"""),215000)</f>
        <v>215000</v>
      </c>
      <c r="I2246" s="1"/>
    </row>
    <row r="2247" spans="1:9">
      <c r="A2247" s="3">
        <f ca="1">IFERROR(__xludf.DUMMYFUNCTION("""COMPUTED_VALUE"""),32463.6666666666)</f>
        <v>32463.666666666599</v>
      </c>
      <c r="B2247" s="1">
        <f ca="1">IFERROR(__xludf.DUMMYFUNCTION("""COMPUTED_VALUE"""),5.05)</f>
        <v>5.05</v>
      </c>
      <c r="C2247" s="1">
        <f ca="1">IFERROR(__xludf.DUMMYFUNCTION("""COMPUTED_VALUE"""),5.2)</f>
        <v>5.2</v>
      </c>
      <c r="D2247" s="1">
        <f ca="1">IFERROR(__xludf.DUMMYFUNCTION("""COMPUTED_VALUE"""),5.04)</f>
        <v>5.04</v>
      </c>
      <c r="E2247" s="1">
        <f ca="1">IFERROR(__xludf.DUMMYFUNCTION("""COMPUTED_VALUE"""),5.05)</f>
        <v>5.05</v>
      </c>
      <c r="F2247" s="1">
        <f ca="1">IFERROR(__xludf.DUMMYFUNCTION("""COMPUTED_VALUE"""),685200)</f>
        <v>685200</v>
      </c>
      <c r="I2247" s="1"/>
    </row>
    <row r="2248" spans="1:9">
      <c r="A2248" s="3">
        <f ca="1">IFERROR(__xludf.DUMMYFUNCTION("""COMPUTED_VALUE"""),32464.6666666666)</f>
        <v>32464.666666666599</v>
      </c>
      <c r="B2248" s="1">
        <f ca="1">IFERROR(__xludf.DUMMYFUNCTION("""COMPUTED_VALUE"""),5.14)</f>
        <v>5.14</v>
      </c>
      <c r="C2248" s="1">
        <f ca="1">IFERROR(__xludf.DUMMYFUNCTION("""COMPUTED_VALUE"""),5.14)</f>
        <v>5.14</v>
      </c>
      <c r="D2248" s="1">
        <f ca="1">IFERROR(__xludf.DUMMYFUNCTION("""COMPUTED_VALUE"""),5.09)</f>
        <v>5.09</v>
      </c>
      <c r="E2248" s="1">
        <f ca="1">IFERROR(__xludf.DUMMYFUNCTION("""COMPUTED_VALUE"""),5.14)</f>
        <v>5.14</v>
      </c>
      <c r="F2248" s="1">
        <f ca="1">IFERROR(__xludf.DUMMYFUNCTION("""COMPUTED_VALUE"""),375200)</f>
        <v>375200</v>
      </c>
      <c r="I2248" s="1"/>
    </row>
    <row r="2249" spans="1:9">
      <c r="A2249" s="3">
        <f ca="1">IFERROR(__xludf.DUMMYFUNCTION("""COMPUTED_VALUE"""),32465.6666666666)</f>
        <v>32465.666666666599</v>
      </c>
      <c r="B2249" s="1">
        <f ca="1">IFERROR(__xludf.DUMMYFUNCTION("""COMPUTED_VALUE"""),5.2)</f>
        <v>5.2</v>
      </c>
      <c r="C2249" s="1">
        <f ca="1">IFERROR(__xludf.DUMMYFUNCTION("""COMPUTED_VALUE"""),5.22)</f>
        <v>5.22</v>
      </c>
      <c r="D2249" s="1">
        <f ca="1">IFERROR(__xludf.DUMMYFUNCTION("""COMPUTED_VALUE"""),5.14)</f>
        <v>5.14</v>
      </c>
      <c r="E2249" s="1">
        <f ca="1">IFERROR(__xludf.DUMMYFUNCTION("""COMPUTED_VALUE"""),5.2)</f>
        <v>5.2</v>
      </c>
      <c r="F2249" s="1">
        <f ca="1">IFERROR(__xludf.DUMMYFUNCTION("""COMPUTED_VALUE"""),429200)</f>
        <v>429200</v>
      </c>
      <c r="I2249" s="1"/>
    </row>
    <row r="2250" spans="1:9">
      <c r="A2250" s="3">
        <f ca="1">IFERROR(__xludf.DUMMYFUNCTION("""COMPUTED_VALUE"""),32468.6666666666)</f>
        <v>32468.666666666599</v>
      </c>
      <c r="B2250" s="1">
        <f ca="1">IFERROR(__xludf.DUMMYFUNCTION("""COMPUTED_VALUE"""),5.23)</f>
        <v>5.23</v>
      </c>
      <c r="C2250" s="1">
        <f ca="1">IFERROR(__xludf.DUMMYFUNCTION("""COMPUTED_VALUE"""),5.24)</f>
        <v>5.24</v>
      </c>
      <c r="D2250" s="1">
        <f ca="1">IFERROR(__xludf.DUMMYFUNCTION("""COMPUTED_VALUE"""),5.15)</f>
        <v>5.15</v>
      </c>
      <c r="E2250" s="1">
        <f ca="1">IFERROR(__xludf.DUMMYFUNCTION("""COMPUTED_VALUE"""),5.23)</f>
        <v>5.23</v>
      </c>
      <c r="F2250" s="1">
        <f ca="1">IFERROR(__xludf.DUMMYFUNCTION("""COMPUTED_VALUE"""),307200)</f>
        <v>307200</v>
      </c>
      <c r="I2250" s="1"/>
    </row>
    <row r="2251" spans="1:9">
      <c r="A2251" s="3">
        <f ca="1">IFERROR(__xludf.DUMMYFUNCTION("""COMPUTED_VALUE"""),32469.6666666666)</f>
        <v>32469.666666666599</v>
      </c>
      <c r="B2251" s="1">
        <f ca="1">IFERROR(__xludf.DUMMYFUNCTION("""COMPUTED_VALUE"""),5.27)</f>
        <v>5.27</v>
      </c>
      <c r="C2251" s="1">
        <f ca="1">IFERROR(__xludf.DUMMYFUNCTION("""COMPUTED_VALUE"""),5.28)</f>
        <v>5.28</v>
      </c>
      <c r="D2251" s="1">
        <f ca="1">IFERROR(__xludf.DUMMYFUNCTION("""COMPUTED_VALUE"""),5.21)</f>
        <v>5.21</v>
      </c>
      <c r="E2251" s="1">
        <f ca="1">IFERROR(__xludf.DUMMYFUNCTION("""COMPUTED_VALUE"""),5.27)</f>
        <v>5.27</v>
      </c>
      <c r="F2251" s="1">
        <f ca="1">IFERROR(__xludf.DUMMYFUNCTION("""COMPUTED_VALUE"""),282400)</f>
        <v>282400</v>
      </c>
      <c r="I2251" s="1"/>
    </row>
    <row r="2252" spans="1:9">
      <c r="A2252" s="3">
        <f ca="1">IFERROR(__xludf.DUMMYFUNCTION("""COMPUTED_VALUE"""),32470.6666666666)</f>
        <v>32470.666666666599</v>
      </c>
      <c r="B2252" s="1">
        <f ca="1">IFERROR(__xludf.DUMMYFUNCTION("""COMPUTED_VALUE"""),5.27)</f>
        <v>5.27</v>
      </c>
      <c r="C2252" s="1">
        <f ca="1">IFERROR(__xludf.DUMMYFUNCTION("""COMPUTED_VALUE"""),5.3)</f>
        <v>5.3</v>
      </c>
      <c r="D2252" s="1">
        <f ca="1">IFERROR(__xludf.DUMMYFUNCTION("""COMPUTED_VALUE"""),5.27)</f>
        <v>5.27</v>
      </c>
      <c r="E2252" s="1">
        <f ca="1">IFERROR(__xludf.DUMMYFUNCTION("""COMPUTED_VALUE"""),5.27)</f>
        <v>5.27</v>
      </c>
      <c r="F2252" s="1">
        <f ca="1">IFERROR(__xludf.DUMMYFUNCTION("""COMPUTED_VALUE"""),154900)</f>
        <v>154900</v>
      </c>
      <c r="I2252" s="1"/>
    </row>
    <row r="2253" spans="1:9">
      <c r="A2253" s="3">
        <f ca="1">IFERROR(__xludf.DUMMYFUNCTION("""COMPUTED_VALUE"""),32472.6666666666)</f>
        <v>32472.666666666599</v>
      </c>
      <c r="B2253" s="1">
        <f ca="1">IFERROR(__xludf.DUMMYFUNCTION("""COMPUTED_VALUE"""),5.17)</f>
        <v>5.17</v>
      </c>
      <c r="C2253" s="1">
        <f ca="1">IFERROR(__xludf.DUMMYFUNCTION("""COMPUTED_VALUE"""),5.23)</f>
        <v>5.23</v>
      </c>
      <c r="D2253" s="1">
        <f ca="1">IFERROR(__xludf.DUMMYFUNCTION("""COMPUTED_VALUE"""),5.17)</f>
        <v>5.17</v>
      </c>
      <c r="E2253" s="1">
        <f ca="1">IFERROR(__xludf.DUMMYFUNCTION("""COMPUTED_VALUE"""),5.17)</f>
        <v>5.17</v>
      </c>
      <c r="F2253" s="1">
        <f ca="1">IFERROR(__xludf.DUMMYFUNCTION("""COMPUTED_VALUE"""),173500)</f>
        <v>173500</v>
      </c>
      <c r="I2253" s="1"/>
    </row>
    <row r="2254" spans="1:9">
      <c r="A2254" s="3">
        <f ca="1">IFERROR(__xludf.DUMMYFUNCTION("""COMPUTED_VALUE"""),32475.6666666666)</f>
        <v>32475.666666666599</v>
      </c>
      <c r="B2254" s="1">
        <f ca="1">IFERROR(__xludf.DUMMYFUNCTION("""COMPUTED_VALUE"""),5.25)</f>
        <v>5.25</v>
      </c>
      <c r="C2254" s="1">
        <f ca="1">IFERROR(__xludf.DUMMYFUNCTION("""COMPUTED_VALUE"""),5.28)</f>
        <v>5.28</v>
      </c>
      <c r="D2254" s="1">
        <f ca="1">IFERROR(__xludf.DUMMYFUNCTION("""COMPUTED_VALUE"""),5.19)</f>
        <v>5.19</v>
      </c>
      <c r="E2254" s="1">
        <f ca="1">IFERROR(__xludf.DUMMYFUNCTION("""COMPUTED_VALUE"""),5.25)</f>
        <v>5.25</v>
      </c>
      <c r="F2254" s="1">
        <f ca="1">IFERROR(__xludf.DUMMYFUNCTION("""COMPUTED_VALUE"""),387300)</f>
        <v>387300</v>
      </c>
      <c r="I2254" s="1"/>
    </row>
    <row r="2255" spans="1:9">
      <c r="A2255" s="3">
        <f ca="1">IFERROR(__xludf.DUMMYFUNCTION("""COMPUTED_VALUE"""),32476.6666666666)</f>
        <v>32476.666666666599</v>
      </c>
      <c r="B2255" s="1">
        <f ca="1">IFERROR(__xludf.DUMMYFUNCTION("""COMPUTED_VALUE"""),5.36)</f>
        <v>5.36</v>
      </c>
      <c r="C2255" s="1">
        <f ca="1">IFERROR(__xludf.DUMMYFUNCTION("""COMPUTED_VALUE"""),5.38)</f>
        <v>5.38</v>
      </c>
      <c r="D2255" s="1">
        <f ca="1">IFERROR(__xludf.DUMMYFUNCTION("""COMPUTED_VALUE"""),5.24)</f>
        <v>5.24</v>
      </c>
      <c r="E2255" s="1">
        <f ca="1">IFERROR(__xludf.DUMMYFUNCTION("""COMPUTED_VALUE"""),5.36)</f>
        <v>5.36</v>
      </c>
      <c r="F2255" s="1">
        <f ca="1">IFERROR(__xludf.DUMMYFUNCTION("""COMPUTED_VALUE"""),424700)</f>
        <v>424700</v>
      </c>
      <c r="I2255" s="1"/>
    </row>
    <row r="2256" spans="1:9">
      <c r="A2256" s="3">
        <f ca="1">IFERROR(__xludf.DUMMYFUNCTION("""COMPUTED_VALUE"""),32477.6666666666)</f>
        <v>32477.666666666599</v>
      </c>
      <c r="B2256" s="1">
        <f ca="1">IFERROR(__xludf.DUMMYFUNCTION("""COMPUTED_VALUE"""),5.38)</f>
        <v>5.38</v>
      </c>
      <c r="C2256" s="1">
        <f ca="1">IFERROR(__xludf.DUMMYFUNCTION("""COMPUTED_VALUE"""),5.4)</f>
        <v>5.4</v>
      </c>
      <c r="D2256" s="1">
        <f ca="1">IFERROR(__xludf.DUMMYFUNCTION("""COMPUTED_VALUE"""),5.32)</f>
        <v>5.32</v>
      </c>
      <c r="E2256" s="1">
        <f ca="1">IFERROR(__xludf.DUMMYFUNCTION("""COMPUTED_VALUE"""),5.38)</f>
        <v>5.38</v>
      </c>
      <c r="F2256" s="1">
        <f ca="1">IFERROR(__xludf.DUMMYFUNCTION("""COMPUTED_VALUE"""),406200)</f>
        <v>406200</v>
      </c>
      <c r="I2256" s="1"/>
    </row>
    <row r="2257" spans="1:9">
      <c r="A2257" s="3">
        <f ca="1">IFERROR(__xludf.DUMMYFUNCTION("""COMPUTED_VALUE"""),32478.6666666666)</f>
        <v>32478.666666666599</v>
      </c>
      <c r="B2257" s="1">
        <f ca="1">IFERROR(__xludf.DUMMYFUNCTION("""COMPUTED_VALUE"""),5.33)</f>
        <v>5.33</v>
      </c>
      <c r="C2257" s="1">
        <f ca="1">IFERROR(__xludf.DUMMYFUNCTION("""COMPUTED_VALUE"""),5.38)</f>
        <v>5.38</v>
      </c>
      <c r="D2257" s="1">
        <f ca="1">IFERROR(__xludf.DUMMYFUNCTION("""COMPUTED_VALUE"""),5.33)</f>
        <v>5.33</v>
      </c>
      <c r="E2257" s="1">
        <f ca="1">IFERROR(__xludf.DUMMYFUNCTION("""COMPUTED_VALUE"""),5.33)</f>
        <v>5.33</v>
      </c>
      <c r="F2257" s="1">
        <f ca="1">IFERROR(__xludf.DUMMYFUNCTION("""COMPUTED_VALUE"""),181100)</f>
        <v>181100</v>
      </c>
      <c r="I2257" s="1"/>
    </row>
    <row r="2258" spans="1:9">
      <c r="A2258" s="3">
        <f ca="1">IFERROR(__xludf.DUMMYFUNCTION("""COMPUTED_VALUE"""),32479.6666666666)</f>
        <v>32479.666666666599</v>
      </c>
      <c r="B2258" s="1">
        <f ca="1">IFERROR(__xludf.DUMMYFUNCTION("""COMPUTED_VALUE"""),5.3)</f>
        <v>5.3</v>
      </c>
      <c r="C2258" s="1">
        <f ca="1">IFERROR(__xludf.DUMMYFUNCTION("""COMPUTED_VALUE"""),5.3)</f>
        <v>5.3</v>
      </c>
      <c r="D2258" s="1">
        <f ca="1">IFERROR(__xludf.DUMMYFUNCTION("""COMPUTED_VALUE"""),5.27)</f>
        <v>5.27</v>
      </c>
      <c r="E2258" s="1">
        <f ca="1">IFERROR(__xludf.DUMMYFUNCTION("""COMPUTED_VALUE"""),5.3)</f>
        <v>5.3</v>
      </c>
      <c r="F2258" s="1">
        <f ca="1">IFERROR(__xludf.DUMMYFUNCTION("""COMPUTED_VALUE"""),401200)</f>
        <v>401200</v>
      </c>
      <c r="I2258" s="1"/>
    </row>
    <row r="2259" spans="1:9">
      <c r="A2259" s="3">
        <f ca="1">IFERROR(__xludf.DUMMYFUNCTION("""COMPUTED_VALUE"""),32482.6666666666)</f>
        <v>32482.666666666599</v>
      </c>
      <c r="B2259" s="1">
        <f ca="1">IFERROR(__xludf.DUMMYFUNCTION("""COMPUTED_VALUE"""),5.34)</f>
        <v>5.34</v>
      </c>
      <c r="C2259" s="1">
        <f ca="1">IFERROR(__xludf.DUMMYFUNCTION("""COMPUTED_VALUE"""),5.42)</f>
        <v>5.42</v>
      </c>
      <c r="D2259" s="1">
        <f ca="1">IFERROR(__xludf.DUMMYFUNCTION("""COMPUTED_VALUE"""),5.3)</f>
        <v>5.3</v>
      </c>
      <c r="E2259" s="1">
        <f ca="1">IFERROR(__xludf.DUMMYFUNCTION("""COMPUTED_VALUE"""),5.34)</f>
        <v>5.34</v>
      </c>
      <c r="F2259" s="1">
        <f ca="1">IFERROR(__xludf.DUMMYFUNCTION("""COMPUTED_VALUE"""),340300)</f>
        <v>340300</v>
      </c>
      <c r="I2259" s="1"/>
    </row>
    <row r="2260" spans="1:9">
      <c r="A2260" s="3">
        <f ca="1">IFERROR(__xludf.DUMMYFUNCTION("""COMPUTED_VALUE"""),32483.6666666666)</f>
        <v>32483.666666666599</v>
      </c>
      <c r="B2260" s="1">
        <f ca="1">IFERROR(__xludf.DUMMYFUNCTION("""COMPUTED_VALUE"""),5.41)</f>
        <v>5.41</v>
      </c>
      <c r="C2260" s="1">
        <f ca="1">IFERROR(__xludf.DUMMYFUNCTION("""COMPUTED_VALUE"""),5.42)</f>
        <v>5.42</v>
      </c>
      <c r="D2260" s="1">
        <f ca="1">IFERROR(__xludf.DUMMYFUNCTION("""COMPUTED_VALUE"""),5.31)</f>
        <v>5.31</v>
      </c>
      <c r="E2260" s="1">
        <f ca="1">IFERROR(__xludf.DUMMYFUNCTION("""COMPUTED_VALUE"""),5.41)</f>
        <v>5.41</v>
      </c>
      <c r="F2260" s="1">
        <f ca="1">IFERROR(__xludf.DUMMYFUNCTION("""COMPUTED_VALUE"""),383300)</f>
        <v>383300</v>
      </c>
      <c r="I2260" s="1"/>
    </row>
    <row r="2261" spans="1:9">
      <c r="A2261" s="3">
        <f ca="1">IFERROR(__xludf.DUMMYFUNCTION("""COMPUTED_VALUE"""),32484.6666666666)</f>
        <v>32484.666666666599</v>
      </c>
      <c r="B2261" s="1">
        <f ca="1">IFERROR(__xludf.DUMMYFUNCTION("""COMPUTED_VALUE"""),5.45)</f>
        <v>5.45</v>
      </c>
      <c r="C2261" s="1">
        <f ca="1">IFERROR(__xludf.DUMMYFUNCTION("""COMPUTED_VALUE"""),5.46)</f>
        <v>5.46</v>
      </c>
      <c r="D2261" s="1">
        <f ca="1">IFERROR(__xludf.DUMMYFUNCTION("""COMPUTED_VALUE"""),5.43)</f>
        <v>5.43</v>
      </c>
      <c r="E2261" s="1">
        <f ca="1">IFERROR(__xludf.DUMMYFUNCTION("""COMPUTED_VALUE"""),5.45)</f>
        <v>5.45</v>
      </c>
      <c r="F2261" s="1">
        <f ca="1">IFERROR(__xludf.DUMMYFUNCTION("""COMPUTED_VALUE"""),418200)</f>
        <v>418200</v>
      </c>
      <c r="I2261" s="1"/>
    </row>
    <row r="2262" spans="1:9">
      <c r="A2262" s="3">
        <f ca="1">IFERROR(__xludf.DUMMYFUNCTION("""COMPUTED_VALUE"""),32485.6666666666)</f>
        <v>32485.666666666599</v>
      </c>
      <c r="B2262" s="1">
        <f ca="1">IFERROR(__xludf.DUMMYFUNCTION("""COMPUTED_VALUE"""),5.41)</f>
        <v>5.41</v>
      </c>
      <c r="C2262" s="1">
        <f ca="1">IFERROR(__xludf.DUMMYFUNCTION("""COMPUTED_VALUE"""),5.45)</f>
        <v>5.45</v>
      </c>
      <c r="D2262" s="1">
        <f ca="1">IFERROR(__xludf.DUMMYFUNCTION("""COMPUTED_VALUE"""),5.4)</f>
        <v>5.4</v>
      </c>
      <c r="E2262" s="1">
        <f ca="1">IFERROR(__xludf.DUMMYFUNCTION("""COMPUTED_VALUE"""),5.41)</f>
        <v>5.41</v>
      </c>
      <c r="F2262" s="1">
        <f ca="1">IFERROR(__xludf.DUMMYFUNCTION("""COMPUTED_VALUE"""),143200)</f>
        <v>143200</v>
      </c>
      <c r="I2262" s="1"/>
    </row>
    <row r="2263" spans="1:9">
      <c r="A2263" s="3">
        <f ca="1">IFERROR(__xludf.DUMMYFUNCTION("""COMPUTED_VALUE"""),32486.6666666666)</f>
        <v>32486.666666666599</v>
      </c>
      <c r="B2263" s="1">
        <f ca="1">IFERROR(__xludf.DUMMYFUNCTION("""COMPUTED_VALUE"""),5.44)</f>
        <v>5.44</v>
      </c>
      <c r="C2263" s="1">
        <f ca="1">IFERROR(__xludf.DUMMYFUNCTION("""COMPUTED_VALUE"""),5.45)</f>
        <v>5.45</v>
      </c>
      <c r="D2263" s="1">
        <f ca="1">IFERROR(__xludf.DUMMYFUNCTION("""COMPUTED_VALUE"""),5.38)</f>
        <v>5.38</v>
      </c>
      <c r="E2263" s="1">
        <f ca="1">IFERROR(__xludf.DUMMYFUNCTION("""COMPUTED_VALUE"""),5.44)</f>
        <v>5.44</v>
      </c>
      <c r="F2263" s="1">
        <f ca="1">IFERROR(__xludf.DUMMYFUNCTION("""COMPUTED_VALUE"""),187200)</f>
        <v>187200</v>
      </c>
      <c r="I2263" s="1"/>
    </row>
    <row r="2264" spans="1:9">
      <c r="A2264" s="3">
        <f ca="1">IFERROR(__xludf.DUMMYFUNCTION("""COMPUTED_VALUE"""),32489.6666666666)</f>
        <v>32489.666666666599</v>
      </c>
      <c r="B2264" s="1">
        <f ca="1">IFERROR(__xludf.DUMMYFUNCTION("""COMPUTED_VALUE"""),5.36)</f>
        <v>5.36</v>
      </c>
      <c r="C2264" s="1">
        <f ca="1">IFERROR(__xludf.DUMMYFUNCTION("""COMPUTED_VALUE"""),5.44)</f>
        <v>5.44</v>
      </c>
      <c r="D2264" s="1">
        <f ca="1">IFERROR(__xludf.DUMMYFUNCTION("""COMPUTED_VALUE"""),5.36)</f>
        <v>5.36</v>
      </c>
      <c r="E2264" s="1">
        <f ca="1">IFERROR(__xludf.DUMMYFUNCTION("""COMPUTED_VALUE"""),5.36)</f>
        <v>5.36</v>
      </c>
      <c r="F2264" s="1">
        <f ca="1">IFERROR(__xludf.DUMMYFUNCTION("""COMPUTED_VALUE"""),216500)</f>
        <v>216500</v>
      </c>
      <c r="I2264" s="1"/>
    </row>
    <row r="2265" spans="1:9">
      <c r="A2265" s="3">
        <f ca="1">IFERROR(__xludf.DUMMYFUNCTION("""COMPUTED_VALUE"""),32490.6666666666)</f>
        <v>32490.666666666599</v>
      </c>
      <c r="B2265" s="1">
        <f ca="1">IFERROR(__xludf.DUMMYFUNCTION("""COMPUTED_VALUE"""),5.35)</f>
        <v>5.35</v>
      </c>
      <c r="C2265" s="1">
        <f ca="1">IFERROR(__xludf.DUMMYFUNCTION("""COMPUTED_VALUE"""),5.35)</f>
        <v>5.35</v>
      </c>
      <c r="D2265" s="1">
        <f ca="1">IFERROR(__xludf.DUMMYFUNCTION("""COMPUTED_VALUE"""),5.31)</f>
        <v>5.31</v>
      </c>
      <c r="E2265" s="1">
        <f ca="1">IFERROR(__xludf.DUMMYFUNCTION("""COMPUTED_VALUE"""),5.35)</f>
        <v>5.35</v>
      </c>
      <c r="F2265" s="1">
        <f ca="1">IFERROR(__xludf.DUMMYFUNCTION("""COMPUTED_VALUE"""),213400)</f>
        <v>213400</v>
      </c>
      <c r="I2265" s="1"/>
    </row>
    <row r="2266" spans="1:9">
      <c r="A2266" s="3">
        <f ca="1">IFERROR(__xludf.DUMMYFUNCTION("""COMPUTED_VALUE"""),32491.6666666666)</f>
        <v>32491.666666666599</v>
      </c>
      <c r="B2266" s="1">
        <f ca="1">IFERROR(__xludf.DUMMYFUNCTION("""COMPUTED_VALUE"""),5.31)</f>
        <v>5.31</v>
      </c>
      <c r="C2266" s="1">
        <f ca="1">IFERROR(__xludf.DUMMYFUNCTION("""COMPUTED_VALUE"""),5.34)</f>
        <v>5.34</v>
      </c>
      <c r="D2266" s="1">
        <f ca="1">IFERROR(__xludf.DUMMYFUNCTION("""COMPUTED_VALUE"""),5.29)</f>
        <v>5.29</v>
      </c>
      <c r="E2266" s="1">
        <f ca="1">IFERROR(__xludf.DUMMYFUNCTION("""COMPUTED_VALUE"""),5.31)</f>
        <v>5.31</v>
      </c>
      <c r="F2266" s="1">
        <f ca="1">IFERROR(__xludf.DUMMYFUNCTION("""COMPUTED_VALUE"""),411600)</f>
        <v>411600</v>
      </c>
      <c r="I2266" s="1"/>
    </row>
    <row r="2267" spans="1:9">
      <c r="A2267" s="3">
        <f ca="1">IFERROR(__xludf.DUMMYFUNCTION("""COMPUTED_VALUE"""),32492.6666666666)</f>
        <v>32492.666666666599</v>
      </c>
      <c r="B2267" s="1">
        <f ca="1">IFERROR(__xludf.DUMMYFUNCTION("""COMPUTED_VALUE"""),5.32)</f>
        <v>5.32</v>
      </c>
      <c r="C2267" s="1">
        <f ca="1">IFERROR(__xludf.DUMMYFUNCTION("""COMPUTED_VALUE"""),5.33)</f>
        <v>5.33</v>
      </c>
      <c r="D2267" s="1">
        <f ca="1">IFERROR(__xludf.DUMMYFUNCTION("""COMPUTED_VALUE"""),5.29)</f>
        <v>5.29</v>
      </c>
      <c r="E2267" s="1">
        <f ca="1">IFERROR(__xludf.DUMMYFUNCTION("""COMPUTED_VALUE"""),5.32)</f>
        <v>5.32</v>
      </c>
      <c r="F2267" s="1">
        <f ca="1">IFERROR(__xludf.DUMMYFUNCTION("""COMPUTED_VALUE"""),205900)</f>
        <v>205900</v>
      </c>
      <c r="I2267" s="1"/>
    </row>
    <row r="2268" spans="1:9">
      <c r="A2268" s="3">
        <f ca="1">IFERROR(__xludf.DUMMYFUNCTION("""COMPUTED_VALUE"""),32493.6666666666)</f>
        <v>32493.666666666599</v>
      </c>
      <c r="B2268" s="1">
        <f ca="1">IFERROR(__xludf.DUMMYFUNCTION("""COMPUTED_VALUE"""),5.36)</f>
        <v>5.36</v>
      </c>
      <c r="C2268" s="1">
        <f ca="1">IFERROR(__xludf.DUMMYFUNCTION("""COMPUTED_VALUE"""),5.36)</f>
        <v>5.36</v>
      </c>
      <c r="D2268" s="1">
        <f ca="1">IFERROR(__xludf.DUMMYFUNCTION("""COMPUTED_VALUE"""),5.31)</f>
        <v>5.31</v>
      </c>
      <c r="E2268" s="1">
        <f ca="1">IFERROR(__xludf.DUMMYFUNCTION("""COMPUTED_VALUE"""),5.36)</f>
        <v>5.36</v>
      </c>
      <c r="F2268" s="1">
        <f ca="1">IFERROR(__xludf.DUMMYFUNCTION("""COMPUTED_VALUE"""),573700)</f>
        <v>573700</v>
      </c>
      <c r="I2268" s="1"/>
    </row>
    <row r="2269" spans="1:9">
      <c r="A2269" s="3">
        <f ca="1">IFERROR(__xludf.DUMMYFUNCTION("""COMPUTED_VALUE"""),32496.6666666666)</f>
        <v>32496.666666666599</v>
      </c>
      <c r="B2269" s="1">
        <f ca="1">IFERROR(__xludf.DUMMYFUNCTION("""COMPUTED_VALUE"""),5.44)</f>
        <v>5.44</v>
      </c>
      <c r="C2269" s="1">
        <f ca="1">IFERROR(__xludf.DUMMYFUNCTION("""COMPUTED_VALUE"""),5.44)</f>
        <v>5.44</v>
      </c>
      <c r="D2269" s="1">
        <f ca="1">IFERROR(__xludf.DUMMYFUNCTION("""COMPUTED_VALUE"""),5.34)</f>
        <v>5.34</v>
      </c>
      <c r="E2269" s="1">
        <f ca="1">IFERROR(__xludf.DUMMYFUNCTION("""COMPUTED_VALUE"""),5.44)</f>
        <v>5.44</v>
      </c>
      <c r="F2269" s="1">
        <f ca="1">IFERROR(__xludf.DUMMYFUNCTION("""COMPUTED_VALUE"""),336400)</f>
        <v>336400</v>
      </c>
      <c r="I2269" s="1"/>
    </row>
    <row r="2270" spans="1:9">
      <c r="A2270" s="3">
        <f ca="1">IFERROR(__xludf.DUMMYFUNCTION("""COMPUTED_VALUE"""),32497.6666666666)</f>
        <v>32497.666666666599</v>
      </c>
      <c r="B2270" s="1">
        <f ca="1">IFERROR(__xludf.DUMMYFUNCTION("""COMPUTED_VALUE"""),5.35)</f>
        <v>5.35</v>
      </c>
      <c r="C2270" s="1">
        <f ca="1">IFERROR(__xludf.DUMMYFUNCTION("""COMPUTED_VALUE"""),5.47)</f>
        <v>5.47</v>
      </c>
      <c r="D2270" s="1">
        <f ca="1">IFERROR(__xludf.DUMMYFUNCTION("""COMPUTED_VALUE"""),5.35)</f>
        <v>5.35</v>
      </c>
      <c r="E2270" s="1">
        <f ca="1">IFERROR(__xludf.DUMMYFUNCTION("""COMPUTED_VALUE"""),5.35)</f>
        <v>5.35</v>
      </c>
      <c r="F2270" s="1">
        <f ca="1">IFERROR(__xludf.DUMMYFUNCTION("""COMPUTED_VALUE"""),240200)</f>
        <v>240200</v>
      </c>
      <c r="I2270" s="1"/>
    </row>
    <row r="2271" spans="1:9">
      <c r="A2271" s="3">
        <f ca="1">IFERROR(__xludf.DUMMYFUNCTION("""COMPUTED_VALUE"""),32498.6666666666)</f>
        <v>32498.666666666599</v>
      </c>
      <c r="B2271" s="1">
        <f ca="1">IFERROR(__xludf.DUMMYFUNCTION("""COMPUTED_VALUE"""),5.33)</f>
        <v>5.33</v>
      </c>
      <c r="C2271" s="1">
        <f ca="1">IFERROR(__xludf.DUMMYFUNCTION("""COMPUTED_VALUE"""),5.38)</f>
        <v>5.38</v>
      </c>
      <c r="D2271" s="1">
        <f ca="1">IFERROR(__xludf.DUMMYFUNCTION("""COMPUTED_VALUE"""),5.31)</f>
        <v>5.31</v>
      </c>
      <c r="E2271" s="1">
        <f ca="1">IFERROR(__xludf.DUMMYFUNCTION("""COMPUTED_VALUE"""),5.33)</f>
        <v>5.33</v>
      </c>
      <c r="F2271" s="1">
        <f ca="1">IFERROR(__xludf.DUMMYFUNCTION("""COMPUTED_VALUE"""),390500)</f>
        <v>390500</v>
      </c>
      <c r="I2271" s="1"/>
    </row>
    <row r="2272" spans="1:9">
      <c r="A2272" s="3">
        <f ca="1">IFERROR(__xludf.DUMMYFUNCTION("""COMPUTED_VALUE"""),32499.6666666666)</f>
        <v>32499.666666666599</v>
      </c>
      <c r="B2272" s="1">
        <f ca="1">IFERROR(__xludf.DUMMYFUNCTION("""COMPUTED_VALUE"""),5.3)</f>
        <v>5.3</v>
      </c>
      <c r="C2272" s="1">
        <f ca="1">IFERROR(__xludf.DUMMYFUNCTION("""COMPUTED_VALUE"""),5.35)</f>
        <v>5.35</v>
      </c>
      <c r="D2272" s="1">
        <f ca="1">IFERROR(__xludf.DUMMYFUNCTION("""COMPUTED_VALUE"""),5.29)</f>
        <v>5.29</v>
      </c>
      <c r="E2272" s="1">
        <f ca="1">IFERROR(__xludf.DUMMYFUNCTION("""COMPUTED_VALUE"""),5.3)</f>
        <v>5.3</v>
      </c>
      <c r="F2272" s="1">
        <f ca="1">IFERROR(__xludf.DUMMYFUNCTION("""COMPUTED_VALUE"""),199700)</f>
        <v>199700</v>
      </c>
      <c r="I2272" s="1"/>
    </row>
    <row r="2273" spans="1:9">
      <c r="A2273" s="3">
        <f ca="1">IFERROR(__xludf.DUMMYFUNCTION("""COMPUTED_VALUE"""),32500.6666666666)</f>
        <v>32500.666666666599</v>
      </c>
      <c r="B2273" s="1">
        <f ca="1">IFERROR(__xludf.DUMMYFUNCTION("""COMPUTED_VALUE"""),5.33)</f>
        <v>5.33</v>
      </c>
      <c r="C2273" s="1">
        <f ca="1">IFERROR(__xludf.DUMMYFUNCTION("""COMPUTED_VALUE"""),5.34)</f>
        <v>5.34</v>
      </c>
      <c r="D2273" s="1">
        <f ca="1">IFERROR(__xludf.DUMMYFUNCTION("""COMPUTED_VALUE"""),5.31)</f>
        <v>5.31</v>
      </c>
      <c r="E2273" s="1">
        <f ca="1">IFERROR(__xludf.DUMMYFUNCTION("""COMPUTED_VALUE"""),5.33)</f>
        <v>5.33</v>
      </c>
      <c r="F2273" s="1">
        <f ca="1">IFERROR(__xludf.DUMMYFUNCTION("""COMPUTED_VALUE"""),68800)</f>
        <v>68800</v>
      </c>
      <c r="I2273" s="1"/>
    </row>
    <row r="2274" spans="1:9">
      <c r="A2274" s="3">
        <f ca="1">IFERROR(__xludf.DUMMYFUNCTION("""COMPUTED_VALUE"""),32504.6666666666)</f>
        <v>32504.666666666599</v>
      </c>
      <c r="B2274" s="1">
        <f ca="1">IFERROR(__xludf.DUMMYFUNCTION("""COMPUTED_VALUE"""),5.29)</f>
        <v>5.29</v>
      </c>
      <c r="C2274" s="1">
        <f ca="1">IFERROR(__xludf.DUMMYFUNCTION("""COMPUTED_VALUE"""),5.33)</f>
        <v>5.33</v>
      </c>
      <c r="D2274" s="1">
        <f ca="1">IFERROR(__xludf.DUMMYFUNCTION("""COMPUTED_VALUE"""),5.29)</f>
        <v>5.29</v>
      </c>
      <c r="E2274" s="1">
        <f ca="1">IFERROR(__xludf.DUMMYFUNCTION("""COMPUTED_VALUE"""),5.29)</f>
        <v>5.29</v>
      </c>
      <c r="F2274" s="1">
        <f ca="1">IFERROR(__xludf.DUMMYFUNCTION("""COMPUTED_VALUE"""),76700)</f>
        <v>76700</v>
      </c>
      <c r="I2274" s="1"/>
    </row>
    <row r="2275" spans="1:9">
      <c r="A2275" s="3">
        <f ca="1">IFERROR(__xludf.DUMMYFUNCTION("""COMPUTED_VALUE"""),32505.6666666666)</f>
        <v>32505.666666666599</v>
      </c>
      <c r="B2275" s="1">
        <f ca="1">IFERROR(__xludf.DUMMYFUNCTION("""COMPUTED_VALUE"""),5.3)</f>
        <v>5.3</v>
      </c>
      <c r="C2275" s="1">
        <f ca="1">IFERROR(__xludf.DUMMYFUNCTION("""COMPUTED_VALUE"""),5.33)</f>
        <v>5.33</v>
      </c>
      <c r="D2275" s="1">
        <f ca="1">IFERROR(__xludf.DUMMYFUNCTION("""COMPUTED_VALUE"""),5.27)</f>
        <v>5.27</v>
      </c>
      <c r="E2275" s="1">
        <f ca="1">IFERROR(__xludf.DUMMYFUNCTION("""COMPUTED_VALUE"""),5.3)</f>
        <v>5.3</v>
      </c>
      <c r="F2275" s="1">
        <f ca="1">IFERROR(__xludf.DUMMYFUNCTION("""COMPUTED_VALUE"""),136500)</f>
        <v>136500</v>
      </c>
      <c r="I2275" s="1"/>
    </row>
    <row r="2276" spans="1:9">
      <c r="A2276" s="3">
        <f ca="1">IFERROR(__xludf.DUMMYFUNCTION("""COMPUTED_VALUE"""),32506.6666666666)</f>
        <v>32506.666666666599</v>
      </c>
      <c r="B2276" s="1">
        <f ca="1">IFERROR(__xludf.DUMMYFUNCTION("""COMPUTED_VALUE"""),5.37)</f>
        <v>5.37</v>
      </c>
      <c r="C2276" s="1">
        <f ca="1">IFERROR(__xludf.DUMMYFUNCTION("""COMPUTED_VALUE"""),5.37)</f>
        <v>5.37</v>
      </c>
      <c r="D2276" s="1">
        <f ca="1">IFERROR(__xludf.DUMMYFUNCTION("""COMPUTED_VALUE"""),5.3)</f>
        <v>5.3</v>
      </c>
      <c r="E2276" s="1">
        <f ca="1">IFERROR(__xludf.DUMMYFUNCTION("""COMPUTED_VALUE"""),5.37)</f>
        <v>5.37</v>
      </c>
      <c r="F2276" s="1">
        <f ca="1">IFERROR(__xludf.DUMMYFUNCTION("""COMPUTED_VALUE"""),191600)</f>
        <v>191600</v>
      </c>
      <c r="I2276" s="1"/>
    </row>
    <row r="2277" spans="1:9">
      <c r="A2277" s="3">
        <f ca="1">IFERROR(__xludf.DUMMYFUNCTION("""COMPUTED_VALUE"""),32507.6666666666)</f>
        <v>32507.666666666599</v>
      </c>
      <c r="B2277" s="1">
        <f ca="1">IFERROR(__xludf.DUMMYFUNCTION("""COMPUTED_VALUE"""),5.32)</f>
        <v>5.32</v>
      </c>
      <c r="C2277" s="1">
        <f ca="1">IFERROR(__xludf.DUMMYFUNCTION("""COMPUTED_VALUE"""),5.4)</f>
        <v>5.4</v>
      </c>
      <c r="D2277" s="1">
        <f ca="1">IFERROR(__xludf.DUMMYFUNCTION("""COMPUTED_VALUE"""),5.32)</f>
        <v>5.32</v>
      </c>
      <c r="E2277" s="1">
        <f ca="1">IFERROR(__xludf.DUMMYFUNCTION("""COMPUTED_VALUE"""),5.32)</f>
        <v>5.32</v>
      </c>
      <c r="F2277" s="1">
        <f ca="1">IFERROR(__xludf.DUMMYFUNCTION("""COMPUTED_VALUE"""),149500)</f>
        <v>149500</v>
      </c>
      <c r="I2277" s="1"/>
    </row>
    <row r="2278" spans="1:9">
      <c r="A2278" s="3">
        <f ca="1">IFERROR(__xludf.DUMMYFUNCTION("""COMPUTED_VALUE"""),32511.6666666666)</f>
        <v>32511.666666666599</v>
      </c>
      <c r="B2278" s="1">
        <f ca="1">IFERROR(__xludf.DUMMYFUNCTION("""COMPUTED_VALUE"""),5.23)</f>
        <v>5.23</v>
      </c>
      <c r="C2278" s="1">
        <f ca="1">IFERROR(__xludf.DUMMYFUNCTION("""COMPUTED_VALUE"""),5.31)</f>
        <v>5.31</v>
      </c>
      <c r="D2278" s="1">
        <f ca="1">IFERROR(__xludf.DUMMYFUNCTION("""COMPUTED_VALUE"""),5.19)</f>
        <v>5.19</v>
      </c>
      <c r="E2278" s="1">
        <f ca="1">IFERROR(__xludf.DUMMYFUNCTION("""COMPUTED_VALUE"""),5.23)</f>
        <v>5.23</v>
      </c>
      <c r="F2278" s="1">
        <f ca="1">IFERROR(__xludf.DUMMYFUNCTION("""COMPUTED_VALUE"""),401100)</f>
        <v>401100</v>
      </c>
      <c r="I2278" s="1"/>
    </row>
    <row r="2279" spans="1:9">
      <c r="A2279" s="3">
        <f ca="1">IFERROR(__xludf.DUMMYFUNCTION("""COMPUTED_VALUE"""),32512.6666666666)</f>
        <v>32512.666666666599</v>
      </c>
      <c r="B2279" s="1">
        <f ca="1">IFERROR(__xludf.DUMMYFUNCTION("""COMPUTED_VALUE"""),5.33)</f>
        <v>5.33</v>
      </c>
      <c r="C2279" s="1">
        <f ca="1">IFERROR(__xludf.DUMMYFUNCTION("""COMPUTED_VALUE"""),5.34)</f>
        <v>5.34</v>
      </c>
      <c r="D2279" s="1">
        <f ca="1">IFERROR(__xludf.DUMMYFUNCTION("""COMPUTED_VALUE"""),5.24)</f>
        <v>5.24</v>
      </c>
      <c r="E2279" s="1">
        <f ca="1">IFERROR(__xludf.DUMMYFUNCTION("""COMPUTED_VALUE"""),5.33)</f>
        <v>5.33</v>
      </c>
      <c r="F2279" s="1">
        <f ca="1">IFERROR(__xludf.DUMMYFUNCTION("""COMPUTED_VALUE"""),344100)</f>
        <v>344100</v>
      </c>
      <c r="I2279" s="1"/>
    </row>
    <row r="2280" spans="1:9">
      <c r="A2280" s="3">
        <f ca="1">IFERROR(__xludf.DUMMYFUNCTION("""COMPUTED_VALUE"""),32513.6666666666)</f>
        <v>32513.666666666599</v>
      </c>
      <c r="B2280" s="1">
        <f ca="1">IFERROR(__xludf.DUMMYFUNCTION("""COMPUTED_VALUE"""),5.36)</f>
        <v>5.36</v>
      </c>
      <c r="C2280" s="1">
        <f ca="1">IFERROR(__xludf.DUMMYFUNCTION("""COMPUTED_VALUE"""),5.37)</f>
        <v>5.37</v>
      </c>
      <c r="D2280" s="1">
        <f ca="1">IFERROR(__xludf.DUMMYFUNCTION("""COMPUTED_VALUE"""),5.29)</f>
        <v>5.29</v>
      </c>
      <c r="E2280" s="1">
        <f ca="1">IFERROR(__xludf.DUMMYFUNCTION("""COMPUTED_VALUE"""),5.36)</f>
        <v>5.36</v>
      </c>
      <c r="F2280" s="1">
        <f ca="1">IFERROR(__xludf.DUMMYFUNCTION("""COMPUTED_VALUE"""),261400)</f>
        <v>261400</v>
      </c>
      <c r="I2280" s="1"/>
    </row>
    <row r="2281" spans="1:9">
      <c r="A2281" s="3">
        <f ca="1">IFERROR(__xludf.DUMMYFUNCTION("""COMPUTED_VALUE"""),32514.6666666666)</f>
        <v>32514.666666666599</v>
      </c>
      <c r="B2281" s="1">
        <f ca="1">IFERROR(__xludf.DUMMYFUNCTION("""COMPUTED_VALUE"""),5.35)</f>
        <v>5.35</v>
      </c>
      <c r="C2281" s="1">
        <f ca="1">IFERROR(__xludf.DUMMYFUNCTION("""COMPUTED_VALUE"""),5.39)</f>
        <v>5.39</v>
      </c>
      <c r="D2281" s="1">
        <f ca="1">IFERROR(__xludf.DUMMYFUNCTION("""COMPUTED_VALUE"""),5.35)</f>
        <v>5.35</v>
      </c>
      <c r="E2281" s="1">
        <f ca="1">IFERROR(__xludf.DUMMYFUNCTION("""COMPUTED_VALUE"""),5.35)</f>
        <v>5.35</v>
      </c>
      <c r="F2281" s="1">
        <f ca="1">IFERROR(__xludf.DUMMYFUNCTION("""COMPUTED_VALUE"""),247800)</f>
        <v>247800</v>
      </c>
      <c r="I2281" s="1"/>
    </row>
    <row r="2282" spans="1:9">
      <c r="A2282" s="3">
        <f ca="1">IFERROR(__xludf.DUMMYFUNCTION("""COMPUTED_VALUE"""),32517.6666666666)</f>
        <v>32517.666666666599</v>
      </c>
      <c r="B2282" s="1">
        <f ca="1">IFERROR(__xludf.DUMMYFUNCTION("""COMPUTED_VALUE"""),5.34)</f>
        <v>5.34</v>
      </c>
      <c r="C2282" s="1">
        <f ca="1">IFERROR(__xludf.DUMMYFUNCTION("""COMPUTED_VALUE"""),5.38)</f>
        <v>5.38</v>
      </c>
      <c r="D2282" s="1">
        <f ca="1">IFERROR(__xludf.DUMMYFUNCTION("""COMPUTED_VALUE"""),5.32)</f>
        <v>5.32</v>
      </c>
      <c r="E2282" s="1">
        <f ca="1">IFERROR(__xludf.DUMMYFUNCTION("""COMPUTED_VALUE"""),5.34)</f>
        <v>5.34</v>
      </c>
      <c r="F2282" s="1">
        <f ca="1">IFERROR(__xludf.DUMMYFUNCTION("""COMPUTED_VALUE"""),421500)</f>
        <v>421500</v>
      </c>
      <c r="I2282" s="1"/>
    </row>
    <row r="2283" spans="1:9">
      <c r="A2283" s="3">
        <f ca="1">IFERROR(__xludf.DUMMYFUNCTION("""COMPUTED_VALUE"""),32518.6666666666)</f>
        <v>32518.666666666599</v>
      </c>
      <c r="B2283" s="1">
        <f ca="1">IFERROR(__xludf.DUMMYFUNCTION("""COMPUTED_VALUE"""),5.3)</f>
        <v>5.3</v>
      </c>
      <c r="C2283" s="1">
        <f ca="1">IFERROR(__xludf.DUMMYFUNCTION("""COMPUTED_VALUE"""),5.35)</f>
        <v>5.35</v>
      </c>
      <c r="D2283" s="1">
        <f ca="1">IFERROR(__xludf.DUMMYFUNCTION("""COMPUTED_VALUE"""),5.28)</f>
        <v>5.28</v>
      </c>
      <c r="E2283" s="1">
        <f ca="1">IFERROR(__xludf.DUMMYFUNCTION("""COMPUTED_VALUE"""),5.3)</f>
        <v>5.3</v>
      </c>
      <c r="F2283" s="1">
        <f ca="1">IFERROR(__xludf.DUMMYFUNCTION("""COMPUTED_VALUE"""),327400)</f>
        <v>327400</v>
      </c>
      <c r="I2283" s="1"/>
    </row>
    <row r="2284" spans="1:9">
      <c r="A2284" s="3">
        <f ca="1">IFERROR(__xludf.DUMMYFUNCTION("""COMPUTED_VALUE"""),32519.6666666666)</f>
        <v>32519.666666666599</v>
      </c>
      <c r="B2284" s="1">
        <f ca="1">IFERROR(__xludf.DUMMYFUNCTION("""COMPUTED_VALUE"""),5.32)</f>
        <v>5.32</v>
      </c>
      <c r="C2284" s="1">
        <f ca="1">IFERROR(__xludf.DUMMYFUNCTION("""COMPUTED_VALUE"""),5.34)</f>
        <v>5.34</v>
      </c>
      <c r="D2284" s="1">
        <f ca="1">IFERROR(__xludf.DUMMYFUNCTION("""COMPUTED_VALUE"""),5.29)</f>
        <v>5.29</v>
      </c>
      <c r="E2284" s="1">
        <f ca="1">IFERROR(__xludf.DUMMYFUNCTION("""COMPUTED_VALUE"""),5.32)</f>
        <v>5.32</v>
      </c>
      <c r="F2284" s="1">
        <f ca="1">IFERROR(__xludf.DUMMYFUNCTION("""COMPUTED_VALUE"""),316200)</f>
        <v>316200</v>
      </c>
      <c r="I2284" s="1"/>
    </row>
    <row r="2285" spans="1:9">
      <c r="A2285" s="3">
        <f ca="1">IFERROR(__xludf.DUMMYFUNCTION("""COMPUTED_VALUE"""),32520.6666666666)</f>
        <v>32520.666666666599</v>
      </c>
      <c r="B2285" s="1">
        <f ca="1">IFERROR(__xludf.DUMMYFUNCTION("""COMPUTED_VALUE"""),5.28)</f>
        <v>5.28</v>
      </c>
      <c r="C2285" s="1">
        <f ca="1">IFERROR(__xludf.DUMMYFUNCTION("""COMPUTED_VALUE"""),5.34)</f>
        <v>5.34</v>
      </c>
      <c r="D2285" s="1">
        <f ca="1">IFERROR(__xludf.DUMMYFUNCTION("""COMPUTED_VALUE"""),5.28)</f>
        <v>5.28</v>
      </c>
      <c r="E2285" s="1">
        <f ca="1">IFERROR(__xludf.DUMMYFUNCTION("""COMPUTED_VALUE"""),5.28)</f>
        <v>5.28</v>
      </c>
      <c r="F2285" s="1">
        <f ca="1">IFERROR(__xludf.DUMMYFUNCTION("""COMPUTED_VALUE"""),449400)</f>
        <v>449400</v>
      </c>
      <c r="I2285" s="1"/>
    </row>
    <row r="2286" spans="1:9">
      <c r="A2286" s="3">
        <f ca="1">IFERROR(__xludf.DUMMYFUNCTION("""COMPUTED_VALUE"""),32521.6666666666)</f>
        <v>32521.666666666599</v>
      </c>
      <c r="B2286" s="1">
        <f ca="1">IFERROR(__xludf.DUMMYFUNCTION("""COMPUTED_VALUE"""),5.28)</f>
        <v>5.28</v>
      </c>
      <c r="C2286" s="1">
        <f ca="1">IFERROR(__xludf.DUMMYFUNCTION("""COMPUTED_VALUE"""),5.29)</f>
        <v>5.29</v>
      </c>
      <c r="D2286" s="1">
        <f ca="1">IFERROR(__xludf.DUMMYFUNCTION("""COMPUTED_VALUE"""),5.27)</f>
        <v>5.27</v>
      </c>
      <c r="E2286" s="1">
        <f ca="1">IFERROR(__xludf.DUMMYFUNCTION("""COMPUTED_VALUE"""),5.28)</f>
        <v>5.28</v>
      </c>
      <c r="F2286" s="1">
        <f ca="1">IFERROR(__xludf.DUMMYFUNCTION("""COMPUTED_VALUE"""),302900)</f>
        <v>302900</v>
      </c>
      <c r="I2286" s="1"/>
    </row>
    <row r="2287" spans="1:9">
      <c r="A2287" s="3">
        <f ca="1">IFERROR(__xludf.DUMMYFUNCTION("""COMPUTED_VALUE"""),32524.6666666666)</f>
        <v>32524.666666666599</v>
      </c>
      <c r="B2287" s="1">
        <f ca="1">IFERROR(__xludf.DUMMYFUNCTION("""COMPUTED_VALUE"""),5.34)</f>
        <v>5.34</v>
      </c>
      <c r="C2287" s="1">
        <f ca="1">IFERROR(__xludf.DUMMYFUNCTION("""COMPUTED_VALUE"""),5.34)</f>
        <v>5.34</v>
      </c>
      <c r="D2287" s="1">
        <f ca="1">IFERROR(__xludf.DUMMYFUNCTION("""COMPUTED_VALUE"""),5.28)</f>
        <v>5.28</v>
      </c>
      <c r="E2287" s="1">
        <f ca="1">IFERROR(__xludf.DUMMYFUNCTION("""COMPUTED_VALUE"""),5.34)</f>
        <v>5.34</v>
      </c>
      <c r="F2287" s="1">
        <f ca="1">IFERROR(__xludf.DUMMYFUNCTION("""COMPUTED_VALUE"""),200000)</f>
        <v>200000</v>
      </c>
      <c r="I2287" s="1"/>
    </row>
    <row r="2288" spans="1:9">
      <c r="A2288" s="3">
        <f ca="1">IFERROR(__xludf.DUMMYFUNCTION("""COMPUTED_VALUE"""),32525.6666666666)</f>
        <v>32525.666666666599</v>
      </c>
      <c r="B2288" s="1">
        <f ca="1">IFERROR(__xludf.DUMMYFUNCTION("""COMPUTED_VALUE"""),5.36)</f>
        <v>5.36</v>
      </c>
      <c r="C2288" s="1">
        <f ca="1">IFERROR(__xludf.DUMMYFUNCTION("""COMPUTED_VALUE"""),5.38)</f>
        <v>5.38</v>
      </c>
      <c r="D2288" s="1">
        <f ca="1">IFERROR(__xludf.DUMMYFUNCTION("""COMPUTED_VALUE"""),5.3)</f>
        <v>5.3</v>
      </c>
      <c r="E2288" s="1">
        <f ca="1">IFERROR(__xludf.DUMMYFUNCTION("""COMPUTED_VALUE"""),5.36)</f>
        <v>5.36</v>
      </c>
      <c r="F2288" s="1">
        <f ca="1">IFERROR(__xludf.DUMMYFUNCTION("""COMPUTED_VALUE"""),283600)</f>
        <v>283600</v>
      </c>
      <c r="I2288" s="1"/>
    </row>
    <row r="2289" spans="1:9">
      <c r="A2289" s="3">
        <f ca="1">IFERROR(__xludf.DUMMYFUNCTION("""COMPUTED_VALUE"""),32526.6666666666)</f>
        <v>32526.666666666599</v>
      </c>
      <c r="B2289" s="1">
        <f ca="1">IFERROR(__xludf.DUMMYFUNCTION("""COMPUTED_VALUE"""),5.41)</f>
        <v>5.41</v>
      </c>
      <c r="C2289" s="1">
        <f ca="1">IFERROR(__xludf.DUMMYFUNCTION("""COMPUTED_VALUE"""),5.42)</f>
        <v>5.42</v>
      </c>
      <c r="D2289" s="1">
        <f ca="1">IFERROR(__xludf.DUMMYFUNCTION("""COMPUTED_VALUE"""),5.34)</f>
        <v>5.34</v>
      </c>
      <c r="E2289" s="1">
        <f ca="1">IFERROR(__xludf.DUMMYFUNCTION("""COMPUTED_VALUE"""),5.41)</f>
        <v>5.41</v>
      </c>
      <c r="F2289" s="1">
        <f ca="1">IFERROR(__xludf.DUMMYFUNCTION("""COMPUTED_VALUE"""),527000)</f>
        <v>527000</v>
      </c>
      <c r="I2289" s="1"/>
    </row>
    <row r="2290" spans="1:9">
      <c r="A2290" s="3">
        <f ca="1">IFERROR(__xludf.DUMMYFUNCTION("""COMPUTED_VALUE"""),32527.6666666666)</f>
        <v>32527.666666666599</v>
      </c>
      <c r="B2290" s="1">
        <f ca="1">IFERROR(__xludf.DUMMYFUNCTION("""COMPUTED_VALUE"""),5.38)</f>
        <v>5.38</v>
      </c>
      <c r="C2290" s="1">
        <f ca="1">IFERROR(__xludf.DUMMYFUNCTION("""COMPUTED_VALUE"""),5.41)</f>
        <v>5.41</v>
      </c>
      <c r="D2290" s="1">
        <f ca="1">IFERROR(__xludf.DUMMYFUNCTION("""COMPUTED_VALUE"""),5.36)</f>
        <v>5.36</v>
      </c>
      <c r="E2290" s="1">
        <f ca="1">IFERROR(__xludf.DUMMYFUNCTION("""COMPUTED_VALUE"""),5.38)</f>
        <v>5.38</v>
      </c>
      <c r="F2290" s="1">
        <f ca="1">IFERROR(__xludf.DUMMYFUNCTION("""COMPUTED_VALUE"""),240300)</f>
        <v>240300</v>
      </c>
      <c r="I2290" s="1"/>
    </row>
    <row r="2291" spans="1:9">
      <c r="A2291" s="3">
        <f ca="1">IFERROR(__xludf.DUMMYFUNCTION("""COMPUTED_VALUE"""),32528.6666666666)</f>
        <v>32528.666666666599</v>
      </c>
      <c r="B2291" s="1">
        <f ca="1">IFERROR(__xludf.DUMMYFUNCTION("""COMPUTED_VALUE"""),5.38)</f>
        <v>5.38</v>
      </c>
      <c r="C2291" s="1">
        <f ca="1">IFERROR(__xludf.DUMMYFUNCTION("""COMPUTED_VALUE"""),5.39)</f>
        <v>5.39</v>
      </c>
      <c r="D2291" s="1">
        <f ca="1">IFERROR(__xludf.DUMMYFUNCTION("""COMPUTED_VALUE"""),5.36)</f>
        <v>5.36</v>
      </c>
      <c r="E2291" s="1">
        <f ca="1">IFERROR(__xludf.DUMMYFUNCTION("""COMPUTED_VALUE"""),5.38)</f>
        <v>5.38</v>
      </c>
      <c r="F2291" s="1">
        <f ca="1">IFERROR(__xludf.DUMMYFUNCTION("""COMPUTED_VALUE"""),416300)</f>
        <v>416300</v>
      </c>
      <c r="I2291" s="1"/>
    </row>
    <row r="2292" spans="1:9">
      <c r="A2292" s="3">
        <f ca="1">IFERROR(__xludf.DUMMYFUNCTION("""COMPUTED_VALUE"""),32531.6666666666)</f>
        <v>32531.666666666599</v>
      </c>
      <c r="B2292" s="1">
        <f ca="1">IFERROR(__xludf.DUMMYFUNCTION("""COMPUTED_VALUE"""),5.34)</f>
        <v>5.34</v>
      </c>
      <c r="C2292" s="1">
        <f ca="1">IFERROR(__xludf.DUMMYFUNCTION("""COMPUTED_VALUE"""),5.43)</f>
        <v>5.43</v>
      </c>
      <c r="D2292" s="1">
        <f ca="1">IFERROR(__xludf.DUMMYFUNCTION("""COMPUTED_VALUE"""),5.34)</f>
        <v>5.34</v>
      </c>
      <c r="E2292" s="1">
        <f ca="1">IFERROR(__xludf.DUMMYFUNCTION("""COMPUTED_VALUE"""),5.34)</f>
        <v>5.34</v>
      </c>
      <c r="F2292" s="1">
        <f ca="1">IFERROR(__xludf.DUMMYFUNCTION("""COMPUTED_VALUE"""),289700)</f>
        <v>289700</v>
      </c>
      <c r="I2292" s="1"/>
    </row>
    <row r="2293" spans="1:9">
      <c r="A2293" s="3">
        <f ca="1">IFERROR(__xludf.DUMMYFUNCTION("""COMPUTED_VALUE"""),32532.6666666666)</f>
        <v>32532.666666666599</v>
      </c>
      <c r="B2293" s="1">
        <f ca="1">IFERROR(__xludf.DUMMYFUNCTION("""COMPUTED_VALUE"""),5.44)</f>
        <v>5.44</v>
      </c>
      <c r="C2293" s="1">
        <f ca="1">IFERROR(__xludf.DUMMYFUNCTION("""COMPUTED_VALUE"""),5.44)</f>
        <v>5.44</v>
      </c>
      <c r="D2293" s="1">
        <f ca="1">IFERROR(__xludf.DUMMYFUNCTION("""COMPUTED_VALUE"""),5.35)</f>
        <v>5.35</v>
      </c>
      <c r="E2293" s="1">
        <f ca="1">IFERROR(__xludf.DUMMYFUNCTION("""COMPUTED_VALUE"""),5.44)</f>
        <v>5.44</v>
      </c>
      <c r="F2293" s="1">
        <f ca="1">IFERROR(__xludf.DUMMYFUNCTION("""COMPUTED_VALUE"""),434900)</f>
        <v>434900</v>
      </c>
      <c r="I2293" s="1"/>
    </row>
    <row r="2294" spans="1:9">
      <c r="A2294" s="3">
        <f ca="1">IFERROR(__xludf.DUMMYFUNCTION("""COMPUTED_VALUE"""),32533.6666666666)</f>
        <v>32533.666666666599</v>
      </c>
      <c r="B2294" s="1">
        <f ca="1">IFERROR(__xludf.DUMMYFUNCTION("""COMPUTED_VALUE"""),5.41)</f>
        <v>5.41</v>
      </c>
      <c r="C2294" s="1">
        <f ca="1">IFERROR(__xludf.DUMMYFUNCTION("""COMPUTED_VALUE"""),5.44)</f>
        <v>5.44</v>
      </c>
      <c r="D2294" s="1">
        <f ca="1">IFERROR(__xludf.DUMMYFUNCTION("""COMPUTED_VALUE"""),5.38)</f>
        <v>5.38</v>
      </c>
      <c r="E2294" s="1">
        <f ca="1">IFERROR(__xludf.DUMMYFUNCTION("""COMPUTED_VALUE"""),5.41)</f>
        <v>5.41</v>
      </c>
      <c r="F2294" s="1">
        <f ca="1">IFERROR(__xludf.DUMMYFUNCTION("""COMPUTED_VALUE"""),387500)</f>
        <v>387500</v>
      </c>
      <c r="I2294" s="1"/>
    </row>
    <row r="2295" spans="1:9">
      <c r="A2295" s="3">
        <f ca="1">IFERROR(__xludf.DUMMYFUNCTION("""COMPUTED_VALUE"""),32534.6666666666)</f>
        <v>32534.666666666599</v>
      </c>
      <c r="B2295" s="1">
        <f ca="1">IFERROR(__xludf.DUMMYFUNCTION("""COMPUTED_VALUE"""),5.49)</f>
        <v>5.49</v>
      </c>
      <c r="C2295" s="1">
        <f ca="1">IFERROR(__xludf.DUMMYFUNCTION("""COMPUTED_VALUE"""),5.5)</f>
        <v>5.5</v>
      </c>
      <c r="D2295" s="1">
        <f ca="1">IFERROR(__xludf.DUMMYFUNCTION("""COMPUTED_VALUE"""),5.38)</f>
        <v>5.38</v>
      </c>
      <c r="E2295" s="1">
        <f ca="1">IFERROR(__xludf.DUMMYFUNCTION("""COMPUTED_VALUE"""),5.49)</f>
        <v>5.49</v>
      </c>
      <c r="F2295" s="1">
        <f ca="1">IFERROR(__xludf.DUMMYFUNCTION("""COMPUTED_VALUE"""),464300)</f>
        <v>464300</v>
      </c>
      <c r="I2295" s="1"/>
    </row>
    <row r="2296" spans="1:9">
      <c r="A2296" s="3">
        <f ca="1">IFERROR(__xludf.DUMMYFUNCTION("""COMPUTED_VALUE"""),32535.6666666666)</f>
        <v>32535.666666666599</v>
      </c>
      <c r="B2296" s="1">
        <f ca="1">IFERROR(__xludf.DUMMYFUNCTION("""COMPUTED_VALUE"""),5.67)</f>
        <v>5.67</v>
      </c>
      <c r="C2296" s="1">
        <f ca="1">IFERROR(__xludf.DUMMYFUNCTION("""COMPUTED_VALUE"""),5.75)</f>
        <v>5.75</v>
      </c>
      <c r="D2296" s="1">
        <f ca="1">IFERROR(__xludf.DUMMYFUNCTION("""COMPUTED_VALUE"""),5.52)</f>
        <v>5.52</v>
      </c>
      <c r="E2296" s="1">
        <f ca="1">IFERROR(__xludf.DUMMYFUNCTION("""COMPUTED_VALUE"""),5.67)</f>
        <v>5.67</v>
      </c>
      <c r="F2296" s="1">
        <f ca="1">IFERROR(__xludf.DUMMYFUNCTION("""COMPUTED_VALUE"""),1062700)</f>
        <v>1062700</v>
      </c>
      <c r="I2296" s="1"/>
    </row>
    <row r="2297" spans="1:9">
      <c r="A2297" s="3">
        <f ca="1">IFERROR(__xludf.DUMMYFUNCTION("""COMPUTED_VALUE"""),32538.6666666666)</f>
        <v>32538.666666666599</v>
      </c>
      <c r="B2297" s="1">
        <f ca="1">IFERROR(__xludf.DUMMYFUNCTION("""COMPUTED_VALUE"""),5.65)</f>
        <v>5.65</v>
      </c>
      <c r="C2297" s="1">
        <f ca="1">IFERROR(__xludf.DUMMYFUNCTION("""COMPUTED_VALUE"""),5.68)</f>
        <v>5.68</v>
      </c>
      <c r="D2297" s="1">
        <f ca="1">IFERROR(__xludf.DUMMYFUNCTION("""COMPUTED_VALUE"""),5.6)</f>
        <v>5.6</v>
      </c>
      <c r="E2297" s="1">
        <f ca="1">IFERROR(__xludf.DUMMYFUNCTION("""COMPUTED_VALUE"""),5.65)</f>
        <v>5.65</v>
      </c>
      <c r="F2297" s="1">
        <f ca="1">IFERROR(__xludf.DUMMYFUNCTION("""COMPUTED_VALUE"""),414800)</f>
        <v>414800</v>
      </c>
      <c r="I2297" s="1"/>
    </row>
    <row r="2298" spans="1:9">
      <c r="A2298" s="3">
        <f ca="1">IFERROR(__xludf.DUMMYFUNCTION("""COMPUTED_VALUE"""),32539.6666666666)</f>
        <v>32539.666666666599</v>
      </c>
      <c r="B2298" s="1">
        <f ca="1">IFERROR(__xludf.DUMMYFUNCTION("""COMPUTED_VALUE"""),5.73)</f>
        <v>5.73</v>
      </c>
      <c r="C2298" s="1">
        <f ca="1">IFERROR(__xludf.DUMMYFUNCTION("""COMPUTED_VALUE"""),5.74)</f>
        <v>5.74</v>
      </c>
      <c r="D2298" s="1">
        <f ca="1">IFERROR(__xludf.DUMMYFUNCTION("""COMPUTED_VALUE"""),5.63)</f>
        <v>5.63</v>
      </c>
      <c r="E2298" s="1">
        <f ca="1">IFERROR(__xludf.DUMMYFUNCTION("""COMPUTED_VALUE"""),5.73)</f>
        <v>5.73</v>
      </c>
      <c r="F2298" s="1">
        <f ca="1">IFERROR(__xludf.DUMMYFUNCTION("""COMPUTED_VALUE"""),403600)</f>
        <v>403600</v>
      </c>
      <c r="I2298" s="1"/>
    </row>
    <row r="2299" spans="1:9">
      <c r="A2299" s="3">
        <f ca="1">IFERROR(__xludf.DUMMYFUNCTION("""COMPUTED_VALUE"""),32540.6666666666)</f>
        <v>32540.666666666599</v>
      </c>
      <c r="B2299" s="1">
        <f ca="1">IFERROR(__xludf.DUMMYFUNCTION("""COMPUTED_VALUE"""),5.66)</f>
        <v>5.66</v>
      </c>
      <c r="C2299" s="1">
        <f ca="1">IFERROR(__xludf.DUMMYFUNCTION("""COMPUTED_VALUE"""),5.75)</f>
        <v>5.75</v>
      </c>
      <c r="D2299" s="1">
        <f ca="1">IFERROR(__xludf.DUMMYFUNCTION("""COMPUTED_VALUE"""),5.66)</f>
        <v>5.66</v>
      </c>
      <c r="E2299" s="1">
        <f ca="1">IFERROR(__xludf.DUMMYFUNCTION("""COMPUTED_VALUE"""),5.66)</f>
        <v>5.66</v>
      </c>
      <c r="F2299" s="1">
        <f ca="1">IFERROR(__xludf.DUMMYFUNCTION("""COMPUTED_VALUE"""),384400)</f>
        <v>384400</v>
      </c>
      <c r="I2299" s="1"/>
    </row>
    <row r="2300" spans="1:9">
      <c r="A2300" s="3">
        <f ca="1">IFERROR(__xludf.DUMMYFUNCTION("""COMPUTED_VALUE"""),32541.6666666666)</f>
        <v>32541.666666666599</v>
      </c>
      <c r="B2300" s="1">
        <f ca="1">IFERROR(__xludf.DUMMYFUNCTION("""COMPUTED_VALUE"""),5.63)</f>
        <v>5.63</v>
      </c>
      <c r="C2300" s="1">
        <f ca="1">IFERROR(__xludf.DUMMYFUNCTION("""COMPUTED_VALUE"""),5.7)</f>
        <v>5.7</v>
      </c>
      <c r="D2300" s="1">
        <f ca="1">IFERROR(__xludf.DUMMYFUNCTION("""COMPUTED_VALUE"""),5.63)</f>
        <v>5.63</v>
      </c>
      <c r="E2300" s="1">
        <f ca="1">IFERROR(__xludf.DUMMYFUNCTION("""COMPUTED_VALUE"""),5.63)</f>
        <v>5.63</v>
      </c>
      <c r="F2300" s="1">
        <f ca="1">IFERROR(__xludf.DUMMYFUNCTION("""COMPUTED_VALUE"""),268300)</f>
        <v>268300</v>
      </c>
      <c r="I2300" s="1"/>
    </row>
    <row r="2301" spans="1:9">
      <c r="A2301" s="3">
        <f ca="1">IFERROR(__xludf.DUMMYFUNCTION("""COMPUTED_VALUE"""),32542.6666666666)</f>
        <v>32542.666666666599</v>
      </c>
      <c r="B2301" s="1">
        <f ca="1">IFERROR(__xludf.DUMMYFUNCTION("""COMPUTED_VALUE"""),5.66)</f>
        <v>5.66</v>
      </c>
      <c r="C2301" s="1">
        <f ca="1">IFERROR(__xludf.DUMMYFUNCTION("""COMPUTED_VALUE"""),5.66)</f>
        <v>5.66</v>
      </c>
      <c r="D2301" s="1">
        <f ca="1">IFERROR(__xludf.DUMMYFUNCTION("""COMPUTED_VALUE"""),5.59)</f>
        <v>5.59</v>
      </c>
      <c r="E2301" s="1">
        <f ca="1">IFERROR(__xludf.DUMMYFUNCTION("""COMPUTED_VALUE"""),5.66)</f>
        <v>5.66</v>
      </c>
      <c r="F2301" s="1">
        <f ca="1">IFERROR(__xludf.DUMMYFUNCTION("""COMPUTED_VALUE"""),285300)</f>
        <v>285300</v>
      </c>
      <c r="I2301" s="1"/>
    </row>
    <row r="2302" spans="1:9">
      <c r="A2302" s="3">
        <f ca="1">IFERROR(__xludf.DUMMYFUNCTION("""COMPUTED_VALUE"""),32545.6666666666)</f>
        <v>32545.666666666599</v>
      </c>
      <c r="B2302" s="1">
        <f ca="1">IFERROR(__xludf.DUMMYFUNCTION("""COMPUTED_VALUE"""),5.65)</f>
        <v>5.65</v>
      </c>
      <c r="C2302" s="1">
        <f ca="1">IFERROR(__xludf.DUMMYFUNCTION("""COMPUTED_VALUE"""),5.67)</f>
        <v>5.67</v>
      </c>
      <c r="D2302" s="1">
        <f ca="1">IFERROR(__xludf.DUMMYFUNCTION("""COMPUTED_VALUE"""),5.62)</f>
        <v>5.62</v>
      </c>
      <c r="E2302" s="1">
        <f ca="1">IFERROR(__xludf.DUMMYFUNCTION("""COMPUTED_VALUE"""),5.65)</f>
        <v>5.65</v>
      </c>
      <c r="F2302" s="1">
        <f ca="1">IFERROR(__xludf.DUMMYFUNCTION("""COMPUTED_VALUE"""),186700)</f>
        <v>186700</v>
      </c>
      <c r="I2302" s="1"/>
    </row>
    <row r="2303" spans="1:9">
      <c r="A2303" s="3">
        <f ca="1">IFERROR(__xludf.DUMMYFUNCTION("""COMPUTED_VALUE"""),32546.6666666666)</f>
        <v>32546.666666666599</v>
      </c>
      <c r="B2303" s="1">
        <f ca="1">IFERROR(__xludf.DUMMYFUNCTION("""COMPUTED_VALUE"""),5.71)</f>
        <v>5.71</v>
      </c>
      <c r="C2303" s="1">
        <f ca="1">IFERROR(__xludf.DUMMYFUNCTION("""COMPUTED_VALUE"""),5.77)</f>
        <v>5.77</v>
      </c>
      <c r="D2303" s="1">
        <f ca="1">IFERROR(__xludf.DUMMYFUNCTION("""COMPUTED_VALUE"""),5.63)</f>
        <v>5.63</v>
      </c>
      <c r="E2303" s="1">
        <f ca="1">IFERROR(__xludf.DUMMYFUNCTION("""COMPUTED_VALUE"""),5.71)</f>
        <v>5.71</v>
      </c>
      <c r="F2303" s="1">
        <f ca="1">IFERROR(__xludf.DUMMYFUNCTION("""COMPUTED_VALUE"""),445200)</f>
        <v>445200</v>
      </c>
      <c r="I2303" s="1"/>
    </row>
    <row r="2304" spans="1:9">
      <c r="A2304" s="3">
        <f ca="1">IFERROR(__xludf.DUMMYFUNCTION("""COMPUTED_VALUE"""),32547.6666666666)</f>
        <v>32547.666666666599</v>
      </c>
      <c r="B2304" s="1">
        <f ca="1">IFERROR(__xludf.DUMMYFUNCTION("""COMPUTED_VALUE"""),5.72)</f>
        <v>5.72</v>
      </c>
      <c r="C2304" s="1">
        <f ca="1">IFERROR(__xludf.DUMMYFUNCTION("""COMPUTED_VALUE"""),5.77)</f>
        <v>5.77</v>
      </c>
      <c r="D2304" s="1">
        <f ca="1">IFERROR(__xludf.DUMMYFUNCTION("""COMPUTED_VALUE"""),5.72)</f>
        <v>5.72</v>
      </c>
      <c r="E2304" s="1">
        <f ca="1">IFERROR(__xludf.DUMMYFUNCTION("""COMPUTED_VALUE"""),5.72)</f>
        <v>5.72</v>
      </c>
      <c r="F2304" s="1">
        <f ca="1">IFERROR(__xludf.DUMMYFUNCTION("""COMPUTED_VALUE"""),397100)</f>
        <v>397100</v>
      </c>
      <c r="I2304" s="1"/>
    </row>
    <row r="2305" spans="1:9">
      <c r="A2305" s="3">
        <f ca="1">IFERROR(__xludf.DUMMYFUNCTION("""COMPUTED_VALUE"""),32548.6666666666)</f>
        <v>32548.666666666599</v>
      </c>
      <c r="B2305" s="1">
        <f ca="1">IFERROR(__xludf.DUMMYFUNCTION("""COMPUTED_VALUE"""),5.63)</f>
        <v>5.63</v>
      </c>
      <c r="C2305" s="1">
        <f ca="1">IFERROR(__xludf.DUMMYFUNCTION("""COMPUTED_VALUE"""),5.72)</f>
        <v>5.72</v>
      </c>
      <c r="D2305" s="1">
        <f ca="1">IFERROR(__xludf.DUMMYFUNCTION("""COMPUTED_VALUE"""),5.57)</f>
        <v>5.57</v>
      </c>
      <c r="E2305" s="1">
        <f ca="1">IFERROR(__xludf.DUMMYFUNCTION("""COMPUTED_VALUE"""),5.63)</f>
        <v>5.63</v>
      </c>
      <c r="F2305" s="1">
        <f ca="1">IFERROR(__xludf.DUMMYFUNCTION("""COMPUTED_VALUE"""),426400)</f>
        <v>426400</v>
      </c>
      <c r="I2305" s="1"/>
    </row>
    <row r="2306" spans="1:9">
      <c r="A2306" s="3">
        <f ca="1">IFERROR(__xludf.DUMMYFUNCTION("""COMPUTED_VALUE"""),32549.6666666666)</f>
        <v>32549.666666666599</v>
      </c>
      <c r="B2306" s="1">
        <f ca="1">IFERROR(__xludf.DUMMYFUNCTION("""COMPUTED_VALUE"""),5.53)</f>
        <v>5.53</v>
      </c>
      <c r="C2306" s="1">
        <f ca="1">IFERROR(__xludf.DUMMYFUNCTION("""COMPUTED_VALUE"""),5.63)</f>
        <v>5.63</v>
      </c>
      <c r="D2306" s="1">
        <f ca="1">IFERROR(__xludf.DUMMYFUNCTION("""COMPUTED_VALUE"""),5.53)</f>
        <v>5.53</v>
      </c>
      <c r="E2306" s="1">
        <f ca="1">IFERROR(__xludf.DUMMYFUNCTION("""COMPUTED_VALUE"""),5.53)</f>
        <v>5.53</v>
      </c>
      <c r="F2306" s="1">
        <f ca="1">IFERROR(__xludf.DUMMYFUNCTION("""COMPUTED_VALUE"""),368000)</f>
        <v>368000</v>
      </c>
      <c r="I2306" s="1"/>
    </row>
    <row r="2307" spans="1:9">
      <c r="A2307" s="3">
        <f ca="1">IFERROR(__xludf.DUMMYFUNCTION("""COMPUTED_VALUE"""),32552.6666666666)</f>
        <v>32552.666666666599</v>
      </c>
      <c r="B2307" s="1">
        <f ca="1">IFERROR(__xludf.DUMMYFUNCTION("""COMPUTED_VALUE"""),5.56)</f>
        <v>5.56</v>
      </c>
      <c r="C2307" s="1">
        <f ca="1">IFERROR(__xludf.DUMMYFUNCTION("""COMPUTED_VALUE"""),5.64)</f>
        <v>5.64</v>
      </c>
      <c r="D2307" s="1">
        <f ca="1">IFERROR(__xludf.DUMMYFUNCTION("""COMPUTED_VALUE"""),5.52)</f>
        <v>5.52</v>
      </c>
      <c r="E2307" s="1">
        <f ca="1">IFERROR(__xludf.DUMMYFUNCTION("""COMPUTED_VALUE"""),5.56)</f>
        <v>5.56</v>
      </c>
      <c r="F2307" s="1">
        <f ca="1">IFERROR(__xludf.DUMMYFUNCTION("""COMPUTED_VALUE"""),511700)</f>
        <v>511700</v>
      </c>
      <c r="I2307" s="1"/>
    </row>
    <row r="2308" spans="1:9">
      <c r="A2308" s="3">
        <f ca="1">IFERROR(__xludf.DUMMYFUNCTION("""COMPUTED_VALUE"""),32553.6666666666)</f>
        <v>32553.666666666599</v>
      </c>
      <c r="B2308" s="1">
        <f ca="1">IFERROR(__xludf.DUMMYFUNCTION("""COMPUTED_VALUE"""),5.53)</f>
        <v>5.53</v>
      </c>
      <c r="C2308" s="1">
        <f ca="1">IFERROR(__xludf.DUMMYFUNCTION("""COMPUTED_VALUE"""),5.59)</f>
        <v>5.59</v>
      </c>
      <c r="D2308" s="1">
        <f ca="1">IFERROR(__xludf.DUMMYFUNCTION("""COMPUTED_VALUE"""),5.5)</f>
        <v>5.5</v>
      </c>
      <c r="E2308" s="1">
        <f ca="1">IFERROR(__xludf.DUMMYFUNCTION("""COMPUTED_VALUE"""),5.53)</f>
        <v>5.53</v>
      </c>
      <c r="F2308" s="1">
        <f ca="1">IFERROR(__xludf.DUMMYFUNCTION("""COMPUTED_VALUE"""),437500)</f>
        <v>437500</v>
      </c>
      <c r="I2308" s="1"/>
    </row>
    <row r="2309" spans="1:9">
      <c r="A2309" s="3">
        <f ca="1">IFERROR(__xludf.DUMMYFUNCTION("""COMPUTED_VALUE"""),32554.6666666666)</f>
        <v>32554.666666666599</v>
      </c>
      <c r="B2309" s="1">
        <f ca="1">IFERROR(__xludf.DUMMYFUNCTION("""COMPUTED_VALUE"""),5.61)</f>
        <v>5.61</v>
      </c>
      <c r="C2309" s="1">
        <f ca="1">IFERROR(__xludf.DUMMYFUNCTION("""COMPUTED_VALUE"""),5.61)</f>
        <v>5.61</v>
      </c>
      <c r="D2309" s="1">
        <f ca="1">IFERROR(__xludf.DUMMYFUNCTION("""COMPUTED_VALUE"""),5.5)</f>
        <v>5.5</v>
      </c>
      <c r="E2309" s="1">
        <f ca="1">IFERROR(__xludf.DUMMYFUNCTION("""COMPUTED_VALUE"""),5.61)</f>
        <v>5.61</v>
      </c>
      <c r="F2309" s="1">
        <f ca="1">IFERROR(__xludf.DUMMYFUNCTION("""COMPUTED_VALUE"""),449000)</f>
        <v>449000</v>
      </c>
      <c r="I2309" s="1"/>
    </row>
    <row r="2310" spans="1:9">
      <c r="A2310" s="3">
        <f ca="1">IFERROR(__xludf.DUMMYFUNCTION("""COMPUTED_VALUE"""),32555.6666666666)</f>
        <v>32555.666666666599</v>
      </c>
      <c r="B2310" s="1">
        <f ca="1">IFERROR(__xludf.DUMMYFUNCTION("""COMPUTED_VALUE"""),5.59)</f>
        <v>5.59</v>
      </c>
      <c r="C2310" s="1">
        <f ca="1">IFERROR(__xludf.DUMMYFUNCTION("""COMPUTED_VALUE"""),5.63)</f>
        <v>5.63</v>
      </c>
      <c r="D2310" s="1">
        <f ca="1">IFERROR(__xludf.DUMMYFUNCTION("""COMPUTED_VALUE"""),5.58)</f>
        <v>5.58</v>
      </c>
      <c r="E2310" s="1">
        <f ca="1">IFERROR(__xludf.DUMMYFUNCTION("""COMPUTED_VALUE"""),5.59)</f>
        <v>5.59</v>
      </c>
      <c r="F2310" s="1">
        <f ca="1">IFERROR(__xludf.DUMMYFUNCTION("""COMPUTED_VALUE"""),312500)</f>
        <v>312500</v>
      </c>
      <c r="I2310" s="1"/>
    </row>
    <row r="2311" spans="1:9">
      <c r="A2311" s="3">
        <f ca="1">IFERROR(__xludf.DUMMYFUNCTION("""COMPUTED_VALUE"""),32556.6666666666)</f>
        <v>32556.666666666599</v>
      </c>
      <c r="B2311" s="1">
        <f ca="1">IFERROR(__xludf.DUMMYFUNCTION("""COMPUTED_VALUE"""),5.65)</f>
        <v>5.65</v>
      </c>
      <c r="C2311" s="1">
        <f ca="1">IFERROR(__xludf.DUMMYFUNCTION("""COMPUTED_VALUE"""),5.66)</f>
        <v>5.66</v>
      </c>
      <c r="D2311" s="1">
        <f ca="1">IFERROR(__xludf.DUMMYFUNCTION("""COMPUTED_VALUE"""),5.59)</f>
        <v>5.59</v>
      </c>
      <c r="E2311" s="1">
        <f ca="1">IFERROR(__xludf.DUMMYFUNCTION("""COMPUTED_VALUE"""),5.65)</f>
        <v>5.65</v>
      </c>
      <c r="F2311" s="1">
        <f ca="1">IFERROR(__xludf.DUMMYFUNCTION("""COMPUTED_VALUE"""),395800)</f>
        <v>395800</v>
      </c>
      <c r="I2311" s="1"/>
    </row>
    <row r="2312" spans="1:9">
      <c r="A2312" s="3">
        <f ca="1">IFERROR(__xludf.DUMMYFUNCTION("""COMPUTED_VALUE"""),32560.6666666666)</f>
        <v>32560.666666666599</v>
      </c>
      <c r="B2312" s="1">
        <f ca="1">IFERROR(__xludf.DUMMYFUNCTION("""COMPUTED_VALUE"""),5.59)</f>
        <v>5.59</v>
      </c>
      <c r="C2312" s="1">
        <f ca="1">IFERROR(__xludf.DUMMYFUNCTION("""COMPUTED_VALUE"""),5.64)</f>
        <v>5.64</v>
      </c>
      <c r="D2312" s="1">
        <f ca="1">IFERROR(__xludf.DUMMYFUNCTION("""COMPUTED_VALUE"""),5.57)</f>
        <v>5.57</v>
      </c>
      <c r="E2312" s="1">
        <f ca="1">IFERROR(__xludf.DUMMYFUNCTION("""COMPUTED_VALUE"""),5.59)</f>
        <v>5.59</v>
      </c>
      <c r="F2312" s="1">
        <f ca="1">IFERROR(__xludf.DUMMYFUNCTION("""COMPUTED_VALUE"""),269100)</f>
        <v>269100</v>
      </c>
      <c r="I2312" s="1"/>
    </row>
    <row r="2313" spans="1:9">
      <c r="A2313" s="3">
        <f ca="1">IFERROR(__xludf.DUMMYFUNCTION("""COMPUTED_VALUE"""),32561.6666666666)</f>
        <v>32561.666666666599</v>
      </c>
      <c r="B2313" s="1">
        <f ca="1">IFERROR(__xludf.DUMMYFUNCTION("""COMPUTED_VALUE"""),5.45)</f>
        <v>5.45</v>
      </c>
      <c r="C2313" s="1">
        <f ca="1">IFERROR(__xludf.DUMMYFUNCTION("""COMPUTED_VALUE"""),5.6)</f>
        <v>5.6</v>
      </c>
      <c r="D2313" s="1">
        <f ca="1">IFERROR(__xludf.DUMMYFUNCTION("""COMPUTED_VALUE"""),5.45)</f>
        <v>5.45</v>
      </c>
      <c r="E2313" s="1">
        <f ca="1">IFERROR(__xludf.DUMMYFUNCTION("""COMPUTED_VALUE"""),5.45)</f>
        <v>5.45</v>
      </c>
      <c r="F2313" s="1">
        <f ca="1">IFERROR(__xludf.DUMMYFUNCTION("""COMPUTED_VALUE"""),361100)</f>
        <v>361100</v>
      </c>
      <c r="I2313" s="1"/>
    </row>
    <row r="2314" spans="1:9">
      <c r="A2314" s="3">
        <f ca="1">IFERROR(__xludf.DUMMYFUNCTION("""COMPUTED_VALUE"""),32562.6666666666)</f>
        <v>32562.666666666599</v>
      </c>
      <c r="B2314" s="1">
        <f ca="1">IFERROR(__xludf.DUMMYFUNCTION("""COMPUTED_VALUE"""),5.46)</f>
        <v>5.46</v>
      </c>
      <c r="C2314" s="1">
        <f ca="1">IFERROR(__xludf.DUMMYFUNCTION("""COMPUTED_VALUE"""),5.48)</f>
        <v>5.48</v>
      </c>
      <c r="D2314" s="1">
        <f ca="1">IFERROR(__xludf.DUMMYFUNCTION("""COMPUTED_VALUE"""),5.42)</f>
        <v>5.42</v>
      </c>
      <c r="E2314" s="1">
        <f ca="1">IFERROR(__xludf.DUMMYFUNCTION("""COMPUTED_VALUE"""),5.46)</f>
        <v>5.46</v>
      </c>
      <c r="F2314" s="1">
        <f ca="1">IFERROR(__xludf.DUMMYFUNCTION("""COMPUTED_VALUE"""),369000)</f>
        <v>369000</v>
      </c>
      <c r="I2314" s="1"/>
    </row>
    <row r="2315" spans="1:9">
      <c r="A2315" s="3">
        <f ca="1">IFERROR(__xludf.DUMMYFUNCTION("""COMPUTED_VALUE"""),32563.6666666666)</f>
        <v>32563.666666666599</v>
      </c>
      <c r="B2315" s="1">
        <f ca="1">IFERROR(__xludf.DUMMYFUNCTION("""COMPUTED_VALUE"""),5.39)</f>
        <v>5.39</v>
      </c>
      <c r="C2315" s="1">
        <f ca="1">IFERROR(__xludf.DUMMYFUNCTION("""COMPUTED_VALUE"""),5.47)</f>
        <v>5.47</v>
      </c>
      <c r="D2315" s="1">
        <f ca="1">IFERROR(__xludf.DUMMYFUNCTION("""COMPUTED_VALUE"""),5.38)</f>
        <v>5.38</v>
      </c>
      <c r="E2315" s="1">
        <f ca="1">IFERROR(__xludf.DUMMYFUNCTION("""COMPUTED_VALUE"""),5.39)</f>
        <v>5.39</v>
      </c>
      <c r="F2315" s="1">
        <f ca="1">IFERROR(__xludf.DUMMYFUNCTION("""COMPUTED_VALUE"""),407200)</f>
        <v>407200</v>
      </c>
      <c r="I2315" s="1"/>
    </row>
    <row r="2316" spans="1:9">
      <c r="A2316" s="3">
        <f ca="1">IFERROR(__xludf.DUMMYFUNCTION("""COMPUTED_VALUE"""),32566.6666666666)</f>
        <v>32566.666666666599</v>
      </c>
      <c r="B2316" s="1">
        <f ca="1">IFERROR(__xludf.DUMMYFUNCTION("""COMPUTED_VALUE"""),5.43)</f>
        <v>5.43</v>
      </c>
      <c r="C2316" s="1">
        <f ca="1">IFERROR(__xludf.DUMMYFUNCTION("""COMPUTED_VALUE"""),5.45)</f>
        <v>5.45</v>
      </c>
      <c r="D2316" s="1">
        <f ca="1">IFERROR(__xludf.DUMMYFUNCTION("""COMPUTED_VALUE"""),5.37)</f>
        <v>5.37</v>
      </c>
      <c r="E2316" s="1">
        <f ca="1">IFERROR(__xludf.DUMMYFUNCTION("""COMPUTED_VALUE"""),5.43)</f>
        <v>5.43</v>
      </c>
      <c r="F2316" s="1">
        <f ca="1">IFERROR(__xludf.DUMMYFUNCTION("""COMPUTED_VALUE"""),216500)</f>
        <v>216500</v>
      </c>
      <c r="I2316" s="1"/>
    </row>
    <row r="2317" spans="1:9">
      <c r="A2317" s="3">
        <f ca="1">IFERROR(__xludf.DUMMYFUNCTION("""COMPUTED_VALUE"""),32567.6666666666)</f>
        <v>32567.666666666599</v>
      </c>
      <c r="B2317" s="1">
        <f ca="1">IFERROR(__xludf.DUMMYFUNCTION("""COMPUTED_VALUE"""),5.38)</f>
        <v>5.38</v>
      </c>
      <c r="C2317" s="1">
        <f ca="1">IFERROR(__xludf.DUMMYFUNCTION("""COMPUTED_VALUE"""),5.45)</f>
        <v>5.45</v>
      </c>
      <c r="D2317" s="1">
        <f ca="1">IFERROR(__xludf.DUMMYFUNCTION("""COMPUTED_VALUE"""),5.34)</f>
        <v>5.34</v>
      </c>
      <c r="E2317" s="1">
        <f ca="1">IFERROR(__xludf.DUMMYFUNCTION("""COMPUTED_VALUE"""),5.38)</f>
        <v>5.38</v>
      </c>
      <c r="F2317" s="1">
        <f ca="1">IFERROR(__xludf.DUMMYFUNCTION("""COMPUTED_VALUE"""),448100)</f>
        <v>448100</v>
      </c>
      <c r="I2317" s="1"/>
    </row>
    <row r="2318" spans="1:9">
      <c r="A2318" s="3">
        <f ca="1">IFERROR(__xludf.DUMMYFUNCTION("""COMPUTED_VALUE"""),32568.6666666666)</f>
        <v>32568.666666666599</v>
      </c>
      <c r="B2318" s="1">
        <f ca="1">IFERROR(__xludf.DUMMYFUNCTION("""COMPUTED_VALUE"""),5.35)</f>
        <v>5.35</v>
      </c>
      <c r="C2318" s="1">
        <f ca="1">IFERROR(__xludf.DUMMYFUNCTION("""COMPUTED_VALUE"""),5.43)</f>
        <v>5.43</v>
      </c>
      <c r="D2318" s="1">
        <f ca="1">IFERROR(__xludf.DUMMYFUNCTION("""COMPUTED_VALUE"""),5.32)</f>
        <v>5.32</v>
      </c>
      <c r="E2318" s="1">
        <f ca="1">IFERROR(__xludf.DUMMYFUNCTION("""COMPUTED_VALUE"""),5.35)</f>
        <v>5.35</v>
      </c>
      <c r="F2318" s="1">
        <f ca="1">IFERROR(__xludf.DUMMYFUNCTION("""COMPUTED_VALUE"""),457300)</f>
        <v>457300</v>
      </c>
      <c r="I2318" s="1"/>
    </row>
    <row r="2319" spans="1:9">
      <c r="A2319" s="3">
        <f ca="1">IFERROR(__xludf.DUMMYFUNCTION("""COMPUTED_VALUE"""),32569.6666666666)</f>
        <v>32569.666666666599</v>
      </c>
      <c r="B2319" s="1">
        <f ca="1">IFERROR(__xludf.DUMMYFUNCTION("""COMPUTED_VALUE"""),5.41)</f>
        <v>5.41</v>
      </c>
      <c r="C2319" s="1">
        <f ca="1">IFERROR(__xludf.DUMMYFUNCTION("""COMPUTED_VALUE"""),5.44)</f>
        <v>5.44</v>
      </c>
      <c r="D2319" s="1">
        <f ca="1">IFERROR(__xludf.DUMMYFUNCTION("""COMPUTED_VALUE"""),5.33)</f>
        <v>5.33</v>
      </c>
      <c r="E2319" s="1">
        <f ca="1">IFERROR(__xludf.DUMMYFUNCTION("""COMPUTED_VALUE"""),5.41)</f>
        <v>5.41</v>
      </c>
      <c r="F2319" s="1">
        <f ca="1">IFERROR(__xludf.DUMMYFUNCTION("""COMPUTED_VALUE"""),332600)</f>
        <v>332600</v>
      </c>
      <c r="I2319" s="1"/>
    </row>
    <row r="2320" spans="1:9">
      <c r="A2320" s="3">
        <f ca="1">IFERROR(__xludf.DUMMYFUNCTION("""COMPUTED_VALUE"""),32570.6666666666)</f>
        <v>32570.666666666599</v>
      </c>
      <c r="B2320" s="1">
        <f ca="1">IFERROR(__xludf.DUMMYFUNCTION("""COMPUTED_VALUE"""),5.45)</f>
        <v>5.45</v>
      </c>
      <c r="C2320" s="1">
        <f ca="1">IFERROR(__xludf.DUMMYFUNCTION("""COMPUTED_VALUE"""),5.45)</f>
        <v>5.45</v>
      </c>
      <c r="D2320" s="1">
        <f ca="1">IFERROR(__xludf.DUMMYFUNCTION("""COMPUTED_VALUE"""),5.41)</f>
        <v>5.41</v>
      </c>
      <c r="E2320" s="1">
        <f ca="1">IFERROR(__xludf.DUMMYFUNCTION("""COMPUTED_VALUE"""),5.45)</f>
        <v>5.45</v>
      </c>
      <c r="F2320" s="1">
        <f ca="1">IFERROR(__xludf.DUMMYFUNCTION("""COMPUTED_VALUE"""),289900)</f>
        <v>289900</v>
      </c>
      <c r="I2320" s="1"/>
    </row>
    <row r="2321" spans="1:9">
      <c r="A2321" s="3">
        <f ca="1">IFERROR(__xludf.DUMMYFUNCTION("""COMPUTED_VALUE"""),32573.6666666666)</f>
        <v>32573.666666666599</v>
      </c>
      <c r="B2321" s="1">
        <f ca="1">IFERROR(__xludf.DUMMYFUNCTION("""COMPUTED_VALUE"""),5.46)</f>
        <v>5.46</v>
      </c>
      <c r="C2321" s="1">
        <f ca="1">IFERROR(__xludf.DUMMYFUNCTION("""COMPUTED_VALUE"""),5.48)</f>
        <v>5.48</v>
      </c>
      <c r="D2321" s="1">
        <f ca="1">IFERROR(__xludf.DUMMYFUNCTION("""COMPUTED_VALUE"""),5.45)</f>
        <v>5.45</v>
      </c>
      <c r="E2321" s="1">
        <f ca="1">IFERROR(__xludf.DUMMYFUNCTION("""COMPUTED_VALUE"""),5.46)</f>
        <v>5.46</v>
      </c>
      <c r="F2321" s="1">
        <f ca="1">IFERROR(__xludf.DUMMYFUNCTION("""COMPUTED_VALUE"""),328900)</f>
        <v>328900</v>
      </c>
      <c r="I2321" s="1"/>
    </row>
    <row r="2322" spans="1:9">
      <c r="A2322" s="3">
        <f ca="1">IFERROR(__xludf.DUMMYFUNCTION("""COMPUTED_VALUE"""),32574.6666666666)</f>
        <v>32574.666666666599</v>
      </c>
      <c r="B2322" s="1">
        <f ca="1">IFERROR(__xludf.DUMMYFUNCTION("""COMPUTED_VALUE"""),5.45)</f>
        <v>5.45</v>
      </c>
      <c r="C2322" s="1">
        <f ca="1">IFERROR(__xludf.DUMMYFUNCTION("""COMPUTED_VALUE"""),5.5)</f>
        <v>5.5</v>
      </c>
      <c r="D2322" s="1">
        <f ca="1">IFERROR(__xludf.DUMMYFUNCTION("""COMPUTED_VALUE"""),5.44)</f>
        <v>5.44</v>
      </c>
      <c r="E2322" s="1">
        <f ca="1">IFERROR(__xludf.DUMMYFUNCTION("""COMPUTED_VALUE"""),5.45)</f>
        <v>5.45</v>
      </c>
      <c r="F2322" s="1">
        <f ca="1">IFERROR(__xludf.DUMMYFUNCTION("""COMPUTED_VALUE"""),325500)</f>
        <v>325500</v>
      </c>
      <c r="I2322" s="1"/>
    </row>
    <row r="2323" spans="1:9">
      <c r="A2323" s="3">
        <f ca="1">IFERROR(__xludf.DUMMYFUNCTION("""COMPUTED_VALUE"""),32575.6666666666)</f>
        <v>32575.666666666599</v>
      </c>
      <c r="B2323" s="1">
        <f ca="1">IFERROR(__xludf.DUMMYFUNCTION("""COMPUTED_VALUE"""),5.45)</f>
        <v>5.45</v>
      </c>
      <c r="C2323" s="1">
        <f ca="1">IFERROR(__xludf.DUMMYFUNCTION("""COMPUTED_VALUE"""),5.52)</f>
        <v>5.52</v>
      </c>
      <c r="D2323" s="1">
        <f ca="1">IFERROR(__xludf.DUMMYFUNCTION("""COMPUTED_VALUE"""),5.42)</f>
        <v>5.42</v>
      </c>
      <c r="E2323" s="1">
        <f ca="1">IFERROR(__xludf.DUMMYFUNCTION("""COMPUTED_VALUE"""),5.45)</f>
        <v>5.45</v>
      </c>
      <c r="F2323" s="1">
        <f ca="1">IFERROR(__xludf.DUMMYFUNCTION("""COMPUTED_VALUE"""),426400)</f>
        <v>426400</v>
      </c>
      <c r="I2323" s="1"/>
    </row>
    <row r="2324" spans="1:9">
      <c r="A2324" s="3">
        <f ca="1">IFERROR(__xludf.DUMMYFUNCTION("""COMPUTED_VALUE"""),32576.6666666666)</f>
        <v>32576.666666666599</v>
      </c>
      <c r="B2324" s="1">
        <f ca="1">IFERROR(__xludf.DUMMYFUNCTION("""COMPUTED_VALUE"""),5.48)</f>
        <v>5.48</v>
      </c>
      <c r="C2324" s="1">
        <f ca="1">IFERROR(__xludf.DUMMYFUNCTION("""COMPUTED_VALUE"""),5.51)</f>
        <v>5.51</v>
      </c>
      <c r="D2324" s="1">
        <f ca="1">IFERROR(__xludf.DUMMYFUNCTION("""COMPUTED_VALUE"""),5.45)</f>
        <v>5.45</v>
      </c>
      <c r="E2324" s="1">
        <f ca="1">IFERROR(__xludf.DUMMYFUNCTION("""COMPUTED_VALUE"""),5.48)</f>
        <v>5.48</v>
      </c>
      <c r="F2324" s="1">
        <f ca="1">IFERROR(__xludf.DUMMYFUNCTION("""COMPUTED_VALUE"""),320800)</f>
        <v>320800</v>
      </c>
      <c r="I2324" s="1"/>
    </row>
    <row r="2325" spans="1:9">
      <c r="A2325" s="3">
        <f ca="1">IFERROR(__xludf.DUMMYFUNCTION("""COMPUTED_VALUE"""),32577.6666666666)</f>
        <v>32577.666666666599</v>
      </c>
      <c r="B2325" s="1">
        <f ca="1">IFERROR(__xludf.DUMMYFUNCTION("""COMPUTED_VALUE"""),5.47)</f>
        <v>5.47</v>
      </c>
      <c r="C2325" s="1">
        <f ca="1">IFERROR(__xludf.DUMMYFUNCTION("""COMPUTED_VALUE"""),5.48)</f>
        <v>5.48</v>
      </c>
      <c r="D2325" s="1">
        <f ca="1">IFERROR(__xludf.DUMMYFUNCTION("""COMPUTED_VALUE"""),5.44)</f>
        <v>5.44</v>
      </c>
      <c r="E2325" s="1">
        <f ca="1">IFERROR(__xludf.DUMMYFUNCTION("""COMPUTED_VALUE"""),5.47)</f>
        <v>5.47</v>
      </c>
      <c r="F2325" s="1">
        <f ca="1">IFERROR(__xludf.DUMMYFUNCTION("""COMPUTED_VALUE"""),372600)</f>
        <v>372600</v>
      </c>
      <c r="I2325" s="1"/>
    </row>
    <row r="2326" spans="1:9">
      <c r="A2326" s="3">
        <f ca="1">IFERROR(__xludf.DUMMYFUNCTION("""COMPUTED_VALUE"""),32580.6666666666)</f>
        <v>32580.666666666599</v>
      </c>
      <c r="B2326" s="1">
        <f ca="1">IFERROR(__xludf.DUMMYFUNCTION("""COMPUTED_VALUE"""),5.53)</f>
        <v>5.53</v>
      </c>
      <c r="C2326" s="1">
        <f ca="1">IFERROR(__xludf.DUMMYFUNCTION("""COMPUTED_VALUE"""),5.59)</f>
        <v>5.59</v>
      </c>
      <c r="D2326" s="1">
        <f ca="1">IFERROR(__xludf.DUMMYFUNCTION("""COMPUTED_VALUE"""),5.47)</f>
        <v>5.47</v>
      </c>
      <c r="E2326" s="1">
        <f ca="1">IFERROR(__xludf.DUMMYFUNCTION("""COMPUTED_VALUE"""),5.53)</f>
        <v>5.53</v>
      </c>
      <c r="F2326" s="1">
        <f ca="1">IFERROR(__xludf.DUMMYFUNCTION("""COMPUTED_VALUE"""),382800)</f>
        <v>382800</v>
      </c>
      <c r="I2326" s="1"/>
    </row>
    <row r="2327" spans="1:9">
      <c r="A2327" s="3">
        <f ca="1">IFERROR(__xludf.DUMMYFUNCTION("""COMPUTED_VALUE"""),32581.6666666666)</f>
        <v>32581.666666666599</v>
      </c>
      <c r="B2327" s="1">
        <f ca="1">IFERROR(__xludf.DUMMYFUNCTION("""COMPUTED_VALUE"""),5.61)</f>
        <v>5.61</v>
      </c>
      <c r="C2327" s="1">
        <f ca="1">IFERROR(__xludf.DUMMYFUNCTION("""COMPUTED_VALUE"""),5.64)</f>
        <v>5.64</v>
      </c>
      <c r="D2327" s="1">
        <f ca="1">IFERROR(__xludf.DUMMYFUNCTION("""COMPUTED_VALUE"""),5.57)</f>
        <v>5.57</v>
      </c>
      <c r="E2327" s="1">
        <f ca="1">IFERROR(__xludf.DUMMYFUNCTION("""COMPUTED_VALUE"""),5.61)</f>
        <v>5.61</v>
      </c>
      <c r="F2327" s="1">
        <f ca="1">IFERROR(__xludf.DUMMYFUNCTION("""COMPUTED_VALUE"""),498100)</f>
        <v>498100</v>
      </c>
      <c r="I2327" s="1"/>
    </row>
    <row r="2328" spans="1:9">
      <c r="A2328" s="3">
        <f ca="1">IFERROR(__xludf.DUMMYFUNCTION("""COMPUTED_VALUE"""),32582.6666666666)</f>
        <v>32582.666666666599</v>
      </c>
      <c r="B2328" s="1">
        <f ca="1">IFERROR(__xludf.DUMMYFUNCTION("""COMPUTED_VALUE"""),5.71)</f>
        <v>5.71</v>
      </c>
      <c r="C2328" s="1">
        <f ca="1">IFERROR(__xludf.DUMMYFUNCTION("""COMPUTED_VALUE"""),5.73)</f>
        <v>5.73</v>
      </c>
      <c r="D2328" s="1">
        <f ca="1">IFERROR(__xludf.DUMMYFUNCTION("""COMPUTED_VALUE"""),5.62)</f>
        <v>5.62</v>
      </c>
      <c r="E2328" s="1">
        <f ca="1">IFERROR(__xludf.DUMMYFUNCTION("""COMPUTED_VALUE"""),5.71)</f>
        <v>5.71</v>
      </c>
      <c r="F2328" s="1">
        <f ca="1">IFERROR(__xludf.DUMMYFUNCTION("""COMPUTED_VALUE"""),480900)</f>
        <v>480900</v>
      </c>
      <c r="I2328" s="1"/>
    </row>
    <row r="2329" spans="1:9">
      <c r="A2329" s="3">
        <f ca="1">IFERROR(__xludf.DUMMYFUNCTION("""COMPUTED_VALUE"""),32583.6666666666)</f>
        <v>32583.666666666599</v>
      </c>
      <c r="B2329" s="1">
        <f ca="1">IFERROR(__xludf.DUMMYFUNCTION("""COMPUTED_VALUE"""),5.81)</f>
        <v>5.81</v>
      </c>
      <c r="C2329" s="1">
        <f ca="1">IFERROR(__xludf.DUMMYFUNCTION("""COMPUTED_VALUE"""),5.84)</f>
        <v>5.84</v>
      </c>
      <c r="D2329" s="1">
        <f ca="1">IFERROR(__xludf.DUMMYFUNCTION("""COMPUTED_VALUE"""),5.71)</f>
        <v>5.71</v>
      </c>
      <c r="E2329" s="1">
        <f ca="1">IFERROR(__xludf.DUMMYFUNCTION("""COMPUTED_VALUE"""),5.81)</f>
        <v>5.81</v>
      </c>
      <c r="F2329" s="1">
        <f ca="1">IFERROR(__xludf.DUMMYFUNCTION("""COMPUTED_VALUE"""),633500)</f>
        <v>633500</v>
      </c>
      <c r="I2329" s="1"/>
    </row>
    <row r="2330" spans="1:9">
      <c r="A2330" s="3">
        <f ca="1">IFERROR(__xludf.DUMMYFUNCTION("""COMPUTED_VALUE"""),32584.6666666666)</f>
        <v>32584.666666666599</v>
      </c>
      <c r="B2330" s="1">
        <f ca="1">IFERROR(__xludf.DUMMYFUNCTION("""COMPUTED_VALUE"""),5.66)</f>
        <v>5.66</v>
      </c>
      <c r="C2330" s="1">
        <f ca="1">IFERROR(__xludf.DUMMYFUNCTION("""COMPUTED_VALUE"""),5.68)</f>
        <v>5.68</v>
      </c>
      <c r="D2330" s="1">
        <f ca="1">IFERROR(__xludf.DUMMYFUNCTION("""COMPUTED_VALUE"""),5.62)</f>
        <v>5.62</v>
      </c>
      <c r="E2330" s="1">
        <f ca="1">IFERROR(__xludf.DUMMYFUNCTION("""COMPUTED_VALUE"""),5.66)</f>
        <v>5.66</v>
      </c>
      <c r="F2330" s="1">
        <f ca="1">IFERROR(__xludf.DUMMYFUNCTION("""COMPUTED_VALUE"""),1143500)</f>
        <v>1143500</v>
      </c>
      <c r="I2330" s="1"/>
    </row>
    <row r="2331" spans="1:9">
      <c r="A2331" s="3">
        <f ca="1">IFERROR(__xludf.DUMMYFUNCTION("""COMPUTED_VALUE"""),32587.6666666666)</f>
        <v>32587.666666666599</v>
      </c>
      <c r="B2331" s="1">
        <f ca="1">IFERROR(__xludf.DUMMYFUNCTION("""COMPUTED_VALUE"""),5.53)</f>
        <v>5.53</v>
      </c>
      <c r="C2331" s="1">
        <f ca="1">IFERROR(__xludf.DUMMYFUNCTION("""COMPUTED_VALUE"""),5.63)</f>
        <v>5.63</v>
      </c>
      <c r="D2331" s="1">
        <f ca="1">IFERROR(__xludf.DUMMYFUNCTION("""COMPUTED_VALUE"""),5.51)</f>
        <v>5.51</v>
      </c>
      <c r="E2331" s="1">
        <f ca="1">IFERROR(__xludf.DUMMYFUNCTION("""COMPUTED_VALUE"""),5.53)</f>
        <v>5.53</v>
      </c>
      <c r="F2331" s="1">
        <f ca="1">IFERROR(__xludf.DUMMYFUNCTION("""COMPUTED_VALUE"""),570700)</f>
        <v>570700</v>
      </c>
      <c r="I2331" s="1"/>
    </row>
    <row r="2332" spans="1:9">
      <c r="A2332" s="3">
        <f ca="1">IFERROR(__xludf.DUMMYFUNCTION("""COMPUTED_VALUE"""),32588.6666666666)</f>
        <v>32588.666666666599</v>
      </c>
      <c r="B2332" s="1">
        <f ca="1">IFERROR(__xludf.DUMMYFUNCTION("""COMPUTED_VALUE"""),5.55)</f>
        <v>5.55</v>
      </c>
      <c r="C2332" s="1">
        <f ca="1">IFERROR(__xludf.DUMMYFUNCTION("""COMPUTED_VALUE"""),5.59)</f>
        <v>5.59</v>
      </c>
      <c r="D2332" s="1">
        <f ca="1">IFERROR(__xludf.DUMMYFUNCTION("""COMPUTED_VALUE"""),5.53)</f>
        <v>5.53</v>
      </c>
      <c r="E2332" s="1">
        <f ca="1">IFERROR(__xludf.DUMMYFUNCTION("""COMPUTED_VALUE"""),5.55)</f>
        <v>5.55</v>
      </c>
      <c r="F2332" s="1">
        <f ca="1">IFERROR(__xludf.DUMMYFUNCTION("""COMPUTED_VALUE"""),369000)</f>
        <v>369000</v>
      </c>
      <c r="I2332" s="1"/>
    </row>
    <row r="2333" spans="1:9">
      <c r="A2333" s="3">
        <f ca="1">IFERROR(__xludf.DUMMYFUNCTION("""COMPUTED_VALUE"""),32589.6666666666)</f>
        <v>32589.666666666599</v>
      </c>
      <c r="B2333" s="1">
        <f ca="1">IFERROR(__xludf.DUMMYFUNCTION("""COMPUTED_VALUE"""),5.49)</f>
        <v>5.49</v>
      </c>
      <c r="C2333" s="1">
        <f ca="1">IFERROR(__xludf.DUMMYFUNCTION("""COMPUTED_VALUE"""),5.53)</f>
        <v>5.53</v>
      </c>
      <c r="D2333" s="1">
        <f ca="1">IFERROR(__xludf.DUMMYFUNCTION("""COMPUTED_VALUE"""),5.47)</f>
        <v>5.47</v>
      </c>
      <c r="E2333" s="1">
        <f ca="1">IFERROR(__xludf.DUMMYFUNCTION("""COMPUTED_VALUE"""),5.49)</f>
        <v>5.49</v>
      </c>
      <c r="F2333" s="1">
        <f ca="1">IFERROR(__xludf.DUMMYFUNCTION("""COMPUTED_VALUE"""),500400)</f>
        <v>500400</v>
      </c>
      <c r="I2333" s="1"/>
    </row>
    <row r="2334" spans="1:9">
      <c r="A2334" s="3">
        <f ca="1">IFERROR(__xludf.DUMMYFUNCTION("""COMPUTED_VALUE"""),32590.6666666666)</f>
        <v>32590.666666666599</v>
      </c>
      <c r="B2334" s="1">
        <f ca="1">IFERROR(__xludf.DUMMYFUNCTION("""COMPUTED_VALUE"""),5.48)</f>
        <v>5.48</v>
      </c>
      <c r="C2334" s="1">
        <f ca="1">IFERROR(__xludf.DUMMYFUNCTION("""COMPUTED_VALUE"""),5.54)</f>
        <v>5.54</v>
      </c>
      <c r="D2334" s="1">
        <f ca="1">IFERROR(__xludf.DUMMYFUNCTION("""COMPUTED_VALUE"""),5.46)</f>
        <v>5.46</v>
      </c>
      <c r="E2334" s="1">
        <f ca="1">IFERROR(__xludf.DUMMYFUNCTION("""COMPUTED_VALUE"""),5.48)</f>
        <v>5.48</v>
      </c>
      <c r="F2334" s="1">
        <f ca="1">IFERROR(__xludf.DUMMYFUNCTION("""COMPUTED_VALUE"""),320600)</f>
        <v>320600</v>
      </c>
      <c r="I2334" s="1"/>
    </row>
    <row r="2335" spans="1:9">
      <c r="A2335" s="3">
        <f ca="1">IFERROR(__xludf.DUMMYFUNCTION("""COMPUTED_VALUE"""),32594.6666666666)</f>
        <v>32594.666666666599</v>
      </c>
      <c r="B2335" s="1">
        <f ca="1">IFERROR(__xludf.DUMMYFUNCTION("""COMPUTED_VALUE"""),5.55)</f>
        <v>5.55</v>
      </c>
      <c r="C2335" s="1">
        <f ca="1">IFERROR(__xludf.DUMMYFUNCTION("""COMPUTED_VALUE"""),5.56)</f>
        <v>5.56</v>
      </c>
      <c r="D2335" s="1">
        <f ca="1">IFERROR(__xludf.DUMMYFUNCTION("""COMPUTED_VALUE"""),5.48)</f>
        <v>5.48</v>
      </c>
      <c r="E2335" s="1">
        <f ca="1">IFERROR(__xludf.DUMMYFUNCTION("""COMPUTED_VALUE"""),5.55)</f>
        <v>5.55</v>
      </c>
      <c r="F2335" s="1">
        <f ca="1">IFERROR(__xludf.DUMMYFUNCTION("""COMPUTED_VALUE"""),189200)</f>
        <v>189200</v>
      </c>
      <c r="I2335" s="1"/>
    </row>
    <row r="2336" spans="1:9">
      <c r="A2336" s="3">
        <f ca="1">IFERROR(__xludf.DUMMYFUNCTION("""COMPUTED_VALUE"""),32595.6666666666)</f>
        <v>32595.666666666599</v>
      </c>
      <c r="B2336" s="1">
        <f ca="1">IFERROR(__xludf.DUMMYFUNCTION("""COMPUTED_VALUE"""),5.64)</f>
        <v>5.64</v>
      </c>
      <c r="C2336" s="1">
        <f ca="1">IFERROR(__xludf.DUMMYFUNCTION("""COMPUTED_VALUE"""),5.64)</f>
        <v>5.64</v>
      </c>
      <c r="D2336" s="1">
        <f ca="1">IFERROR(__xludf.DUMMYFUNCTION("""COMPUTED_VALUE"""),5.57)</f>
        <v>5.57</v>
      </c>
      <c r="E2336" s="1">
        <f ca="1">IFERROR(__xludf.DUMMYFUNCTION("""COMPUTED_VALUE"""),5.64)</f>
        <v>5.64</v>
      </c>
      <c r="F2336" s="1">
        <f ca="1">IFERROR(__xludf.DUMMYFUNCTION("""COMPUTED_VALUE"""),350100)</f>
        <v>350100</v>
      </c>
      <c r="I2336" s="1"/>
    </row>
    <row r="2337" spans="1:9">
      <c r="A2337" s="3">
        <f ca="1">IFERROR(__xludf.DUMMYFUNCTION("""COMPUTED_VALUE"""),32596.6666666666)</f>
        <v>32596.666666666599</v>
      </c>
      <c r="B2337" s="1">
        <f ca="1">IFERROR(__xludf.DUMMYFUNCTION("""COMPUTED_VALUE"""),5.67)</f>
        <v>5.67</v>
      </c>
      <c r="C2337" s="1">
        <f ca="1">IFERROR(__xludf.DUMMYFUNCTION("""COMPUTED_VALUE"""),5.72)</f>
        <v>5.72</v>
      </c>
      <c r="D2337" s="1">
        <f ca="1">IFERROR(__xludf.DUMMYFUNCTION("""COMPUTED_VALUE"""),5.66)</f>
        <v>5.66</v>
      </c>
      <c r="E2337" s="1">
        <f ca="1">IFERROR(__xludf.DUMMYFUNCTION("""COMPUTED_VALUE"""),5.67)</f>
        <v>5.67</v>
      </c>
      <c r="F2337" s="1">
        <f ca="1">IFERROR(__xludf.DUMMYFUNCTION("""COMPUTED_VALUE"""),289500)</f>
        <v>289500</v>
      </c>
      <c r="I2337" s="1"/>
    </row>
    <row r="2338" spans="1:9">
      <c r="A2338" s="3">
        <f ca="1">IFERROR(__xludf.DUMMYFUNCTION("""COMPUTED_VALUE"""),32597.6666666666)</f>
        <v>32597.666666666599</v>
      </c>
      <c r="B2338" s="1">
        <f ca="1">IFERROR(__xludf.DUMMYFUNCTION("""COMPUTED_VALUE"""),5.66)</f>
        <v>5.66</v>
      </c>
      <c r="C2338" s="1">
        <f ca="1">IFERROR(__xludf.DUMMYFUNCTION("""COMPUTED_VALUE"""),5.7)</f>
        <v>5.7</v>
      </c>
      <c r="D2338" s="1">
        <f ca="1">IFERROR(__xludf.DUMMYFUNCTION("""COMPUTED_VALUE"""),5.62)</f>
        <v>5.62</v>
      </c>
      <c r="E2338" s="1">
        <f ca="1">IFERROR(__xludf.DUMMYFUNCTION("""COMPUTED_VALUE"""),5.66)</f>
        <v>5.66</v>
      </c>
      <c r="F2338" s="1">
        <f ca="1">IFERROR(__xludf.DUMMYFUNCTION("""COMPUTED_VALUE"""),290000)</f>
        <v>290000</v>
      </c>
      <c r="I2338" s="1"/>
    </row>
    <row r="2339" spans="1:9">
      <c r="A2339" s="3">
        <f ca="1">IFERROR(__xludf.DUMMYFUNCTION("""COMPUTED_VALUE"""),32598.6666666666)</f>
        <v>32598.666666666599</v>
      </c>
      <c r="B2339" s="1">
        <f ca="1">IFERROR(__xludf.DUMMYFUNCTION("""COMPUTED_VALUE"""),5.67)</f>
        <v>5.67</v>
      </c>
      <c r="C2339" s="1">
        <f ca="1">IFERROR(__xludf.DUMMYFUNCTION("""COMPUTED_VALUE"""),5.7)</f>
        <v>5.7</v>
      </c>
      <c r="D2339" s="1">
        <f ca="1">IFERROR(__xludf.DUMMYFUNCTION("""COMPUTED_VALUE"""),5.65)</f>
        <v>5.65</v>
      </c>
      <c r="E2339" s="1">
        <f ca="1">IFERROR(__xludf.DUMMYFUNCTION("""COMPUTED_VALUE"""),5.67)</f>
        <v>5.67</v>
      </c>
      <c r="F2339" s="1">
        <f ca="1">IFERROR(__xludf.DUMMYFUNCTION("""COMPUTED_VALUE"""),167200)</f>
        <v>167200</v>
      </c>
      <c r="I2339" s="1"/>
    </row>
    <row r="2340" spans="1:9">
      <c r="A2340" s="3">
        <f ca="1">IFERROR(__xludf.DUMMYFUNCTION("""COMPUTED_VALUE"""),32601.6666666666)</f>
        <v>32601.666666666599</v>
      </c>
      <c r="B2340" s="1">
        <f ca="1">IFERROR(__xludf.DUMMYFUNCTION("""COMPUTED_VALUE"""),5.67)</f>
        <v>5.67</v>
      </c>
      <c r="C2340" s="1">
        <f ca="1">IFERROR(__xludf.DUMMYFUNCTION("""COMPUTED_VALUE"""),5.73)</f>
        <v>5.73</v>
      </c>
      <c r="D2340" s="1">
        <f ca="1">IFERROR(__xludf.DUMMYFUNCTION("""COMPUTED_VALUE"""),5.66)</f>
        <v>5.66</v>
      </c>
      <c r="E2340" s="1">
        <f ca="1">IFERROR(__xludf.DUMMYFUNCTION("""COMPUTED_VALUE"""),5.67)</f>
        <v>5.67</v>
      </c>
      <c r="F2340" s="1">
        <f ca="1">IFERROR(__xludf.DUMMYFUNCTION("""COMPUTED_VALUE"""),278800)</f>
        <v>278800</v>
      </c>
      <c r="I2340" s="1"/>
    </row>
    <row r="2341" spans="1:9">
      <c r="A2341" s="3">
        <f ca="1">IFERROR(__xludf.DUMMYFUNCTION("""COMPUTED_VALUE"""),32602.6666666666)</f>
        <v>32602.666666666599</v>
      </c>
      <c r="B2341" s="1">
        <f ca="1">IFERROR(__xludf.DUMMYFUNCTION("""COMPUTED_VALUE"""),5.64)</f>
        <v>5.64</v>
      </c>
      <c r="C2341" s="1">
        <f ca="1">IFERROR(__xludf.DUMMYFUNCTION("""COMPUTED_VALUE"""),5.66)</f>
        <v>5.66</v>
      </c>
      <c r="D2341" s="1">
        <f ca="1">IFERROR(__xludf.DUMMYFUNCTION("""COMPUTED_VALUE"""),5.63)</f>
        <v>5.63</v>
      </c>
      <c r="E2341" s="1">
        <f ca="1">IFERROR(__xludf.DUMMYFUNCTION("""COMPUTED_VALUE"""),5.64)</f>
        <v>5.64</v>
      </c>
      <c r="F2341" s="1">
        <f ca="1">IFERROR(__xludf.DUMMYFUNCTION("""COMPUTED_VALUE"""),228300)</f>
        <v>228300</v>
      </c>
      <c r="I2341" s="1"/>
    </row>
    <row r="2342" spans="1:9">
      <c r="A2342" s="3">
        <f ca="1">IFERROR(__xludf.DUMMYFUNCTION("""COMPUTED_VALUE"""),32603.6666666666)</f>
        <v>32603.666666666599</v>
      </c>
      <c r="B2342" s="1">
        <f ca="1">IFERROR(__xludf.DUMMYFUNCTION("""COMPUTED_VALUE"""),5.66)</f>
        <v>5.66</v>
      </c>
      <c r="C2342" s="1">
        <f ca="1">IFERROR(__xludf.DUMMYFUNCTION("""COMPUTED_VALUE"""),5.68)</f>
        <v>5.68</v>
      </c>
      <c r="D2342" s="1">
        <f ca="1">IFERROR(__xludf.DUMMYFUNCTION("""COMPUTED_VALUE"""),5.63)</f>
        <v>5.63</v>
      </c>
      <c r="E2342" s="1">
        <f ca="1">IFERROR(__xludf.DUMMYFUNCTION("""COMPUTED_VALUE"""),5.66)</f>
        <v>5.66</v>
      </c>
      <c r="F2342" s="1">
        <f ca="1">IFERROR(__xludf.DUMMYFUNCTION("""COMPUTED_VALUE"""),275400)</f>
        <v>275400</v>
      </c>
      <c r="I2342" s="1"/>
    </row>
    <row r="2343" spans="1:9">
      <c r="A2343" s="3">
        <f ca="1">IFERROR(__xludf.DUMMYFUNCTION("""COMPUTED_VALUE"""),32604.6666666666)</f>
        <v>32604.666666666599</v>
      </c>
      <c r="B2343" s="1">
        <f ca="1">IFERROR(__xludf.DUMMYFUNCTION("""COMPUTED_VALUE"""),5.66)</f>
        <v>5.66</v>
      </c>
      <c r="C2343" s="1">
        <f ca="1">IFERROR(__xludf.DUMMYFUNCTION("""COMPUTED_VALUE"""),5.69)</f>
        <v>5.69</v>
      </c>
      <c r="D2343" s="1">
        <f ca="1">IFERROR(__xludf.DUMMYFUNCTION("""COMPUTED_VALUE"""),5.64)</f>
        <v>5.64</v>
      </c>
      <c r="E2343" s="1">
        <f ca="1">IFERROR(__xludf.DUMMYFUNCTION("""COMPUTED_VALUE"""),5.66)</f>
        <v>5.66</v>
      </c>
      <c r="F2343" s="1">
        <f ca="1">IFERROR(__xludf.DUMMYFUNCTION("""COMPUTED_VALUE"""),242000)</f>
        <v>242000</v>
      </c>
      <c r="I2343" s="1"/>
    </row>
    <row r="2344" spans="1:9">
      <c r="A2344" s="3">
        <f ca="1">IFERROR(__xludf.DUMMYFUNCTION("""COMPUTED_VALUE"""),32605.6666666666)</f>
        <v>32605.666666666599</v>
      </c>
      <c r="B2344" s="1">
        <f ca="1">IFERROR(__xludf.DUMMYFUNCTION("""COMPUTED_VALUE"""),5.69)</f>
        <v>5.69</v>
      </c>
      <c r="C2344" s="1">
        <f ca="1">IFERROR(__xludf.DUMMYFUNCTION("""COMPUTED_VALUE"""),5.72)</f>
        <v>5.72</v>
      </c>
      <c r="D2344" s="1">
        <f ca="1">IFERROR(__xludf.DUMMYFUNCTION("""COMPUTED_VALUE"""),5.62)</f>
        <v>5.62</v>
      </c>
      <c r="E2344" s="1">
        <f ca="1">IFERROR(__xludf.DUMMYFUNCTION("""COMPUTED_VALUE"""),5.69)</f>
        <v>5.69</v>
      </c>
      <c r="F2344" s="1">
        <f ca="1">IFERROR(__xludf.DUMMYFUNCTION("""COMPUTED_VALUE"""),214600)</f>
        <v>214600</v>
      </c>
      <c r="I2344" s="1"/>
    </row>
    <row r="2345" spans="1:9">
      <c r="A2345" s="3">
        <f ca="1">IFERROR(__xludf.DUMMYFUNCTION("""COMPUTED_VALUE"""),32608.6666666666)</f>
        <v>32608.666666666599</v>
      </c>
      <c r="B2345" s="1">
        <f ca="1">IFERROR(__xludf.DUMMYFUNCTION("""COMPUTED_VALUE"""),5.7)</f>
        <v>5.7</v>
      </c>
      <c r="C2345" s="1">
        <f ca="1">IFERROR(__xludf.DUMMYFUNCTION("""COMPUTED_VALUE"""),5.73)</f>
        <v>5.73</v>
      </c>
      <c r="D2345" s="1">
        <f ca="1">IFERROR(__xludf.DUMMYFUNCTION("""COMPUTED_VALUE"""),5.69)</f>
        <v>5.69</v>
      </c>
      <c r="E2345" s="1">
        <f ca="1">IFERROR(__xludf.DUMMYFUNCTION("""COMPUTED_VALUE"""),5.7)</f>
        <v>5.7</v>
      </c>
      <c r="F2345" s="1">
        <f ca="1">IFERROR(__xludf.DUMMYFUNCTION("""COMPUTED_VALUE"""),179500)</f>
        <v>179500</v>
      </c>
      <c r="I2345" s="1"/>
    </row>
    <row r="2346" spans="1:9">
      <c r="A2346" s="3">
        <f ca="1">IFERROR(__xludf.DUMMYFUNCTION("""COMPUTED_VALUE"""),32609.6666666666)</f>
        <v>32609.666666666599</v>
      </c>
      <c r="B2346" s="1">
        <f ca="1">IFERROR(__xludf.DUMMYFUNCTION("""COMPUTED_VALUE"""),5.78)</f>
        <v>5.78</v>
      </c>
      <c r="C2346" s="1">
        <f ca="1">IFERROR(__xludf.DUMMYFUNCTION("""COMPUTED_VALUE"""),5.8)</f>
        <v>5.8</v>
      </c>
      <c r="D2346" s="1">
        <f ca="1">IFERROR(__xludf.DUMMYFUNCTION("""COMPUTED_VALUE"""),5.71)</f>
        <v>5.71</v>
      </c>
      <c r="E2346" s="1">
        <f ca="1">IFERROR(__xludf.DUMMYFUNCTION("""COMPUTED_VALUE"""),5.78)</f>
        <v>5.78</v>
      </c>
      <c r="F2346" s="1">
        <f ca="1">IFERROR(__xludf.DUMMYFUNCTION("""COMPUTED_VALUE"""),308400)</f>
        <v>308400</v>
      </c>
      <c r="I2346" s="1"/>
    </row>
    <row r="2347" spans="1:9">
      <c r="A2347" s="3">
        <f ca="1">IFERROR(__xludf.DUMMYFUNCTION("""COMPUTED_VALUE"""),32610.6666666666)</f>
        <v>32610.666666666599</v>
      </c>
      <c r="B2347" s="1">
        <f ca="1">IFERROR(__xludf.DUMMYFUNCTION("""COMPUTED_VALUE"""),5.8)</f>
        <v>5.8</v>
      </c>
      <c r="C2347" s="1">
        <f ca="1">IFERROR(__xludf.DUMMYFUNCTION("""COMPUTED_VALUE"""),5.84)</f>
        <v>5.84</v>
      </c>
      <c r="D2347" s="1">
        <f ca="1">IFERROR(__xludf.DUMMYFUNCTION("""COMPUTED_VALUE"""),5.78)</f>
        <v>5.78</v>
      </c>
      <c r="E2347" s="1">
        <f ca="1">IFERROR(__xludf.DUMMYFUNCTION("""COMPUTED_VALUE"""),5.8)</f>
        <v>5.8</v>
      </c>
      <c r="F2347" s="1">
        <f ca="1">IFERROR(__xludf.DUMMYFUNCTION("""COMPUTED_VALUE"""),289000)</f>
        <v>289000</v>
      </c>
      <c r="I2347" s="1"/>
    </row>
    <row r="2348" spans="1:9">
      <c r="A2348" s="3">
        <f ca="1">IFERROR(__xludf.DUMMYFUNCTION("""COMPUTED_VALUE"""),32611.6666666666)</f>
        <v>32611.666666666599</v>
      </c>
      <c r="B2348" s="1">
        <f ca="1">IFERROR(__xludf.DUMMYFUNCTION("""COMPUTED_VALUE"""),5.73)</f>
        <v>5.73</v>
      </c>
      <c r="C2348" s="1">
        <f ca="1">IFERROR(__xludf.DUMMYFUNCTION("""COMPUTED_VALUE"""),5.79)</f>
        <v>5.79</v>
      </c>
      <c r="D2348" s="1">
        <f ca="1">IFERROR(__xludf.DUMMYFUNCTION("""COMPUTED_VALUE"""),5.72)</f>
        <v>5.72</v>
      </c>
      <c r="E2348" s="1">
        <f ca="1">IFERROR(__xludf.DUMMYFUNCTION("""COMPUTED_VALUE"""),5.73)</f>
        <v>5.73</v>
      </c>
      <c r="F2348" s="1">
        <f ca="1">IFERROR(__xludf.DUMMYFUNCTION("""COMPUTED_VALUE"""),224600)</f>
        <v>224600</v>
      </c>
      <c r="I2348" s="1"/>
    </row>
    <row r="2349" spans="1:9">
      <c r="A2349" s="3">
        <f ca="1">IFERROR(__xludf.DUMMYFUNCTION("""COMPUTED_VALUE"""),32612.6666666666)</f>
        <v>32612.666666666599</v>
      </c>
      <c r="B2349" s="1">
        <f ca="1">IFERROR(__xludf.DUMMYFUNCTION("""COMPUTED_VALUE"""),5.81)</f>
        <v>5.81</v>
      </c>
      <c r="C2349" s="1">
        <f ca="1">IFERROR(__xludf.DUMMYFUNCTION("""COMPUTED_VALUE"""),5.83)</f>
        <v>5.83</v>
      </c>
      <c r="D2349" s="1">
        <f ca="1">IFERROR(__xludf.DUMMYFUNCTION("""COMPUTED_VALUE"""),5.75)</f>
        <v>5.75</v>
      </c>
      <c r="E2349" s="1">
        <f ca="1">IFERROR(__xludf.DUMMYFUNCTION("""COMPUTED_VALUE"""),5.81)</f>
        <v>5.81</v>
      </c>
      <c r="F2349" s="1">
        <f ca="1">IFERROR(__xludf.DUMMYFUNCTION("""COMPUTED_VALUE"""),371100)</f>
        <v>371100</v>
      </c>
      <c r="I2349" s="1"/>
    </row>
    <row r="2350" spans="1:9">
      <c r="A2350" s="3">
        <f ca="1">IFERROR(__xludf.DUMMYFUNCTION("""COMPUTED_VALUE"""),32615.6666666666)</f>
        <v>32615.666666666599</v>
      </c>
      <c r="B2350" s="1">
        <f ca="1">IFERROR(__xludf.DUMMYFUNCTION("""COMPUTED_VALUE"""),5.82)</f>
        <v>5.82</v>
      </c>
      <c r="C2350" s="1">
        <f ca="1">IFERROR(__xludf.DUMMYFUNCTION("""COMPUTED_VALUE"""),5.87)</f>
        <v>5.87</v>
      </c>
      <c r="D2350" s="1">
        <f ca="1">IFERROR(__xludf.DUMMYFUNCTION("""COMPUTED_VALUE"""),5.8)</f>
        <v>5.8</v>
      </c>
      <c r="E2350" s="1">
        <f ca="1">IFERROR(__xludf.DUMMYFUNCTION("""COMPUTED_VALUE"""),5.82)</f>
        <v>5.82</v>
      </c>
      <c r="F2350" s="1">
        <f ca="1">IFERROR(__xludf.DUMMYFUNCTION("""COMPUTED_VALUE"""),390800)</f>
        <v>390800</v>
      </c>
      <c r="I2350" s="1"/>
    </row>
    <row r="2351" spans="1:9">
      <c r="A2351" s="3">
        <f ca="1">IFERROR(__xludf.DUMMYFUNCTION("""COMPUTED_VALUE"""),32616.6666666666)</f>
        <v>32616.666666666599</v>
      </c>
      <c r="B2351" s="1">
        <f ca="1">IFERROR(__xludf.DUMMYFUNCTION("""COMPUTED_VALUE"""),5.93)</f>
        <v>5.93</v>
      </c>
      <c r="C2351" s="1">
        <f ca="1">IFERROR(__xludf.DUMMYFUNCTION("""COMPUTED_VALUE"""),5.93)</f>
        <v>5.93</v>
      </c>
      <c r="D2351" s="1">
        <f ca="1">IFERROR(__xludf.DUMMYFUNCTION("""COMPUTED_VALUE"""),5.88)</f>
        <v>5.88</v>
      </c>
      <c r="E2351" s="1">
        <f ca="1">IFERROR(__xludf.DUMMYFUNCTION("""COMPUTED_VALUE"""),5.93)</f>
        <v>5.93</v>
      </c>
      <c r="F2351" s="1">
        <f ca="1">IFERROR(__xludf.DUMMYFUNCTION("""COMPUTED_VALUE"""),460100)</f>
        <v>460100</v>
      </c>
      <c r="I2351" s="1"/>
    </row>
    <row r="2352" spans="1:9">
      <c r="A2352" s="3">
        <f ca="1">IFERROR(__xludf.DUMMYFUNCTION("""COMPUTED_VALUE"""),32617.6666666666)</f>
        <v>32617.666666666599</v>
      </c>
      <c r="B2352" s="1">
        <f ca="1">IFERROR(__xludf.DUMMYFUNCTION("""COMPUTED_VALUE"""),5.98)</f>
        <v>5.98</v>
      </c>
      <c r="C2352" s="1">
        <f ca="1">IFERROR(__xludf.DUMMYFUNCTION("""COMPUTED_VALUE"""),5.98)</f>
        <v>5.98</v>
      </c>
      <c r="D2352" s="1">
        <f ca="1">IFERROR(__xludf.DUMMYFUNCTION("""COMPUTED_VALUE"""),5.91)</f>
        <v>5.91</v>
      </c>
      <c r="E2352" s="1">
        <f ca="1">IFERROR(__xludf.DUMMYFUNCTION("""COMPUTED_VALUE"""),5.98)</f>
        <v>5.98</v>
      </c>
      <c r="F2352" s="1">
        <f ca="1">IFERROR(__xludf.DUMMYFUNCTION("""COMPUTED_VALUE"""),415600)</f>
        <v>415600</v>
      </c>
      <c r="I2352" s="1"/>
    </row>
    <row r="2353" spans="1:9">
      <c r="A2353" s="3">
        <f ca="1">IFERROR(__xludf.DUMMYFUNCTION("""COMPUTED_VALUE"""),32618.6666666666)</f>
        <v>32618.666666666599</v>
      </c>
      <c r="B2353" s="1">
        <f ca="1">IFERROR(__xludf.DUMMYFUNCTION("""COMPUTED_VALUE"""),5.95)</f>
        <v>5.95</v>
      </c>
      <c r="C2353" s="1">
        <f ca="1">IFERROR(__xludf.DUMMYFUNCTION("""COMPUTED_VALUE"""),5.99)</f>
        <v>5.99</v>
      </c>
      <c r="D2353" s="1">
        <f ca="1">IFERROR(__xludf.DUMMYFUNCTION("""COMPUTED_VALUE"""),5.87)</f>
        <v>5.87</v>
      </c>
      <c r="E2353" s="1">
        <f ca="1">IFERROR(__xludf.DUMMYFUNCTION("""COMPUTED_VALUE"""),5.95)</f>
        <v>5.95</v>
      </c>
      <c r="F2353" s="1">
        <f ca="1">IFERROR(__xludf.DUMMYFUNCTION("""COMPUTED_VALUE"""),566500)</f>
        <v>566500</v>
      </c>
      <c r="I2353" s="1"/>
    </row>
    <row r="2354" spans="1:9">
      <c r="A2354" s="3">
        <f ca="1">IFERROR(__xludf.DUMMYFUNCTION("""COMPUTED_VALUE"""),32619.6666666666)</f>
        <v>32619.666666666599</v>
      </c>
      <c r="B2354" s="1">
        <f ca="1">IFERROR(__xludf.DUMMYFUNCTION("""COMPUTED_VALUE"""),6)</f>
        <v>6</v>
      </c>
      <c r="C2354" s="1">
        <f ca="1">IFERROR(__xludf.DUMMYFUNCTION("""COMPUTED_VALUE"""),6)</f>
        <v>6</v>
      </c>
      <c r="D2354" s="1">
        <f ca="1">IFERROR(__xludf.DUMMYFUNCTION("""COMPUTED_VALUE"""),5.92)</f>
        <v>5.92</v>
      </c>
      <c r="E2354" s="1">
        <f ca="1">IFERROR(__xludf.DUMMYFUNCTION("""COMPUTED_VALUE"""),6)</f>
        <v>6</v>
      </c>
      <c r="F2354" s="1">
        <f ca="1">IFERROR(__xludf.DUMMYFUNCTION("""COMPUTED_VALUE"""),809600)</f>
        <v>809600</v>
      </c>
      <c r="I2354" s="1"/>
    </row>
    <row r="2355" spans="1:9">
      <c r="A2355" s="3">
        <f ca="1">IFERROR(__xludf.DUMMYFUNCTION("""COMPUTED_VALUE"""),32622.6666666666)</f>
        <v>32622.666666666599</v>
      </c>
      <c r="B2355" s="1">
        <f ca="1">IFERROR(__xludf.DUMMYFUNCTION("""COMPUTED_VALUE"""),5.97)</f>
        <v>5.97</v>
      </c>
      <c r="C2355" s="1">
        <f ca="1">IFERROR(__xludf.DUMMYFUNCTION("""COMPUTED_VALUE"""),5.99)</f>
        <v>5.99</v>
      </c>
      <c r="D2355" s="1">
        <f ca="1">IFERROR(__xludf.DUMMYFUNCTION("""COMPUTED_VALUE"""),5.96)</f>
        <v>5.96</v>
      </c>
      <c r="E2355" s="1">
        <f ca="1">IFERROR(__xludf.DUMMYFUNCTION("""COMPUTED_VALUE"""),5.97)</f>
        <v>5.97</v>
      </c>
      <c r="F2355" s="1">
        <f ca="1">IFERROR(__xludf.DUMMYFUNCTION("""COMPUTED_VALUE"""),271400)</f>
        <v>271400</v>
      </c>
      <c r="I2355" s="1"/>
    </row>
    <row r="2356" spans="1:9">
      <c r="A2356" s="3">
        <f ca="1">IFERROR(__xludf.DUMMYFUNCTION("""COMPUTED_VALUE"""),32623.6666666666)</f>
        <v>32623.666666666599</v>
      </c>
      <c r="B2356" s="1">
        <f ca="1">IFERROR(__xludf.DUMMYFUNCTION("""COMPUTED_VALUE"""),5.94)</f>
        <v>5.94</v>
      </c>
      <c r="C2356" s="1">
        <f ca="1">IFERROR(__xludf.DUMMYFUNCTION("""COMPUTED_VALUE"""),6.02)</f>
        <v>6.02</v>
      </c>
      <c r="D2356" s="1">
        <f ca="1">IFERROR(__xludf.DUMMYFUNCTION("""COMPUTED_VALUE"""),5.94)</f>
        <v>5.94</v>
      </c>
      <c r="E2356" s="1">
        <f ca="1">IFERROR(__xludf.DUMMYFUNCTION("""COMPUTED_VALUE"""),5.94)</f>
        <v>5.94</v>
      </c>
      <c r="F2356" s="1">
        <f ca="1">IFERROR(__xludf.DUMMYFUNCTION("""COMPUTED_VALUE"""),348800)</f>
        <v>348800</v>
      </c>
      <c r="I2356" s="1"/>
    </row>
    <row r="2357" spans="1:9">
      <c r="A2357" s="3">
        <f ca="1">IFERROR(__xludf.DUMMYFUNCTION("""COMPUTED_VALUE"""),32624.6666666666)</f>
        <v>32624.666666666599</v>
      </c>
      <c r="B2357" s="1">
        <f ca="1">IFERROR(__xludf.DUMMYFUNCTION("""COMPUTED_VALUE"""),5.96)</f>
        <v>5.96</v>
      </c>
      <c r="C2357" s="1">
        <f ca="1">IFERROR(__xludf.DUMMYFUNCTION("""COMPUTED_VALUE"""),5.96)</f>
        <v>5.96</v>
      </c>
      <c r="D2357" s="1">
        <f ca="1">IFERROR(__xludf.DUMMYFUNCTION("""COMPUTED_VALUE"""),5.91)</f>
        <v>5.91</v>
      </c>
      <c r="E2357" s="1">
        <f ca="1">IFERROR(__xludf.DUMMYFUNCTION("""COMPUTED_VALUE"""),5.96)</f>
        <v>5.96</v>
      </c>
      <c r="F2357" s="1">
        <f ca="1">IFERROR(__xludf.DUMMYFUNCTION("""COMPUTED_VALUE"""),281500)</f>
        <v>281500</v>
      </c>
      <c r="I2357" s="1"/>
    </row>
    <row r="2358" spans="1:9">
      <c r="A2358" s="3">
        <f ca="1">IFERROR(__xludf.DUMMYFUNCTION("""COMPUTED_VALUE"""),32625.6666666666)</f>
        <v>32625.666666666599</v>
      </c>
      <c r="B2358" s="1">
        <f ca="1">IFERROR(__xludf.DUMMYFUNCTION("""COMPUTED_VALUE"""),6.02)</f>
        <v>6.02</v>
      </c>
      <c r="C2358" s="1">
        <f ca="1">IFERROR(__xludf.DUMMYFUNCTION("""COMPUTED_VALUE"""),6.05)</f>
        <v>6.05</v>
      </c>
      <c r="D2358" s="1">
        <f ca="1">IFERROR(__xludf.DUMMYFUNCTION("""COMPUTED_VALUE"""),5.92)</f>
        <v>5.92</v>
      </c>
      <c r="E2358" s="1">
        <f ca="1">IFERROR(__xludf.DUMMYFUNCTION("""COMPUTED_VALUE"""),6.02)</f>
        <v>6.02</v>
      </c>
      <c r="F2358" s="1">
        <f ca="1">IFERROR(__xludf.DUMMYFUNCTION("""COMPUTED_VALUE"""),389500)</f>
        <v>389500</v>
      </c>
      <c r="I2358" s="1"/>
    </row>
    <row r="2359" spans="1:9">
      <c r="A2359" s="3">
        <f ca="1">IFERROR(__xludf.DUMMYFUNCTION("""COMPUTED_VALUE"""),32626.6666666666)</f>
        <v>32626.666666666599</v>
      </c>
      <c r="B2359" s="1">
        <f ca="1">IFERROR(__xludf.DUMMYFUNCTION("""COMPUTED_VALUE"""),6.01)</f>
        <v>6.01</v>
      </c>
      <c r="C2359" s="1">
        <f ca="1">IFERROR(__xludf.DUMMYFUNCTION("""COMPUTED_VALUE"""),6.04)</f>
        <v>6.04</v>
      </c>
      <c r="D2359" s="1">
        <f ca="1">IFERROR(__xludf.DUMMYFUNCTION("""COMPUTED_VALUE"""),5.98)</f>
        <v>5.98</v>
      </c>
      <c r="E2359" s="1">
        <f ca="1">IFERROR(__xludf.DUMMYFUNCTION("""COMPUTED_VALUE"""),6.01)</f>
        <v>6.01</v>
      </c>
      <c r="F2359" s="1">
        <f ca="1">IFERROR(__xludf.DUMMYFUNCTION("""COMPUTED_VALUE"""),231300)</f>
        <v>231300</v>
      </c>
      <c r="I2359" s="1"/>
    </row>
    <row r="2360" spans="1:9">
      <c r="A2360" s="3">
        <f ca="1">IFERROR(__xludf.DUMMYFUNCTION("""COMPUTED_VALUE"""),32629.6666666666)</f>
        <v>32629.666666666599</v>
      </c>
      <c r="B2360" s="1">
        <f ca="1">IFERROR(__xludf.DUMMYFUNCTION("""COMPUTED_VALUE"""),5.97)</f>
        <v>5.97</v>
      </c>
      <c r="C2360" s="1">
        <f ca="1">IFERROR(__xludf.DUMMYFUNCTION("""COMPUTED_VALUE"""),5.98)</f>
        <v>5.98</v>
      </c>
      <c r="D2360" s="1">
        <f ca="1">IFERROR(__xludf.DUMMYFUNCTION("""COMPUTED_VALUE"""),5.91)</f>
        <v>5.91</v>
      </c>
      <c r="E2360" s="1">
        <f ca="1">IFERROR(__xludf.DUMMYFUNCTION("""COMPUTED_VALUE"""),5.97)</f>
        <v>5.97</v>
      </c>
      <c r="F2360" s="1">
        <f ca="1">IFERROR(__xludf.DUMMYFUNCTION("""COMPUTED_VALUE"""),289800)</f>
        <v>289800</v>
      </c>
      <c r="I2360" s="1"/>
    </row>
    <row r="2361" spans="1:9">
      <c r="A2361" s="3">
        <f ca="1">IFERROR(__xludf.DUMMYFUNCTION("""COMPUTED_VALUE"""),32630.6666666666)</f>
        <v>32630.666666666599</v>
      </c>
      <c r="B2361" s="1">
        <f ca="1">IFERROR(__xludf.DUMMYFUNCTION("""COMPUTED_VALUE"""),5.98)</f>
        <v>5.98</v>
      </c>
      <c r="C2361" s="1">
        <f ca="1">IFERROR(__xludf.DUMMYFUNCTION("""COMPUTED_VALUE"""),6.02)</f>
        <v>6.02</v>
      </c>
      <c r="D2361" s="1">
        <f ca="1">IFERROR(__xludf.DUMMYFUNCTION("""COMPUTED_VALUE"""),5.98)</f>
        <v>5.98</v>
      </c>
      <c r="E2361" s="1">
        <f ca="1">IFERROR(__xludf.DUMMYFUNCTION("""COMPUTED_VALUE"""),5.98)</f>
        <v>5.98</v>
      </c>
      <c r="F2361" s="1">
        <f ca="1">IFERROR(__xludf.DUMMYFUNCTION("""COMPUTED_VALUE"""),288300)</f>
        <v>288300</v>
      </c>
      <c r="I2361" s="1"/>
    </row>
    <row r="2362" spans="1:9">
      <c r="A2362" s="3">
        <f ca="1">IFERROR(__xludf.DUMMYFUNCTION("""COMPUTED_VALUE"""),32631.6666666666)</f>
        <v>32631.666666666599</v>
      </c>
      <c r="B2362" s="1">
        <f ca="1">IFERROR(__xludf.DUMMYFUNCTION("""COMPUTED_VALUE"""),5.98)</f>
        <v>5.98</v>
      </c>
      <c r="C2362" s="1">
        <f ca="1">IFERROR(__xludf.DUMMYFUNCTION("""COMPUTED_VALUE"""),5.99)</f>
        <v>5.99</v>
      </c>
      <c r="D2362" s="1">
        <f ca="1">IFERROR(__xludf.DUMMYFUNCTION("""COMPUTED_VALUE"""),5.95)</f>
        <v>5.95</v>
      </c>
      <c r="E2362" s="1">
        <f ca="1">IFERROR(__xludf.DUMMYFUNCTION("""COMPUTED_VALUE"""),5.98)</f>
        <v>5.98</v>
      </c>
      <c r="F2362" s="1">
        <f ca="1">IFERROR(__xludf.DUMMYFUNCTION("""COMPUTED_VALUE"""),230700)</f>
        <v>230700</v>
      </c>
      <c r="I2362" s="1"/>
    </row>
    <row r="2363" spans="1:9">
      <c r="A2363" s="3">
        <f ca="1">IFERROR(__xludf.DUMMYFUNCTION("""COMPUTED_VALUE"""),32632.6666666666)</f>
        <v>32632.666666666599</v>
      </c>
      <c r="B2363" s="1">
        <f ca="1">IFERROR(__xludf.DUMMYFUNCTION("""COMPUTED_VALUE"""),6)</f>
        <v>6</v>
      </c>
      <c r="C2363" s="1">
        <f ca="1">IFERROR(__xludf.DUMMYFUNCTION("""COMPUTED_VALUE"""),6)</f>
        <v>6</v>
      </c>
      <c r="D2363" s="1">
        <f ca="1">IFERROR(__xludf.DUMMYFUNCTION("""COMPUTED_VALUE"""),5.97)</f>
        <v>5.97</v>
      </c>
      <c r="E2363" s="1">
        <f ca="1">IFERROR(__xludf.DUMMYFUNCTION("""COMPUTED_VALUE"""),6)</f>
        <v>6</v>
      </c>
      <c r="F2363" s="1">
        <f ca="1">IFERROR(__xludf.DUMMYFUNCTION("""COMPUTED_VALUE"""),145200)</f>
        <v>145200</v>
      </c>
      <c r="I2363" s="1"/>
    </row>
    <row r="2364" spans="1:9">
      <c r="A2364" s="3">
        <f ca="1">IFERROR(__xludf.DUMMYFUNCTION("""COMPUTED_VALUE"""),32633.6666666666)</f>
        <v>32633.666666666599</v>
      </c>
      <c r="B2364" s="1">
        <f ca="1">IFERROR(__xludf.DUMMYFUNCTION("""COMPUTED_VALUE"""),5.93)</f>
        <v>5.93</v>
      </c>
      <c r="C2364" s="1">
        <f ca="1">IFERROR(__xludf.DUMMYFUNCTION("""COMPUTED_VALUE"""),6.08)</f>
        <v>6.08</v>
      </c>
      <c r="D2364" s="1">
        <f ca="1">IFERROR(__xludf.DUMMYFUNCTION("""COMPUTED_VALUE"""),5.92)</f>
        <v>5.92</v>
      </c>
      <c r="E2364" s="1">
        <f ca="1">IFERROR(__xludf.DUMMYFUNCTION("""COMPUTED_VALUE"""),5.93)</f>
        <v>5.93</v>
      </c>
      <c r="F2364" s="1">
        <f ca="1">IFERROR(__xludf.DUMMYFUNCTION("""COMPUTED_VALUE"""),382200)</f>
        <v>382200</v>
      </c>
      <c r="I2364" s="1"/>
    </row>
    <row r="2365" spans="1:9">
      <c r="A2365" s="3">
        <f ca="1">IFERROR(__xludf.DUMMYFUNCTION("""COMPUTED_VALUE"""),32636.6666666666)</f>
        <v>32636.666666666599</v>
      </c>
      <c r="B2365" s="1">
        <f ca="1">IFERROR(__xludf.DUMMYFUNCTION("""COMPUTED_VALUE"""),5.95)</f>
        <v>5.95</v>
      </c>
      <c r="C2365" s="1">
        <f ca="1">IFERROR(__xludf.DUMMYFUNCTION("""COMPUTED_VALUE"""),5.95)</f>
        <v>5.95</v>
      </c>
      <c r="D2365" s="1">
        <f ca="1">IFERROR(__xludf.DUMMYFUNCTION("""COMPUTED_VALUE"""),5.86)</f>
        <v>5.86</v>
      </c>
      <c r="E2365" s="1">
        <f ca="1">IFERROR(__xludf.DUMMYFUNCTION("""COMPUTED_VALUE"""),5.95)</f>
        <v>5.95</v>
      </c>
      <c r="F2365" s="1">
        <f ca="1">IFERROR(__xludf.DUMMYFUNCTION("""COMPUTED_VALUE"""),279200)</f>
        <v>279200</v>
      </c>
      <c r="I2365" s="1"/>
    </row>
    <row r="2366" spans="1:9">
      <c r="A2366" s="3">
        <f ca="1">IFERROR(__xludf.DUMMYFUNCTION("""COMPUTED_VALUE"""),32637.6666666666)</f>
        <v>32637.666666666599</v>
      </c>
      <c r="B2366" s="1">
        <f ca="1">IFERROR(__xludf.DUMMYFUNCTION("""COMPUTED_VALUE"""),5.95)</f>
        <v>5.95</v>
      </c>
      <c r="C2366" s="1">
        <f ca="1">IFERROR(__xludf.DUMMYFUNCTION("""COMPUTED_VALUE"""),6)</f>
        <v>6</v>
      </c>
      <c r="D2366" s="1">
        <f ca="1">IFERROR(__xludf.DUMMYFUNCTION("""COMPUTED_VALUE"""),5.91)</f>
        <v>5.91</v>
      </c>
      <c r="E2366" s="1">
        <f ca="1">IFERROR(__xludf.DUMMYFUNCTION("""COMPUTED_VALUE"""),5.95)</f>
        <v>5.95</v>
      </c>
      <c r="F2366" s="1">
        <f ca="1">IFERROR(__xludf.DUMMYFUNCTION("""COMPUTED_VALUE"""),366000)</f>
        <v>366000</v>
      </c>
      <c r="I2366" s="1"/>
    </row>
    <row r="2367" spans="1:9">
      <c r="A2367" s="3">
        <f ca="1">IFERROR(__xludf.DUMMYFUNCTION("""COMPUTED_VALUE"""),32638.6666666666)</f>
        <v>32638.666666666599</v>
      </c>
      <c r="B2367" s="1">
        <f ca="1">IFERROR(__xludf.DUMMYFUNCTION("""COMPUTED_VALUE"""),5.98)</f>
        <v>5.98</v>
      </c>
      <c r="C2367" s="1">
        <f ca="1">IFERROR(__xludf.DUMMYFUNCTION("""COMPUTED_VALUE"""),6)</f>
        <v>6</v>
      </c>
      <c r="D2367" s="1">
        <f ca="1">IFERROR(__xludf.DUMMYFUNCTION("""COMPUTED_VALUE"""),5.91)</f>
        <v>5.91</v>
      </c>
      <c r="E2367" s="1">
        <f ca="1">IFERROR(__xludf.DUMMYFUNCTION("""COMPUTED_VALUE"""),5.98)</f>
        <v>5.98</v>
      </c>
      <c r="F2367" s="1">
        <f ca="1">IFERROR(__xludf.DUMMYFUNCTION("""COMPUTED_VALUE"""),337000)</f>
        <v>337000</v>
      </c>
      <c r="I2367" s="1"/>
    </row>
    <row r="2368" spans="1:9">
      <c r="A2368" s="3">
        <f ca="1">IFERROR(__xludf.DUMMYFUNCTION("""COMPUTED_VALUE"""),32639.6666666666)</f>
        <v>32639.666666666599</v>
      </c>
      <c r="B2368" s="1">
        <f ca="1">IFERROR(__xludf.DUMMYFUNCTION("""COMPUTED_VALUE"""),5.94)</f>
        <v>5.94</v>
      </c>
      <c r="C2368" s="1">
        <f ca="1">IFERROR(__xludf.DUMMYFUNCTION("""COMPUTED_VALUE"""),5.98)</f>
        <v>5.98</v>
      </c>
      <c r="D2368" s="1">
        <f ca="1">IFERROR(__xludf.DUMMYFUNCTION("""COMPUTED_VALUE"""),5.89)</f>
        <v>5.89</v>
      </c>
      <c r="E2368" s="1">
        <f ca="1">IFERROR(__xludf.DUMMYFUNCTION("""COMPUTED_VALUE"""),5.94)</f>
        <v>5.94</v>
      </c>
      <c r="F2368" s="1">
        <f ca="1">IFERROR(__xludf.DUMMYFUNCTION("""COMPUTED_VALUE"""),1234000)</f>
        <v>1234000</v>
      </c>
      <c r="I2368" s="1"/>
    </row>
    <row r="2369" spans="1:9">
      <c r="A2369" s="3">
        <f ca="1">IFERROR(__xludf.DUMMYFUNCTION("""COMPUTED_VALUE"""),32640.6666666666)</f>
        <v>32640.666666666599</v>
      </c>
      <c r="B2369" s="1">
        <f ca="1">IFERROR(__xludf.DUMMYFUNCTION("""COMPUTED_VALUE"""),6.14)</f>
        <v>6.14</v>
      </c>
      <c r="C2369" s="1">
        <f ca="1">IFERROR(__xludf.DUMMYFUNCTION("""COMPUTED_VALUE"""),6.14)</f>
        <v>6.14</v>
      </c>
      <c r="D2369" s="1">
        <f ca="1">IFERROR(__xludf.DUMMYFUNCTION("""COMPUTED_VALUE"""),6.02)</f>
        <v>6.02</v>
      </c>
      <c r="E2369" s="1">
        <f ca="1">IFERROR(__xludf.DUMMYFUNCTION("""COMPUTED_VALUE"""),6.14)</f>
        <v>6.14</v>
      </c>
      <c r="F2369" s="1">
        <f ca="1">IFERROR(__xludf.DUMMYFUNCTION("""COMPUTED_VALUE"""),1214100)</f>
        <v>1214100</v>
      </c>
      <c r="I2369" s="1"/>
    </row>
    <row r="2370" spans="1:9">
      <c r="A2370" s="3">
        <f ca="1">IFERROR(__xludf.DUMMYFUNCTION("""COMPUTED_VALUE"""),32643.6666666666)</f>
        <v>32643.666666666599</v>
      </c>
      <c r="B2370" s="1">
        <f ca="1">IFERROR(__xludf.DUMMYFUNCTION("""COMPUTED_VALUE"""),6.23)</f>
        <v>6.23</v>
      </c>
      <c r="C2370" s="1">
        <f ca="1">IFERROR(__xludf.DUMMYFUNCTION("""COMPUTED_VALUE"""),6.25)</f>
        <v>6.25</v>
      </c>
      <c r="D2370" s="1">
        <f ca="1">IFERROR(__xludf.DUMMYFUNCTION("""COMPUTED_VALUE"""),6.13)</f>
        <v>6.13</v>
      </c>
      <c r="E2370" s="1">
        <f ca="1">IFERROR(__xludf.DUMMYFUNCTION("""COMPUTED_VALUE"""),6.23)</f>
        <v>6.23</v>
      </c>
      <c r="F2370" s="1">
        <f ca="1">IFERROR(__xludf.DUMMYFUNCTION("""COMPUTED_VALUE"""),658400)</f>
        <v>658400</v>
      </c>
      <c r="I2370" s="1"/>
    </row>
    <row r="2371" spans="1:9">
      <c r="A2371" s="3">
        <f ca="1">IFERROR(__xludf.DUMMYFUNCTION("""COMPUTED_VALUE"""),32644.6666666666)</f>
        <v>32644.666666666599</v>
      </c>
      <c r="B2371" s="1">
        <f ca="1">IFERROR(__xludf.DUMMYFUNCTION("""COMPUTED_VALUE"""),6.27)</f>
        <v>6.27</v>
      </c>
      <c r="C2371" s="1">
        <f ca="1">IFERROR(__xludf.DUMMYFUNCTION("""COMPUTED_VALUE"""),6.28)</f>
        <v>6.28</v>
      </c>
      <c r="D2371" s="1">
        <f ca="1">IFERROR(__xludf.DUMMYFUNCTION("""COMPUTED_VALUE"""),6.19)</f>
        <v>6.19</v>
      </c>
      <c r="E2371" s="1">
        <f ca="1">IFERROR(__xludf.DUMMYFUNCTION("""COMPUTED_VALUE"""),6.27)</f>
        <v>6.27</v>
      </c>
      <c r="F2371" s="1">
        <f ca="1">IFERROR(__xludf.DUMMYFUNCTION("""COMPUTED_VALUE"""),792400)</f>
        <v>792400</v>
      </c>
      <c r="I2371" s="1"/>
    </row>
    <row r="2372" spans="1:9">
      <c r="A2372" s="3">
        <f ca="1">IFERROR(__xludf.DUMMYFUNCTION("""COMPUTED_VALUE"""),32645.6666666666)</f>
        <v>32645.666666666599</v>
      </c>
      <c r="B2372" s="1">
        <f ca="1">IFERROR(__xludf.DUMMYFUNCTION("""COMPUTED_VALUE"""),6.23)</f>
        <v>6.23</v>
      </c>
      <c r="C2372" s="1">
        <f ca="1">IFERROR(__xludf.DUMMYFUNCTION("""COMPUTED_VALUE"""),6.33)</f>
        <v>6.33</v>
      </c>
      <c r="D2372" s="1">
        <f ca="1">IFERROR(__xludf.DUMMYFUNCTION("""COMPUTED_VALUE"""),6.19)</f>
        <v>6.19</v>
      </c>
      <c r="E2372" s="1">
        <f ca="1">IFERROR(__xludf.DUMMYFUNCTION("""COMPUTED_VALUE"""),6.23)</f>
        <v>6.23</v>
      </c>
      <c r="F2372" s="1">
        <f ca="1">IFERROR(__xludf.DUMMYFUNCTION("""COMPUTED_VALUE"""),752800)</f>
        <v>752800</v>
      </c>
      <c r="I2372" s="1"/>
    </row>
    <row r="2373" spans="1:9">
      <c r="A2373" s="3">
        <f ca="1">IFERROR(__xludf.DUMMYFUNCTION("""COMPUTED_VALUE"""),32646.6666666666)</f>
        <v>32646.666666666599</v>
      </c>
      <c r="B2373" s="1">
        <f ca="1">IFERROR(__xludf.DUMMYFUNCTION("""COMPUTED_VALUE"""),6.23)</f>
        <v>6.23</v>
      </c>
      <c r="C2373" s="1">
        <f ca="1">IFERROR(__xludf.DUMMYFUNCTION("""COMPUTED_VALUE"""),6.27)</f>
        <v>6.27</v>
      </c>
      <c r="D2373" s="1">
        <f ca="1">IFERROR(__xludf.DUMMYFUNCTION("""COMPUTED_VALUE"""),6.2)</f>
        <v>6.2</v>
      </c>
      <c r="E2373" s="1">
        <f ca="1">IFERROR(__xludf.DUMMYFUNCTION("""COMPUTED_VALUE"""),6.23)</f>
        <v>6.23</v>
      </c>
      <c r="F2373" s="1">
        <f ca="1">IFERROR(__xludf.DUMMYFUNCTION("""COMPUTED_VALUE"""),837300)</f>
        <v>837300</v>
      </c>
      <c r="I2373" s="1"/>
    </row>
    <row r="2374" spans="1:9">
      <c r="A2374" s="3">
        <f ca="1">IFERROR(__xludf.DUMMYFUNCTION("""COMPUTED_VALUE"""),32647.6666666666)</f>
        <v>32647.666666666599</v>
      </c>
      <c r="B2374" s="1">
        <f ca="1">IFERROR(__xludf.DUMMYFUNCTION("""COMPUTED_VALUE"""),6.31)</f>
        <v>6.31</v>
      </c>
      <c r="C2374" s="1">
        <f ca="1">IFERROR(__xludf.DUMMYFUNCTION("""COMPUTED_VALUE"""),6.36)</f>
        <v>6.36</v>
      </c>
      <c r="D2374" s="1">
        <f ca="1">IFERROR(__xludf.DUMMYFUNCTION("""COMPUTED_VALUE"""),6.22)</f>
        <v>6.22</v>
      </c>
      <c r="E2374" s="1">
        <f ca="1">IFERROR(__xludf.DUMMYFUNCTION("""COMPUTED_VALUE"""),6.31)</f>
        <v>6.31</v>
      </c>
      <c r="F2374" s="1">
        <f ca="1">IFERROR(__xludf.DUMMYFUNCTION("""COMPUTED_VALUE"""),1891700)</f>
        <v>1891700</v>
      </c>
      <c r="I2374" s="1"/>
    </row>
    <row r="2375" spans="1:9">
      <c r="A2375" s="3">
        <f ca="1">IFERROR(__xludf.DUMMYFUNCTION("""COMPUTED_VALUE"""),32650.6666666666)</f>
        <v>32650.666666666599</v>
      </c>
      <c r="B2375" s="1">
        <f ca="1">IFERROR(__xludf.DUMMYFUNCTION("""COMPUTED_VALUE"""),6.44)</f>
        <v>6.44</v>
      </c>
      <c r="C2375" s="1">
        <f ca="1">IFERROR(__xludf.DUMMYFUNCTION("""COMPUTED_VALUE"""),6.47)</f>
        <v>6.47</v>
      </c>
      <c r="D2375" s="1">
        <f ca="1">IFERROR(__xludf.DUMMYFUNCTION("""COMPUTED_VALUE"""),6.3)</f>
        <v>6.3</v>
      </c>
      <c r="E2375" s="1">
        <f ca="1">IFERROR(__xludf.DUMMYFUNCTION("""COMPUTED_VALUE"""),6.44)</f>
        <v>6.44</v>
      </c>
      <c r="F2375" s="1">
        <f ca="1">IFERROR(__xludf.DUMMYFUNCTION("""COMPUTED_VALUE"""),1000900)</f>
        <v>1000900</v>
      </c>
      <c r="I2375" s="1"/>
    </row>
    <row r="2376" spans="1:9">
      <c r="A2376" s="3">
        <f ca="1">IFERROR(__xludf.DUMMYFUNCTION("""COMPUTED_VALUE"""),32651.6666666666)</f>
        <v>32651.666666666599</v>
      </c>
      <c r="B2376" s="1">
        <f ca="1">IFERROR(__xludf.DUMMYFUNCTION("""COMPUTED_VALUE"""),6.27)</f>
        <v>6.27</v>
      </c>
      <c r="C2376" s="1">
        <f ca="1">IFERROR(__xludf.DUMMYFUNCTION("""COMPUTED_VALUE"""),6.41)</f>
        <v>6.41</v>
      </c>
      <c r="D2376" s="1">
        <f ca="1">IFERROR(__xludf.DUMMYFUNCTION("""COMPUTED_VALUE"""),6.27)</f>
        <v>6.27</v>
      </c>
      <c r="E2376" s="1">
        <f ca="1">IFERROR(__xludf.DUMMYFUNCTION("""COMPUTED_VALUE"""),6.27)</f>
        <v>6.27</v>
      </c>
      <c r="F2376" s="1">
        <f ca="1">IFERROR(__xludf.DUMMYFUNCTION("""COMPUTED_VALUE"""),817500)</f>
        <v>817500</v>
      </c>
      <c r="I2376" s="1"/>
    </row>
    <row r="2377" spans="1:9">
      <c r="A2377" s="3">
        <f ca="1">IFERROR(__xludf.DUMMYFUNCTION("""COMPUTED_VALUE"""),32652.6666666666)</f>
        <v>32652.666666666599</v>
      </c>
      <c r="B2377" s="1">
        <f ca="1">IFERROR(__xludf.DUMMYFUNCTION("""COMPUTED_VALUE"""),6.14)</f>
        <v>6.14</v>
      </c>
      <c r="C2377" s="1">
        <f ca="1">IFERROR(__xludf.DUMMYFUNCTION("""COMPUTED_VALUE"""),6.25)</f>
        <v>6.25</v>
      </c>
      <c r="D2377" s="1">
        <f ca="1">IFERROR(__xludf.DUMMYFUNCTION("""COMPUTED_VALUE"""),6.09)</f>
        <v>6.09</v>
      </c>
      <c r="E2377" s="1">
        <f ca="1">IFERROR(__xludf.DUMMYFUNCTION("""COMPUTED_VALUE"""),6.14)</f>
        <v>6.14</v>
      </c>
      <c r="F2377" s="1">
        <f ca="1">IFERROR(__xludf.DUMMYFUNCTION("""COMPUTED_VALUE"""),937000)</f>
        <v>937000</v>
      </c>
      <c r="I2377" s="1"/>
    </row>
    <row r="2378" spans="1:9">
      <c r="A2378" s="3">
        <f ca="1">IFERROR(__xludf.DUMMYFUNCTION("""COMPUTED_VALUE"""),32653.6666666666)</f>
        <v>32653.666666666599</v>
      </c>
      <c r="B2378" s="1">
        <f ca="1">IFERROR(__xludf.DUMMYFUNCTION("""COMPUTED_VALUE"""),6.23)</f>
        <v>6.23</v>
      </c>
      <c r="C2378" s="1">
        <f ca="1">IFERROR(__xludf.DUMMYFUNCTION("""COMPUTED_VALUE"""),6.3)</f>
        <v>6.3</v>
      </c>
      <c r="D2378" s="1">
        <f ca="1">IFERROR(__xludf.DUMMYFUNCTION("""COMPUTED_VALUE"""),6.16)</f>
        <v>6.16</v>
      </c>
      <c r="E2378" s="1">
        <f ca="1">IFERROR(__xludf.DUMMYFUNCTION("""COMPUTED_VALUE"""),6.23)</f>
        <v>6.23</v>
      </c>
      <c r="F2378" s="1">
        <f ca="1">IFERROR(__xludf.DUMMYFUNCTION("""COMPUTED_VALUE"""),599400)</f>
        <v>599400</v>
      </c>
      <c r="I2378" s="1"/>
    </row>
    <row r="2379" spans="1:9">
      <c r="A2379" s="3">
        <f ca="1">IFERROR(__xludf.DUMMYFUNCTION("""COMPUTED_VALUE"""),32654.6666666666)</f>
        <v>32654.666666666599</v>
      </c>
      <c r="B2379" s="1">
        <f ca="1">IFERROR(__xludf.DUMMYFUNCTION("""COMPUTED_VALUE"""),6.22)</f>
        <v>6.22</v>
      </c>
      <c r="C2379" s="1">
        <f ca="1">IFERROR(__xludf.DUMMYFUNCTION("""COMPUTED_VALUE"""),6.25)</f>
        <v>6.25</v>
      </c>
      <c r="D2379" s="1">
        <f ca="1">IFERROR(__xludf.DUMMYFUNCTION("""COMPUTED_VALUE"""),6.13)</f>
        <v>6.13</v>
      </c>
      <c r="E2379" s="1">
        <f ca="1">IFERROR(__xludf.DUMMYFUNCTION("""COMPUTED_VALUE"""),6.22)</f>
        <v>6.22</v>
      </c>
      <c r="F2379" s="1">
        <f ca="1">IFERROR(__xludf.DUMMYFUNCTION("""COMPUTED_VALUE"""),869900)</f>
        <v>869900</v>
      </c>
      <c r="I2379" s="1"/>
    </row>
    <row r="2380" spans="1:9">
      <c r="A2380" s="3">
        <f ca="1">IFERROR(__xludf.DUMMYFUNCTION("""COMPUTED_VALUE"""),32658.6666666666)</f>
        <v>32658.666666666599</v>
      </c>
      <c r="B2380" s="1">
        <f ca="1">IFERROR(__xludf.DUMMYFUNCTION("""COMPUTED_VALUE"""),6.14)</f>
        <v>6.14</v>
      </c>
      <c r="C2380" s="1">
        <f ca="1">IFERROR(__xludf.DUMMYFUNCTION("""COMPUTED_VALUE"""),6.27)</f>
        <v>6.27</v>
      </c>
      <c r="D2380" s="1">
        <f ca="1">IFERROR(__xludf.DUMMYFUNCTION("""COMPUTED_VALUE"""),6.13)</f>
        <v>6.13</v>
      </c>
      <c r="E2380" s="1">
        <f ca="1">IFERROR(__xludf.DUMMYFUNCTION("""COMPUTED_VALUE"""),6.14)</f>
        <v>6.14</v>
      </c>
      <c r="F2380" s="1">
        <f ca="1">IFERROR(__xludf.DUMMYFUNCTION("""COMPUTED_VALUE"""),486600)</f>
        <v>486600</v>
      </c>
      <c r="I2380" s="1"/>
    </row>
    <row r="2381" spans="1:9">
      <c r="A2381" s="3">
        <f ca="1">IFERROR(__xludf.DUMMYFUNCTION("""COMPUTED_VALUE"""),32659.6666666666)</f>
        <v>32659.666666666599</v>
      </c>
      <c r="B2381" s="1">
        <f ca="1">IFERROR(__xludf.DUMMYFUNCTION("""COMPUTED_VALUE"""),6.17)</f>
        <v>6.17</v>
      </c>
      <c r="C2381" s="1">
        <f ca="1">IFERROR(__xludf.DUMMYFUNCTION("""COMPUTED_VALUE"""),6.23)</f>
        <v>6.23</v>
      </c>
      <c r="D2381" s="1">
        <f ca="1">IFERROR(__xludf.DUMMYFUNCTION("""COMPUTED_VALUE"""),6.09)</f>
        <v>6.09</v>
      </c>
      <c r="E2381" s="1">
        <f ca="1">IFERROR(__xludf.DUMMYFUNCTION("""COMPUTED_VALUE"""),6.17)</f>
        <v>6.17</v>
      </c>
      <c r="F2381" s="1">
        <f ca="1">IFERROR(__xludf.DUMMYFUNCTION("""COMPUTED_VALUE"""),448600)</f>
        <v>448600</v>
      </c>
      <c r="I2381" s="1"/>
    </row>
    <row r="2382" spans="1:9">
      <c r="A2382" s="3">
        <f ca="1">IFERROR(__xludf.DUMMYFUNCTION("""COMPUTED_VALUE"""),32660.6666666666)</f>
        <v>32660.666666666599</v>
      </c>
      <c r="B2382" s="1">
        <f ca="1">IFERROR(__xludf.DUMMYFUNCTION("""COMPUTED_VALUE"""),6.28)</f>
        <v>6.28</v>
      </c>
      <c r="C2382" s="1">
        <f ca="1">IFERROR(__xludf.DUMMYFUNCTION("""COMPUTED_VALUE"""),6.33)</f>
        <v>6.33</v>
      </c>
      <c r="D2382" s="1">
        <f ca="1">IFERROR(__xludf.DUMMYFUNCTION("""COMPUTED_VALUE"""),6.2)</f>
        <v>6.2</v>
      </c>
      <c r="E2382" s="1">
        <f ca="1">IFERROR(__xludf.DUMMYFUNCTION("""COMPUTED_VALUE"""),6.28)</f>
        <v>6.28</v>
      </c>
      <c r="F2382" s="1">
        <f ca="1">IFERROR(__xludf.DUMMYFUNCTION("""COMPUTED_VALUE"""),617700)</f>
        <v>617700</v>
      </c>
      <c r="I2382" s="1"/>
    </row>
    <row r="2383" spans="1:9">
      <c r="A2383" s="3">
        <f ca="1">IFERROR(__xludf.DUMMYFUNCTION("""COMPUTED_VALUE"""),32661.6666666666)</f>
        <v>32661.666666666599</v>
      </c>
      <c r="B2383" s="1">
        <f ca="1">IFERROR(__xludf.DUMMYFUNCTION("""COMPUTED_VALUE"""),6.45)</f>
        <v>6.45</v>
      </c>
      <c r="C2383" s="1">
        <f ca="1">IFERROR(__xludf.DUMMYFUNCTION("""COMPUTED_VALUE"""),6.47)</f>
        <v>6.47</v>
      </c>
      <c r="D2383" s="1">
        <f ca="1">IFERROR(__xludf.DUMMYFUNCTION("""COMPUTED_VALUE"""),6.38)</f>
        <v>6.38</v>
      </c>
      <c r="E2383" s="1">
        <f ca="1">IFERROR(__xludf.DUMMYFUNCTION("""COMPUTED_VALUE"""),6.45)</f>
        <v>6.45</v>
      </c>
      <c r="F2383" s="1">
        <f ca="1">IFERROR(__xludf.DUMMYFUNCTION("""COMPUTED_VALUE"""),481500)</f>
        <v>481500</v>
      </c>
      <c r="I2383" s="1"/>
    </row>
    <row r="2384" spans="1:9">
      <c r="A2384" s="3">
        <f ca="1">IFERROR(__xludf.DUMMYFUNCTION("""COMPUTED_VALUE"""),32664.6666666666)</f>
        <v>32664.666666666599</v>
      </c>
      <c r="B2384" s="1">
        <f ca="1">IFERROR(__xludf.DUMMYFUNCTION("""COMPUTED_VALUE"""),6.39)</f>
        <v>6.39</v>
      </c>
      <c r="C2384" s="1">
        <f ca="1">IFERROR(__xludf.DUMMYFUNCTION("""COMPUTED_VALUE"""),6.55)</f>
        <v>6.55</v>
      </c>
      <c r="D2384" s="1">
        <f ca="1">IFERROR(__xludf.DUMMYFUNCTION("""COMPUTED_VALUE"""),6.38)</f>
        <v>6.38</v>
      </c>
      <c r="E2384" s="1">
        <f ca="1">IFERROR(__xludf.DUMMYFUNCTION("""COMPUTED_VALUE"""),6.39)</f>
        <v>6.39</v>
      </c>
      <c r="F2384" s="1">
        <f ca="1">IFERROR(__xludf.DUMMYFUNCTION("""COMPUTED_VALUE"""),534500)</f>
        <v>534500</v>
      </c>
      <c r="I2384" s="1"/>
    </row>
    <row r="2385" spans="1:9">
      <c r="A2385" s="3">
        <f ca="1">IFERROR(__xludf.DUMMYFUNCTION("""COMPUTED_VALUE"""),32665.6666666666)</f>
        <v>32665.666666666599</v>
      </c>
      <c r="B2385" s="1">
        <f ca="1">IFERROR(__xludf.DUMMYFUNCTION("""COMPUTED_VALUE"""),6.5)</f>
        <v>6.5</v>
      </c>
      <c r="C2385" s="1">
        <f ca="1">IFERROR(__xludf.DUMMYFUNCTION("""COMPUTED_VALUE"""),6.55)</f>
        <v>6.55</v>
      </c>
      <c r="D2385" s="1">
        <f ca="1">IFERROR(__xludf.DUMMYFUNCTION("""COMPUTED_VALUE"""),6.36)</f>
        <v>6.36</v>
      </c>
      <c r="E2385" s="1">
        <f ca="1">IFERROR(__xludf.DUMMYFUNCTION("""COMPUTED_VALUE"""),6.5)</f>
        <v>6.5</v>
      </c>
      <c r="F2385" s="1">
        <f ca="1">IFERROR(__xludf.DUMMYFUNCTION("""COMPUTED_VALUE"""),853900)</f>
        <v>853900</v>
      </c>
      <c r="I2385" s="1"/>
    </row>
    <row r="2386" spans="1:9">
      <c r="A2386" s="3">
        <f ca="1">IFERROR(__xludf.DUMMYFUNCTION("""COMPUTED_VALUE"""),32666.6666666666)</f>
        <v>32666.666666666599</v>
      </c>
      <c r="B2386" s="1">
        <f ca="1">IFERROR(__xludf.DUMMYFUNCTION("""COMPUTED_VALUE"""),6.48)</f>
        <v>6.48</v>
      </c>
      <c r="C2386" s="1">
        <f ca="1">IFERROR(__xludf.DUMMYFUNCTION("""COMPUTED_VALUE"""),6.55)</f>
        <v>6.55</v>
      </c>
      <c r="D2386" s="1">
        <f ca="1">IFERROR(__xludf.DUMMYFUNCTION("""COMPUTED_VALUE"""),6.48)</f>
        <v>6.48</v>
      </c>
      <c r="E2386" s="1">
        <f ca="1">IFERROR(__xludf.DUMMYFUNCTION("""COMPUTED_VALUE"""),6.48)</f>
        <v>6.48</v>
      </c>
      <c r="F2386" s="1">
        <f ca="1">IFERROR(__xludf.DUMMYFUNCTION("""COMPUTED_VALUE"""),401900)</f>
        <v>401900</v>
      </c>
      <c r="I2386" s="1"/>
    </row>
    <row r="2387" spans="1:9">
      <c r="A2387" s="3">
        <f ca="1">IFERROR(__xludf.DUMMYFUNCTION("""COMPUTED_VALUE"""),32667.6666666666)</f>
        <v>32667.666666666599</v>
      </c>
      <c r="B2387" s="1">
        <f ca="1">IFERROR(__xludf.DUMMYFUNCTION("""COMPUTED_VALUE"""),6.44)</f>
        <v>6.44</v>
      </c>
      <c r="C2387" s="1">
        <f ca="1">IFERROR(__xludf.DUMMYFUNCTION("""COMPUTED_VALUE"""),6.55)</f>
        <v>6.55</v>
      </c>
      <c r="D2387" s="1">
        <f ca="1">IFERROR(__xludf.DUMMYFUNCTION("""COMPUTED_VALUE"""),6.44)</f>
        <v>6.44</v>
      </c>
      <c r="E2387" s="1">
        <f ca="1">IFERROR(__xludf.DUMMYFUNCTION("""COMPUTED_VALUE"""),6.44)</f>
        <v>6.44</v>
      </c>
      <c r="F2387" s="1">
        <f ca="1">IFERROR(__xludf.DUMMYFUNCTION("""COMPUTED_VALUE"""),513500)</f>
        <v>513500</v>
      </c>
      <c r="I2387" s="1"/>
    </row>
    <row r="2388" spans="1:9">
      <c r="A2388" s="3">
        <f ca="1">IFERROR(__xludf.DUMMYFUNCTION("""COMPUTED_VALUE"""),32668.6666666666)</f>
        <v>32668.666666666599</v>
      </c>
      <c r="B2388" s="1">
        <f ca="1">IFERROR(__xludf.DUMMYFUNCTION("""COMPUTED_VALUE"""),6.72)</f>
        <v>6.72</v>
      </c>
      <c r="C2388" s="1">
        <f ca="1">IFERROR(__xludf.DUMMYFUNCTION("""COMPUTED_VALUE"""),6.72)</f>
        <v>6.72</v>
      </c>
      <c r="D2388" s="1">
        <f ca="1">IFERROR(__xludf.DUMMYFUNCTION("""COMPUTED_VALUE"""),6.5)</f>
        <v>6.5</v>
      </c>
      <c r="E2388" s="1">
        <f ca="1">IFERROR(__xludf.DUMMYFUNCTION("""COMPUTED_VALUE"""),6.72)</f>
        <v>6.72</v>
      </c>
      <c r="F2388" s="1">
        <f ca="1">IFERROR(__xludf.DUMMYFUNCTION("""COMPUTED_VALUE"""),1295100)</f>
        <v>1295100</v>
      </c>
      <c r="I2388" s="1"/>
    </row>
    <row r="2389" spans="1:9">
      <c r="A2389" s="3">
        <f ca="1">IFERROR(__xludf.DUMMYFUNCTION("""COMPUTED_VALUE"""),32671.6666666666)</f>
        <v>32671.666666666599</v>
      </c>
      <c r="B2389" s="1">
        <f ca="1">IFERROR(__xludf.DUMMYFUNCTION("""COMPUTED_VALUE"""),6.58)</f>
        <v>6.58</v>
      </c>
      <c r="C2389" s="1">
        <f ca="1">IFERROR(__xludf.DUMMYFUNCTION("""COMPUTED_VALUE"""),6.72)</f>
        <v>6.72</v>
      </c>
      <c r="D2389" s="1">
        <f ca="1">IFERROR(__xludf.DUMMYFUNCTION("""COMPUTED_VALUE"""),6.5)</f>
        <v>6.5</v>
      </c>
      <c r="E2389" s="1">
        <f ca="1">IFERROR(__xludf.DUMMYFUNCTION("""COMPUTED_VALUE"""),6.58)</f>
        <v>6.58</v>
      </c>
      <c r="F2389" s="1">
        <f ca="1">IFERROR(__xludf.DUMMYFUNCTION("""COMPUTED_VALUE"""),956000)</f>
        <v>956000</v>
      </c>
      <c r="I2389" s="1"/>
    </row>
    <row r="2390" spans="1:9">
      <c r="A2390" s="3">
        <f ca="1">IFERROR(__xludf.DUMMYFUNCTION("""COMPUTED_VALUE"""),32672.6666666666)</f>
        <v>32672.666666666599</v>
      </c>
      <c r="B2390" s="1">
        <f ca="1">IFERROR(__xludf.DUMMYFUNCTION("""COMPUTED_VALUE"""),6.31)</f>
        <v>6.31</v>
      </c>
      <c r="C2390" s="1">
        <f ca="1">IFERROR(__xludf.DUMMYFUNCTION("""COMPUTED_VALUE"""),6.44)</f>
        <v>6.44</v>
      </c>
      <c r="D2390" s="1">
        <f ca="1">IFERROR(__xludf.DUMMYFUNCTION("""COMPUTED_VALUE"""),6.23)</f>
        <v>6.23</v>
      </c>
      <c r="E2390" s="1">
        <f ca="1">IFERROR(__xludf.DUMMYFUNCTION("""COMPUTED_VALUE"""),6.31)</f>
        <v>6.31</v>
      </c>
      <c r="F2390" s="1">
        <f ca="1">IFERROR(__xludf.DUMMYFUNCTION("""COMPUTED_VALUE"""),1249800)</f>
        <v>1249800</v>
      </c>
      <c r="I2390" s="1"/>
    </row>
    <row r="2391" spans="1:9">
      <c r="A2391" s="3">
        <f ca="1">IFERROR(__xludf.DUMMYFUNCTION("""COMPUTED_VALUE"""),32673.6666666666)</f>
        <v>32673.666666666599</v>
      </c>
      <c r="B2391" s="1">
        <f ca="1">IFERROR(__xludf.DUMMYFUNCTION("""COMPUTED_VALUE"""),6.27)</f>
        <v>6.27</v>
      </c>
      <c r="C2391" s="1">
        <f ca="1">IFERROR(__xludf.DUMMYFUNCTION("""COMPUTED_VALUE"""),6.36)</f>
        <v>6.36</v>
      </c>
      <c r="D2391" s="1">
        <f ca="1">IFERROR(__xludf.DUMMYFUNCTION("""COMPUTED_VALUE"""),6.25)</f>
        <v>6.25</v>
      </c>
      <c r="E2391" s="1">
        <f ca="1">IFERROR(__xludf.DUMMYFUNCTION("""COMPUTED_VALUE"""),6.27)</f>
        <v>6.27</v>
      </c>
      <c r="F2391" s="1">
        <f ca="1">IFERROR(__xludf.DUMMYFUNCTION("""COMPUTED_VALUE"""),893800)</f>
        <v>893800</v>
      </c>
      <c r="I2391" s="1"/>
    </row>
    <row r="2392" spans="1:9">
      <c r="A2392" s="3">
        <f ca="1">IFERROR(__xludf.DUMMYFUNCTION("""COMPUTED_VALUE"""),32674.6666666666)</f>
        <v>32674.666666666599</v>
      </c>
      <c r="B2392" s="1">
        <f ca="1">IFERROR(__xludf.DUMMYFUNCTION("""COMPUTED_VALUE"""),6.17)</f>
        <v>6.17</v>
      </c>
      <c r="C2392" s="1">
        <f ca="1">IFERROR(__xludf.DUMMYFUNCTION("""COMPUTED_VALUE"""),6.22)</f>
        <v>6.22</v>
      </c>
      <c r="D2392" s="1">
        <f ca="1">IFERROR(__xludf.DUMMYFUNCTION("""COMPUTED_VALUE"""),6.11)</f>
        <v>6.11</v>
      </c>
      <c r="E2392" s="1">
        <f ca="1">IFERROR(__xludf.DUMMYFUNCTION("""COMPUTED_VALUE"""),6.17)</f>
        <v>6.17</v>
      </c>
      <c r="F2392" s="1">
        <f ca="1">IFERROR(__xludf.DUMMYFUNCTION("""COMPUTED_VALUE"""),1104300)</f>
        <v>1104300</v>
      </c>
      <c r="I2392" s="1"/>
    </row>
    <row r="2393" spans="1:9">
      <c r="A2393" s="3">
        <f ca="1">IFERROR(__xludf.DUMMYFUNCTION("""COMPUTED_VALUE"""),32675.6666666666)</f>
        <v>32675.666666666599</v>
      </c>
      <c r="B2393" s="1">
        <f ca="1">IFERROR(__xludf.DUMMYFUNCTION("""COMPUTED_VALUE"""),6.23)</f>
        <v>6.23</v>
      </c>
      <c r="C2393" s="1">
        <f ca="1">IFERROR(__xludf.DUMMYFUNCTION("""COMPUTED_VALUE"""),6.27)</f>
        <v>6.27</v>
      </c>
      <c r="D2393" s="1">
        <f ca="1">IFERROR(__xludf.DUMMYFUNCTION("""COMPUTED_VALUE"""),6.13)</f>
        <v>6.13</v>
      </c>
      <c r="E2393" s="1">
        <f ca="1">IFERROR(__xludf.DUMMYFUNCTION("""COMPUTED_VALUE"""),6.23)</f>
        <v>6.23</v>
      </c>
      <c r="F2393" s="1">
        <f ca="1">IFERROR(__xludf.DUMMYFUNCTION("""COMPUTED_VALUE"""),1338700)</f>
        <v>1338700</v>
      </c>
      <c r="I2393" s="1"/>
    </row>
    <row r="2394" spans="1:9">
      <c r="A2394" s="3">
        <f ca="1">IFERROR(__xludf.DUMMYFUNCTION("""COMPUTED_VALUE"""),32678.6666666666)</f>
        <v>32678.666666666599</v>
      </c>
      <c r="B2394" s="1">
        <f ca="1">IFERROR(__xludf.DUMMYFUNCTION("""COMPUTED_VALUE"""),6.19)</f>
        <v>6.19</v>
      </c>
      <c r="C2394" s="1">
        <f ca="1">IFERROR(__xludf.DUMMYFUNCTION("""COMPUTED_VALUE"""),6.27)</f>
        <v>6.27</v>
      </c>
      <c r="D2394" s="1">
        <f ca="1">IFERROR(__xludf.DUMMYFUNCTION("""COMPUTED_VALUE"""),6.16)</f>
        <v>6.16</v>
      </c>
      <c r="E2394" s="1">
        <f ca="1">IFERROR(__xludf.DUMMYFUNCTION("""COMPUTED_VALUE"""),6.19)</f>
        <v>6.19</v>
      </c>
      <c r="F2394" s="1">
        <f ca="1">IFERROR(__xludf.DUMMYFUNCTION("""COMPUTED_VALUE"""),619800)</f>
        <v>619800</v>
      </c>
      <c r="I2394" s="1"/>
    </row>
    <row r="2395" spans="1:9">
      <c r="A2395" s="3">
        <f ca="1">IFERROR(__xludf.DUMMYFUNCTION("""COMPUTED_VALUE"""),32679.6666666666)</f>
        <v>32679.666666666599</v>
      </c>
      <c r="B2395" s="1">
        <f ca="1">IFERROR(__xludf.DUMMYFUNCTION("""COMPUTED_VALUE"""),6.13)</f>
        <v>6.13</v>
      </c>
      <c r="C2395" s="1">
        <f ca="1">IFERROR(__xludf.DUMMYFUNCTION("""COMPUTED_VALUE"""),6.27)</f>
        <v>6.27</v>
      </c>
      <c r="D2395" s="1">
        <f ca="1">IFERROR(__xludf.DUMMYFUNCTION("""COMPUTED_VALUE"""),6.11)</f>
        <v>6.11</v>
      </c>
      <c r="E2395" s="1">
        <f ca="1">IFERROR(__xludf.DUMMYFUNCTION("""COMPUTED_VALUE"""),6.13)</f>
        <v>6.13</v>
      </c>
      <c r="F2395" s="1">
        <f ca="1">IFERROR(__xludf.DUMMYFUNCTION("""COMPUTED_VALUE"""),621100)</f>
        <v>621100</v>
      </c>
      <c r="I2395" s="1"/>
    </row>
    <row r="2396" spans="1:9">
      <c r="A2396" s="3">
        <f ca="1">IFERROR(__xludf.DUMMYFUNCTION("""COMPUTED_VALUE"""),32680.6666666666)</f>
        <v>32680.666666666599</v>
      </c>
      <c r="B2396" s="1">
        <f ca="1">IFERROR(__xludf.DUMMYFUNCTION("""COMPUTED_VALUE"""),6.08)</f>
        <v>6.08</v>
      </c>
      <c r="C2396" s="1">
        <f ca="1">IFERROR(__xludf.DUMMYFUNCTION("""COMPUTED_VALUE"""),6.16)</f>
        <v>6.16</v>
      </c>
      <c r="D2396" s="1">
        <f ca="1">IFERROR(__xludf.DUMMYFUNCTION("""COMPUTED_VALUE"""),6.05)</f>
        <v>6.05</v>
      </c>
      <c r="E2396" s="1">
        <f ca="1">IFERROR(__xludf.DUMMYFUNCTION("""COMPUTED_VALUE"""),6.08)</f>
        <v>6.08</v>
      </c>
      <c r="F2396" s="1">
        <f ca="1">IFERROR(__xludf.DUMMYFUNCTION("""COMPUTED_VALUE"""),600100)</f>
        <v>600100</v>
      </c>
      <c r="I2396" s="1"/>
    </row>
    <row r="2397" spans="1:9">
      <c r="A2397" s="3">
        <f ca="1">IFERROR(__xludf.DUMMYFUNCTION("""COMPUTED_VALUE"""),32681.6666666666)</f>
        <v>32681.666666666599</v>
      </c>
      <c r="B2397" s="1">
        <f ca="1">IFERROR(__xludf.DUMMYFUNCTION("""COMPUTED_VALUE"""),6.13)</f>
        <v>6.13</v>
      </c>
      <c r="C2397" s="1">
        <f ca="1">IFERROR(__xludf.DUMMYFUNCTION("""COMPUTED_VALUE"""),6.22)</f>
        <v>6.22</v>
      </c>
      <c r="D2397" s="1">
        <f ca="1">IFERROR(__xludf.DUMMYFUNCTION("""COMPUTED_VALUE"""),6.03)</f>
        <v>6.03</v>
      </c>
      <c r="E2397" s="1">
        <f ca="1">IFERROR(__xludf.DUMMYFUNCTION("""COMPUTED_VALUE"""),6.13)</f>
        <v>6.13</v>
      </c>
      <c r="F2397" s="1">
        <f ca="1">IFERROR(__xludf.DUMMYFUNCTION("""COMPUTED_VALUE"""),734300)</f>
        <v>734300</v>
      </c>
      <c r="I2397" s="1"/>
    </row>
    <row r="2398" spans="1:9">
      <c r="A2398" s="3">
        <f ca="1">IFERROR(__xludf.DUMMYFUNCTION("""COMPUTED_VALUE"""),32682.6666666666)</f>
        <v>32682.666666666599</v>
      </c>
      <c r="B2398" s="1">
        <f ca="1">IFERROR(__xludf.DUMMYFUNCTION("""COMPUTED_VALUE"""),6.36)</f>
        <v>6.36</v>
      </c>
      <c r="C2398" s="1">
        <f ca="1">IFERROR(__xludf.DUMMYFUNCTION("""COMPUTED_VALUE"""),6.36)</f>
        <v>6.36</v>
      </c>
      <c r="D2398" s="1">
        <f ca="1">IFERROR(__xludf.DUMMYFUNCTION("""COMPUTED_VALUE"""),6.2)</f>
        <v>6.2</v>
      </c>
      <c r="E2398" s="1">
        <f ca="1">IFERROR(__xludf.DUMMYFUNCTION("""COMPUTED_VALUE"""),6.36)</f>
        <v>6.36</v>
      </c>
      <c r="F2398" s="1">
        <f ca="1">IFERROR(__xludf.DUMMYFUNCTION("""COMPUTED_VALUE"""),854300)</f>
        <v>854300</v>
      </c>
      <c r="I2398" s="1"/>
    </row>
    <row r="2399" spans="1:9">
      <c r="A2399" s="3">
        <f ca="1">IFERROR(__xludf.DUMMYFUNCTION("""COMPUTED_VALUE"""),32685.6666666666)</f>
        <v>32685.666666666599</v>
      </c>
      <c r="B2399" s="1">
        <f ca="1">IFERROR(__xludf.DUMMYFUNCTION("""COMPUTED_VALUE"""),6.28)</f>
        <v>6.28</v>
      </c>
      <c r="C2399" s="1">
        <f ca="1">IFERROR(__xludf.DUMMYFUNCTION("""COMPUTED_VALUE"""),6.44)</f>
        <v>6.44</v>
      </c>
      <c r="D2399" s="1">
        <f ca="1">IFERROR(__xludf.DUMMYFUNCTION("""COMPUTED_VALUE"""),6.27)</f>
        <v>6.27</v>
      </c>
      <c r="E2399" s="1">
        <f ca="1">IFERROR(__xludf.DUMMYFUNCTION("""COMPUTED_VALUE"""),6.28)</f>
        <v>6.28</v>
      </c>
      <c r="F2399" s="1">
        <f ca="1">IFERROR(__xludf.DUMMYFUNCTION("""COMPUTED_VALUE"""),664200)</f>
        <v>664200</v>
      </c>
      <c r="I2399" s="1"/>
    </row>
    <row r="2400" spans="1:9">
      <c r="A2400" s="3">
        <f ca="1">IFERROR(__xludf.DUMMYFUNCTION("""COMPUTED_VALUE"""),32686.6666666666)</f>
        <v>32686.666666666599</v>
      </c>
      <c r="B2400" s="1">
        <f ca="1">IFERROR(__xludf.DUMMYFUNCTION("""COMPUTED_VALUE"""),6.34)</f>
        <v>6.34</v>
      </c>
      <c r="C2400" s="1">
        <f ca="1">IFERROR(__xludf.DUMMYFUNCTION("""COMPUTED_VALUE"""),6.38)</f>
        <v>6.38</v>
      </c>
      <c r="D2400" s="1">
        <f ca="1">IFERROR(__xludf.DUMMYFUNCTION("""COMPUTED_VALUE"""),6.27)</f>
        <v>6.27</v>
      </c>
      <c r="E2400" s="1">
        <f ca="1">IFERROR(__xludf.DUMMYFUNCTION("""COMPUTED_VALUE"""),6.34)</f>
        <v>6.34</v>
      </c>
      <c r="F2400" s="1">
        <f ca="1">IFERROR(__xludf.DUMMYFUNCTION("""COMPUTED_VALUE"""),434600)</f>
        <v>434600</v>
      </c>
      <c r="I2400" s="1"/>
    </row>
    <row r="2401" spans="1:9">
      <c r="A2401" s="3">
        <f ca="1">IFERROR(__xludf.DUMMYFUNCTION("""COMPUTED_VALUE"""),32687.6666666666)</f>
        <v>32687.666666666599</v>
      </c>
      <c r="B2401" s="1">
        <f ca="1">IFERROR(__xludf.DUMMYFUNCTION("""COMPUTED_VALUE"""),6.23)</f>
        <v>6.23</v>
      </c>
      <c r="C2401" s="1">
        <f ca="1">IFERROR(__xludf.DUMMYFUNCTION("""COMPUTED_VALUE"""),6.31)</f>
        <v>6.31</v>
      </c>
      <c r="D2401" s="1">
        <f ca="1">IFERROR(__xludf.DUMMYFUNCTION("""COMPUTED_VALUE"""),6.19)</f>
        <v>6.19</v>
      </c>
      <c r="E2401" s="1">
        <f ca="1">IFERROR(__xludf.DUMMYFUNCTION("""COMPUTED_VALUE"""),6.23)</f>
        <v>6.23</v>
      </c>
      <c r="F2401" s="1">
        <f ca="1">IFERROR(__xludf.DUMMYFUNCTION("""COMPUTED_VALUE"""),448800)</f>
        <v>448800</v>
      </c>
      <c r="I2401" s="1"/>
    </row>
    <row r="2402" spans="1:9">
      <c r="A2402" s="3">
        <f ca="1">IFERROR(__xludf.DUMMYFUNCTION("""COMPUTED_VALUE"""),32688.6666666666)</f>
        <v>32688.666666666599</v>
      </c>
      <c r="B2402" s="1">
        <f ca="1">IFERROR(__xludf.DUMMYFUNCTION("""COMPUTED_VALUE"""),6.08)</f>
        <v>6.08</v>
      </c>
      <c r="C2402" s="1">
        <f ca="1">IFERROR(__xludf.DUMMYFUNCTION("""COMPUTED_VALUE"""),6.16)</f>
        <v>6.16</v>
      </c>
      <c r="D2402" s="1">
        <f ca="1">IFERROR(__xludf.DUMMYFUNCTION("""COMPUTED_VALUE"""),6.08)</f>
        <v>6.08</v>
      </c>
      <c r="E2402" s="1">
        <f ca="1">IFERROR(__xludf.DUMMYFUNCTION("""COMPUTED_VALUE"""),6.08)</f>
        <v>6.08</v>
      </c>
      <c r="F2402" s="1">
        <f ca="1">IFERROR(__xludf.DUMMYFUNCTION("""COMPUTED_VALUE"""),564500)</f>
        <v>564500</v>
      </c>
      <c r="I2402" s="1"/>
    </row>
    <row r="2403" spans="1:9">
      <c r="A2403" s="3">
        <f ca="1">IFERROR(__xludf.DUMMYFUNCTION("""COMPUTED_VALUE"""),32689.6666666666)</f>
        <v>32689.666666666599</v>
      </c>
      <c r="B2403" s="1">
        <f ca="1">IFERROR(__xludf.DUMMYFUNCTION("""COMPUTED_VALUE"""),5.98)</f>
        <v>5.98</v>
      </c>
      <c r="C2403" s="1">
        <f ca="1">IFERROR(__xludf.DUMMYFUNCTION("""COMPUTED_VALUE"""),6.09)</f>
        <v>6.09</v>
      </c>
      <c r="D2403" s="1">
        <f ca="1">IFERROR(__xludf.DUMMYFUNCTION("""COMPUTED_VALUE"""),5.89)</f>
        <v>5.89</v>
      </c>
      <c r="E2403" s="1">
        <f ca="1">IFERROR(__xludf.DUMMYFUNCTION("""COMPUTED_VALUE"""),5.98)</f>
        <v>5.98</v>
      </c>
      <c r="F2403" s="1">
        <f ca="1">IFERROR(__xludf.DUMMYFUNCTION("""COMPUTED_VALUE"""),637500)</f>
        <v>637500</v>
      </c>
      <c r="I2403" s="1"/>
    </row>
    <row r="2404" spans="1:9">
      <c r="A2404" s="3">
        <f ca="1">IFERROR(__xludf.DUMMYFUNCTION("""COMPUTED_VALUE"""),32692.6666666666)</f>
        <v>32692.666666666599</v>
      </c>
      <c r="B2404" s="1">
        <f ca="1">IFERROR(__xludf.DUMMYFUNCTION("""COMPUTED_VALUE"""),6.08)</f>
        <v>6.08</v>
      </c>
      <c r="C2404" s="1">
        <f ca="1">IFERROR(__xludf.DUMMYFUNCTION("""COMPUTED_VALUE"""),6.09)</f>
        <v>6.09</v>
      </c>
      <c r="D2404" s="1">
        <f ca="1">IFERROR(__xludf.DUMMYFUNCTION("""COMPUTED_VALUE"""),5.98)</f>
        <v>5.98</v>
      </c>
      <c r="E2404" s="1">
        <f ca="1">IFERROR(__xludf.DUMMYFUNCTION("""COMPUTED_VALUE"""),6.08)</f>
        <v>6.08</v>
      </c>
      <c r="F2404" s="1">
        <f ca="1">IFERROR(__xludf.DUMMYFUNCTION("""COMPUTED_VALUE"""),260800)</f>
        <v>260800</v>
      </c>
      <c r="I2404" s="1"/>
    </row>
    <row r="2405" spans="1:9">
      <c r="A2405" s="3">
        <f ca="1">IFERROR(__xludf.DUMMYFUNCTION("""COMPUTED_VALUE"""),32694.6666666666)</f>
        <v>32694.666666666599</v>
      </c>
      <c r="B2405" s="1">
        <f ca="1">IFERROR(__xludf.DUMMYFUNCTION("""COMPUTED_VALUE"""),6.13)</f>
        <v>6.13</v>
      </c>
      <c r="C2405" s="1">
        <f ca="1">IFERROR(__xludf.DUMMYFUNCTION("""COMPUTED_VALUE"""),6.17)</f>
        <v>6.17</v>
      </c>
      <c r="D2405" s="1">
        <f ca="1">IFERROR(__xludf.DUMMYFUNCTION("""COMPUTED_VALUE"""),6.03)</f>
        <v>6.03</v>
      </c>
      <c r="E2405" s="1">
        <f ca="1">IFERROR(__xludf.DUMMYFUNCTION("""COMPUTED_VALUE"""),6.13)</f>
        <v>6.13</v>
      </c>
      <c r="F2405" s="1">
        <f ca="1">IFERROR(__xludf.DUMMYFUNCTION("""COMPUTED_VALUE"""),378000)</f>
        <v>378000</v>
      </c>
      <c r="I2405" s="1"/>
    </row>
    <row r="2406" spans="1:9">
      <c r="A2406" s="3">
        <f ca="1">IFERROR(__xludf.DUMMYFUNCTION("""COMPUTED_VALUE"""),32695.6666666666)</f>
        <v>32695.666666666599</v>
      </c>
      <c r="B2406" s="1">
        <f ca="1">IFERROR(__xludf.DUMMYFUNCTION("""COMPUTED_VALUE"""),6.13)</f>
        <v>6.13</v>
      </c>
      <c r="C2406" s="1">
        <f ca="1">IFERROR(__xludf.DUMMYFUNCTION("""COMPUTED_VALUE"""),6.17)</f>
        <v>6.17</v>
      </c>
      <c r="D2406" s="1">
        <f ca="1">IFERROR(__xludf.DUMMYFUNCTION("""COMPUTED_VALUE"""),6.06)</f>
        <v>6.06</v>
      </c>
      <c r="E2406" s="1">
        <f ca="1">IFERROR(__xludf.DUMMYFUNCTION("""COMPUTED_VALUE"""),6.13)</f>
        <v>6.13</v>
      </c>
      <c r="F2406" s="1">
        <f ca="1">IFERROR(__xludf.DUMMYFUNCTION("""COMPUTED_VALUE"""),417000)</f>
        <v>417000</v>
      </c>
      <c r="I2406" s="1"/>
    </row>
    <row r="2407" spans="1:9">
      <c r="A2407" s="3">
        <f ca="1">IFERROR(__xludf.DUMMYFUNCTION("""COMPUTED_VALUE"""),32696.6666666666)</f>
        <v>32696.666666666599</v>
      </c>
      <c r="B2407" s="1">
        <f ca="1">IFERROR(__xludf.DUMMYFUNCTION("""COMPUTED_VALUE"""),6.23)</f>
        <v>6.23</v>
      </c>
      <c r="C2407" s="1">
        <f ca="1">IFERROR(__xludf.DUMMYFUNCTION("""COMPUTED_VALUE"""),6.28)</f>
        <v>6.28</v>
      </c>
      <c r="D2407" s="1">
        <f ca="1">IFERROR(__xludf.DUMMYFUNCTION("""COMPUTED_VALUE"""),6.08)</f>
        <v>6.08</v>
      </c>
      <c r="E2407" s="1">
        <f ca="1">IFERROR(__xludf.DUMMYFUNCTION("""COMPUTED_VALUE"""),6.23)</f>
        <v>6.23</v>
      </c>
      <c r="F2407" s="1">
        <f ca="1">IFERROR(__xludf.DUMMYFUNCTION("""COMPUTED_VALUE"""),540400)</f>
        <v>540400</v>
      </c>
      <c r="I2407" s="1"/>
    </row>
    <row r="2408" spans="1:9">
      <c r="A2408" s="3">
        <f ca="1">IFERROR(__xludf.DUMMYFUNCTION("""COMPUTED_VALUE"""),32699.6666666666)</f>
        <v>32699.666666666599</v>
      </c>
      <c r="B2408" s="1">
        <f ca="1">IFERROR(__xludf.DUMMYFUNCTION("""COMPUTED_VALUE"""),6.3)</f>
        <v>6.3</v>
      </c>
      <c r="C2408" s="1">
        <f ca="1">IFERROR(__xludf.DUMMYFUNCTION("""COMPUTED_VALUE"""),6.31)</f>
        <v>6.31</v>
      </c>
      <c r="D2408" s="1">
        <f ca="1">IFERROR(__xludf.DUMMYFUNCTION("""COMPUTED_VALUE"""),6.22)</f>
        <v>6.22</v>
      </c>
      <c r="E2408" s="1">
        <f ca="1">IFERROR(__xludf.DUMMYFUNCTION("""COMPUTED_VALUE"""),6.3)</f>
        <v>6.3</v>
      </c>
      <c r="F2408" s="1">
        <f ca="1">IFERROR(__xludf.DUMMYFUNCTION("""COMPUTED_VALUE"""),428700)</f>
        <v>428700</v>
      </c>
      <c r="I2408" s="1"/>
    </row>
    <row r="2409" spans="1:9">
      <c r="A2409" s="3">
        <f ca="1">IFERROR(__xludf.DUMMYFUNCTION("""COMPUTED_VALUE"""),32700.6666666666)</f>
        <v>32700.666666666599</v>
      </c>
      <c r="B2409" s="1">
        <f ca="1">IFERROR(__xludf.DUMMYFUNCTION("""COMPUTED_VALUE"""),6.34)</f>
        <v>6.34</v>
      </c>
      <c r="C2409" s="1">
        <f ca="1">IFERROR(__xludf.DUMMYFUNCTION("""COMPUTED_VALUE"""),6.38)</f>
        <v>6.38</v>
      </c>
      <c r="D2409" s="1">
        <f ca="1">IFERROR(__xludf.DUMMYFUNCTION("""COMPUTED_VALUE"""),6.27)</f>
        <v>6.27</v>
      </c>
      <c r="E2409" s="1">
        <f ca="1">IFERROR(__xludf.DUMMYFUNCTION("""COMPUTED_VALUE"""),6.34)</f>
        <v>6.34</v>
      </c>
      <c r="F2409" s="1">
        <f ca="1">IFERROR(__xludf.DUMMYFUNCTION("""COMPUTED_VALUE"""),597000)</f>
        <v>597000</v>
      </c>
      <c r="I2409" s="1"/>
    </row>
    <row r="2410" spans="1:9">
      <c r="A2410" s="3">
        <f ca="1">IFERROR(__xludf.DUMMYFUNCTION("""COMPUTED_VALUE"""),32701.6666666666)</f>
        <v>32701.666666666599</v>
      </c>
      <c r="B2410" s="1">
        <f ca="1">IFERROR(__xludf.DUMMYFUNCTION("""COMPUTED_VALUE"""),6.28)</f>
        <v>6.28</v>
      </c>
      <c r="C2410" s="1">
        <f ca="1">IFERROR(__xludf.DUMMYFUNCTION("""COMPUTED_VALUE"""),6.36)</f>
        <v>6.36</v>
      </c>
      <c r="D2410" s="1">
        <f ca="1">IFERROR(__xludf.DUMMYFUNCTION("""COMPUTED_VALUE"""),6.25)</f>
        <v>6.25</v>
      </c>
      <c r="E2410" s="1">
        <f ca="1">IFERROR(__xludf.DUMMYFUNCTION("""COMPUTED_VALUE"""),6.28)</f>
        <v>6.28</v>
      </c>
      <c r="F2410" s="1">
        <f ca="1">IFERROR(__xludf.DUMMYFUNCTION("""COMPUTED_VALUE"""),639800)</f>
        <v>639800</v>
      </c>
      <c r="I2410" s="1"/>
    </row>
    <row r="2411" spans="1:9">
      <c r="A2411" s="3">
        <f ca="1">IFERROR(__xludf.DUMMYFUNCTION("""COMPUTED_VALUE"""),32702.6666666666)</f>
        <v>32702.666666666599</v>
      </c>
      <c r="B2411" s="1">
        <f ca="1">IFERROR(__xludf.DUMMYFUNCTION("""COMPUTED_VALUE"""),6.2)</f>
        <v>6.2</v>
      </c>
      <c r="C2411" s="1">
        <f ca="1">IFERROR(__xludf.DUMMYFUNCTION("""COMPUTED_VALUE"""),6.28)</f>
        <v>6.28</v>
      </c>
      <c r="D2411" s="1">
        <f ca="1">IFERROR(__xludf.DUMMYFUNCTION("""COMPUTED_VALUE"""),6.19)</f>
        <v>6.19</v>
      </c>
      <c r="E2411" s="1">
        <f ca="1">IFERROR(__xludf.DUMMYFUNCTION("""COMPUTED_VALUE"""),6.2)</f>
        <v>6.2</v>
      </c>
      <c r="F2411" s="1">
        <f ca="1">IFERROR(__xludf.DUMMYFUNCTION("""COMPUTED_VALUE"""),485100)</f>
        <v>485100</v>
      </c>
      <c r="I2411" s="1"/>
    </row>
    <row r="2412" spans="1:9">
      <c r="A2412" s="3">
        <f ca="1">IFERROR(__xludf.DUMMYFUNCTION("""COMPUTED_VALUE"""),32703.6666666666)</f>
        <v>32703.666666666599</v>
      </c>
      <c r="B2412" s="1">
        <f ca="1">IFERROR(__xludf.DUMMYFUNCTION("""COMPUTED_VALUE"""),6.2)</f>
        <v>6.2</v>
      </c>
      <c r="C2412" s="1">
        <f ca="1">IFERROR(__xludf.DUMMYFUNCTION("""COMPUTED_VALUE"""),6.22)</f>
        <v>6.22</v>
      </c>
      <c r="D2412" s="1">
        <f ca="1">IFERROR(__xludf.DUMMYFUNCTION("""COMPUTED_VALUE"""),6.05)</f>
        <v>6.05</v>
      </c>
      <c r="E2412" s="1">
        <f ca="1">IFERROR(__xludf.DUMMYFUNCTION("""COMPUTED_VALUE"""),6.2)</f>
        <v>6.2</v>
      </c>
      <c r="F2412" s="1">
        <f ca="1">IFERROR(__xludf.DUMMYFUNCTION("""COMPUTED_VALUE"""),976600)</f>
        <v>976600</v>
      </c>
      <c r="I2412" s="1"/>
    </row>
    <row r="2413" spans="1:9">
      <c r="A2413" s="3">
        <f ca="1">IFERROR(__xludf.DUMMYFUNCTION("""COMPUTED_VALUE"""),32706.6666666666)</f>
        <v>32706.666666666599</v>
      </c>
      <c r="B2413" s="1">
        <f ca="1">IFERROR(__xludf.DUMMYFUNCTION("""COMPUTED_VALUE"""),6.11)</f>
        <v>6.11</v>
      </c>
      <c r="C2413" s="1">
        <f ca="1">IFERROR(__xludf.DUMMYFUNCTION("""COMPUTED_VALUE"""),6.2)</f>
        <v>6.2</v>
      </c>
      <c r="D2413" s="1">
        <f ca="1">IFERROR(__xludf.DUMMYFUNCTION("""COMPUTED_VALUE"""),6.08)</f>
        <v>6.08</v>
      </c>
      <c r="E2413" s="1">
        <f ca="1">IFERROR(__xludf.DUMMYFUNCTION("""COMPUTED_VALUE"""),6.11)</f>
        <v>6.11</v>
      </c>
      <c r="F2413" s="1">
        <f ca="1">IFERROR(__xludf.DUMMYFUNCTION("""COMPUTED_VALUE"""),582700)</f>
        <v>582700</v>
      </c>
      <c r="I2413" s="1"/>
    </row>
    <row r="2414" spans="1:9">
      <c r="A2414" s="3">
        <f ca="1">IFERROR(__xludf.DUMMYFUNCTION("""COMPUTED_VALUE"""),32707.6666666666)</f>
        <v>32707.666666666599</v>
      </c>
      <c r="B2414" s="1">
        <f ca="1">IFERROR(__xludf.DUMMYFUNCTION("""COMPUTED_VALUE"""),6.09)</f>
        <v>6.09</v>
      </c>
      <c r="C2414" s="1">
        <f ca="1">IFERROR(__xludf.DUMMYFUNCTION("""COMPUTED_VALUE"""),6.16)</f>
        <v>6.16</v>
      </c>
      <c r="D2414" s="1">
        <f ca="1">IFERROR(__xludf.DUMMYFUNCTION("""COMPUTED_VALUE"""),6.03)</f>
        <v>6.03</v>
      </c>
      <c r="E2414" s="1">
        <f ca="1">IFERROR(__xludf.DUMMYFUNCTION("""COMPUTED_VALUE"""),6.09)</f>
        <v>6.09</v>
      </c>
      <c r="F2414" s="1">
        <f ca="1">IFERROR(__xludf.DUMMYFUNCTION("""COMPUTED_VALUE"""),790300)</f>
        <v>790300</v>
      </c>
      <c r="I2414" s="1"/>
    </row>
    <row r="2415" spans="1:9">
      <c r="A2415" s="3">
        <f ca="1">IFERROR(__xludf.DUMMYFUNCTION("""COMPUTED_VALUE"""),32708.6666666666)</f>
        <v>32708.666666666599</v>
      </c>
      <c r="B2415" s="1">
        <f ca="1">IFERROR(__xludf.DUMMYFUNCTION("""COMPUTED_VALUE"""),6.27)</f>
        <v>6.27</v>
      </c>
      <c r="C2415" s="1">
        <f ca="1">IFERROR(__xludf.DUMMYFUNCTION("""COMPUTED_VALUE"""),6.28)</f>
        <v>6.28</v>
      </c>
      <c r="D2415" s="1">
        <f ca="1">IFERROR(__xludf.DUMMYFUNCTION("""COMPUTED_VALUE"""),6.13)</f>
        <v>6.13</v>
      </c>
      <c r="E2415" s="1">
        <f ca="1">IFERROR(__xludf.DUMMYFUNCTION("""COMPUTED_VALUE"""),6.27)</f>
        <v>6.27</v>
      </c>
      <c r="F2415" s="1">
        <f ca="1">IFERROR(__xludf.DUMMYFUNCTION("""COMPUTED_VALUE"""),881400)</f>
        <v>881400</v>
      </c>
      <c r="I2415" s="1"/>
    </row>
    <row r="2416" spans="1:9">
      <c r="A2416" s="3">
        <f ca="1">IFERROR(__xludf.DUMMYFUNCTION("""COMPUTED_VALUE"""),32709.6666666666)</f>
        <v>32709.666666666599</v>
      </c>
      <c r="B2416" s="1">
        <f ca="1">IFERROR(__xludf.DUMMYFUNCTION("""COMPUTED_VALUE"""),6.27)</f>
        <v>6.27</v>
      </c>
      <c r="C2416" s="1">
        <f ca="1">IFERROR(__xludf.DUMMYFUNCTION("""COMPUTED_VALUE"""),6.42)</f>
        <v>6.42</v>
      </c>
      <c r="D2416" s="1">
        <f ca="1">IFERROR(__xludf.DUMMYFUNCTION("""COMPUTED_VALUE"""),6.25)</f>
        <v>6.25</v>
      </c>
      <c r="E2416" s="1">
        <f ca="1">IFERROR(__xludf.DUMMYFUNCTION("""COMPUTED_VALUE"""),6.27)</f>
        <v>6.27</v>
      </c>
      <c r="F2416" s="1">
        <f ca="1">IFERROR(__xludf.DUMMYFUNCTION("""COMPUTED_VALUE"""),789700)</f>
        <v>789700</v>
      </c>
      <c r="I2416" s="1"/>
    </row>
    <row r="2417" spans="1:9">
      <c r="A2417" s="3">
        <f ca="1">IFERROR(__xludf.DUMMYFUNCTION("""COMPUTED_VALUE"""),32710.6666666666)</f>
        <v>32710.666666666599</v>
      </c>
      <c r="B2417" s="1">
        <f ca="1">IFERROR(__xludf.DUMMYFUNCTION("""COMPUTED_VALUE"""),6.31)</f>
        <v>6.31</v>
      </c>
      <c r="C2417" s="1">
        <f ca="1">IFERROR(__xludf.DUMMYFUNCTION("""COMPUTED_VALUE"""),6.31)</f>
        <v>6.31</v>
      </c>
      <c r="D2417" s="1">
        <f ca="1">IFERROR(__xludf.DUMMYFUNCTION("""COMPUTED_VALUE"""),6.23)</f>
        <v>6.23</v>
      </c>
      <c r="E2417" s="1">
        <f ca="1">IFERROR(__xludf.DUMMYFUNCTION("""COMPUTED_VALUE"""),6.31)</f>
        <v>6.31</v>
      </c>
      <c r="F2417" s="1">
        <f ca="1">IFERROR(__xludf.DUMMYFUNCTION("""COMPUTED_VALUE"""),1124500)</f>
        <v>1124500</v>
      </c>
      <c r="I2417" s="1"/>
    </row>
    <row r="2418" spans="1:9">
      <c r="A2418" s="3">
        <f ca="1">IFERROR(__xludf.DUMMYFUNCTION("""COMPUTED_VALUE"""),32713.6666666666)</f>
        <v>32713.666666666599</v>
      </c>
      <c r="B2418" s="1">
        <f ca="1">IFERROR(__xludf.DUMMYFUNCTION("""COMPUTED_VALUE"""),6.27)</f>
        <v>6.27</v>
      </c>
      <c r="C2418" s="1">
        <f ca="1">IFERROR(__xludf.DUMMYFUNCTION("""COMPUTED_VALUE"""),6.33)</f>
        <v>6.33</v>
      </c>
      <c r="D2418" s="1">
        <f ca="1">IFERROR(__xludf.DUMMYFUNCTION("""COMPUTED_VALUE"""),6.23)</f>
        <v>6.23</v>
      </c>
      <c r="E2418" s="1">
        <f ca="1">IFERROR(__xludf.DUMMYFUNCTION("""COMPUTED_VALUE"""),6.27)</f>
        <v>6.27</v>
      </c>
      <c r="F2418" s="1">
        <f ca="1">IFERROR(__xludf.DUMMYFUNCTION("""COMPUTED_VALUE"""),457700)</f>
        <v>457700</v>
      </c>
      <c r="I2418" s="1"/>
    </row>
    <row r="2419" spans="1:9">
      <c r="A2419" s="3">
        <f ca="1">IFERROR(__xludf.DUMMYFUNCTION("""COMPUTED_VALUE"""),32714.6666666666)</f>
        <v>32714.666666666599</v>
      </c>
      <c r="B2419" s="1">
        <f ca="1">IFERROR(__xludf.DUMMYFUNCTION("""COMPUTED_VALUE"""),6.23)</f>
        <v>6.23</v>
      </c>
      <c r="C2419" s="1">
        <f ca="1">IFERROR(__xludf.DUMMYFUNCTION("""COMPUTED_VALUE"""),6.31)</f>
        <v>6.31</v>
      </c>
      <c r="D2419" s="1">
        <f ca="1">IFERROR(__xludf.DUMMYFUNCTION("""COMPUTED_VALUE"""),6.2)</f>
        <v>6.2</v>
      </c>
      <c r="E2419" s="1">
        <f ca="1">IFERROR(__xludf.DUMMYFUNCTION("""COMPUTED_VALUE"""),6.23)</f>
        <v>6.23</v>
      </c>
      <c r="F2419" s="1">
        <f ca="1">IFERROR(__xludf.DUMMYFUNCTION("""COMPUTED_VALUE"""),590700)</f>
        <v>590700</v>
      </c>
      <c r="I2419" s="1"/>
    </row>
    <row r="2420" spans="1:9">
      <c r="A2420" s="3">
        <f ca="1">IFERROR(__xludf.DUMMYFUNCTION("""COMPUTED_VALUE"""),32715.6666666666)</f>
        <v>32715.666666666599</v>
      </c>
      <c r="B2420" s="1">
        <f ca="1">IFERROR(__xludf.DUMMYFUNCTION("""COMPUTED_VALUE"""),6.55)</f>
        <v>6.55</v>
      </c>
      <c r="C2420" s="1">
        <f ca="1">IFERROR(__xludf.DUMMYFUNCTION("""COMPUTED_VALUE"""),6.61)</f>
        <v>6.61</v>
      </c>
      <c r="D2420" s="1">
        <f ca="1">IFERROR(__xludf.DUMMYFUNCTION("""COMPUTED_VALUE"""),6.23)</f>
        <v>6.23</v>
      </c>
      <c r="E2420" s="1">
        <f ca="1">IFERROR(__xludf.DUMMYFUNCTION("""COMPUTED_VALUE"""),6.55)</f>
        <v>6.55</v>
      </c>
      <c r="F2420" s="1">
        <f ca="1">IFERROR(__xludf.DUMMYFUNCTION("""COMPUTED_VALUE"""),871200)</f>
        <v>871200</v>
      </c>
      <c r="I2420" s="1"/>
    </row>
    <row r="2421" spans="1:9">
      <c r="A2421" s="3">
        <f ca="1">IFERROR(__xludf.DUMMYFUNCTION("""COMPUTED_VALUE"""),32716.6666666666)</f>
        <v>32716.666666666599</v>
      </c>
      <c r="B2421" s="1">
        <f ca="1">IFERROR(__xludf.DUMMYFUNCTION("""COMPUTED_VALUE"""),6.67)</f>
        <v>6.67</v>
      </c>
      <c r="C2421" s="1">
        <f ca="1">IFERROR(__xludf.DUMMYFUNCTION("""COMPUTED_VALUE"""),6.69)</f>
        <v>6.69</v>
      </c>
      <c r="D2421" s="1">
        <f ca="1">IFERROR(__xludf.DUMMYFUNCTION("""COMPUTED_VALUE"""),6.59)</f>
        <v>6.59</v>
      </c>
      <c r="E2421" s="1">
        <f ca="1">IFERROR(__xludf.DUMMYFUNCTION("""COMPUTED_VALUE"""),6.67)</f>
        <v>6.67</v>
      </c>
      <c r="F2421" s="1">
        <f ca="1">IFERROR(__xludf.DUMMYFUNCTION("""COMPUTED_VALUE"""),1073900)</f>
        <v>1073900</v>
      </c>
      <c r="I2421" s="1"/>
    </row>
    <row r="2422" spans="1:9">
      <c r="A2422" s="3">
        <f ca="1">IFERROR(__xludf.DUMMYFUNCTION("""COMPUTED_VALUE"""),32717.6666666666)</f>
        <v>32717.666666666599</v>
      </c>
      <c r="B2422" s="1">
        <f ca="1">IFERROR(__xludf.DUMMYFUNCTION("""COMPUTED_VALUE"""),6.7)</f>
        <v>6.7</v>
      </c>
      <c r="C2422" s="1">
        <f ca="1">IFERROR(__xludf.DUMMYFUNCTION("""COMPUTED_VALUE"""),6.78)</f>
        <v>6.78</v>
      </c>
      <c r="D2422" s="1">
        <f ca="1">IFERROR(__xludf.DUMMYFUNCTION("""COMPUTED_VALUE"""),6.67)</f>
        <v>6.67</v>
      </c>
      <c r="E2422" s="1">
        <f ca="1">IFERROR(__xludf.DUMMYFUNCTION("""COMPUTED_VALUE"""),6.7)</f>
        <v>6.7</v>
      </c>
      <c r="F2422" s="1">
        <f ca="1">IFERROR(__xludf.DUMMYFUNCTION("""COMPUTED_VALUE"""),755200)</f>
        <v>755200</v>
      </c>
      <c r="I2422" s="1"/>
    </row>
    <row r="2423" spans="1:9">
      <c r="A2423" s="3">
        <f ca="1">IFERROR(__xludf.DUMMYFUNCTION("""COMPUTED_VALUE"""),32720.6666666666)</f>
        <v>32720.666666666599</v>
      </c>
      <c r="B2423" s="1">
        <f ca="1">IFERROR(__xludf.DUMMYFUNCTION("""COMPUTED_VALUE"""),6.67)</f>
        <v>6.67</v>
      </c>
      <c r="C2423" s="1">
        <f ca="1">IFERROR(__xludf.DUMMYFUNCTION("""COMPUTED_VALUE"""),6.67)</f>
        <v>6.67</v>
      </c>
      <c r="D2423" s="1">
        <f ca="1">IFERROR(__xludf.DUMMYFUNCTION("""COMPUTED_VALUE"""),6.55)</f>
        <v>6.55</v>
      </c>
      <c r="E2423" s="1">
        <f ca="1">IFERROR(__xludf.DUMMYFUNCTION("""COMPUTED_VALUE"""),6.67)</f>
        <v>6.67</v>
      </c>
      <c r="F2423" s="1">
        <f ca="1">IFERROR(__xludf.DUMMYFUNCTION("""COMPUTED_VALUE"""),627700)</f>
        <v>627700</v>
      </c>
      <c r="I2423" s="1"/>
    </row>
    <row r="2424" spans="1:9">
      <c r="A2424" s="3">
        <f ca="1">IFERROR(__xludf.DUMMYFUNCTION("""COMPUTED_VALUE"""),32721.6666666666)</f>
        <v>32721.666666666599</v>
      </c>
      <c r="B2424" s="1">
        <f ca="1">IFERROR(__xludf.DUMMYFUNCTION("""COMPUTED_VALUE"""),6.55)</f>
        <v>6.55</v>
      </c>
      <c r="C2424" s="1">
        <f ca="1">IFERROR(__xludf.DUMMYFUNCTION("""COMPUTED_VALUE"""),6.67)</f>
        <v>6.67</v>
      </c>
      <c r="D2424" s="1">
        <f ca="1">IFERROR(__xludf.DUMMYFUNCTION("""COMPUTED_VALUE"""),6.48)</f>
        <v>6.48</v>
      </c>
      <c r="E2424" s="1">
        <f ca="1">IFERROR(__xludf.DUMMYFUNCTION("""COMPUTED_VALUE"""),6.55)</f>
        <v>6.55</v>
      </c>
      <c r="F2424" s="1">
        <f ca="1">IFERROR(__xludf.DUMMYFUNCTION("""COMPUTED_VALUE"""),838700)</f>
        <v>838700</v>
      </c>
      <c r="I2424" s="1"/>
    </row>
    <row r="2425" spans="1:9">
      <c r="A2425" s="3">
        <f ca="1">IFERROR(__xludf.DUMMYFUNCTION("""COMPUTED_VALUE"""),32722.6666666666)</f>
        <v>32722.666666666599</v>
      </c>
      <c r="B2425" s="1">
        <f ca="1">IFERROR(__xludf.DUMMYFUNCTION("""COMPUTED_VALUE"""),6.58)</f>
        <v>6.58</v>
      </c>
      <c r="C2425" s="1">
        <f ca="1">IFERROR(__xludf.DUMMYFUNCTION("""COMPUTED_VALUE"""),6.59)</f>
        <v>6.59</v>
      </c>
      <c r="D2425" s="1">
        <f ca="1">IFERROR(__xludf.DUMMYFUNCTION("""COMPUTED_VALUE"""),6.47)</f>
        <v>6.47</v>
      </c>
      <c r="E2425" s="1">
        <f ca="1">IFERROR(__xludf.DUMMYFUNCTION("""COMPUTED_VALUE"""),6.58)</f>
        <v>6.58</v>
      </c>
      <c r="F2425" s="1">
        <f ca="1">IFERROR(__xludf.DUMMYFUNCTION("""COMPUTED_VALUE"""),505600)</f>
        <v>505600</v>
      </c>
      <c r="I2425" s="1"/>
    </row>
    <row r="2426" spans="1:9">
      <c r="A2426" s="3">
        <f ca="1">IFERROR(__xludf.DUMMYFUNCTION("""COMPUTED_VALUE"""),32723.6666666666)</f>
        <v>32723.666666666599</v>
      </c>
      <c r="B2426" s="1">
        <f ca="1">IFERROR(__xludf.DUMMYFUNCTION("""COMPUTED_VALUE"""),6.61)</f>
        <v>6.61</v>
      </c>
      <c r="C2426" s="1">
        <f ca="1">IFERROR(__xludf.DUMMYFUNCTION("""COMPUTED_VALUE"""),6.64)</f>
        <v>6.64</v>
      </c>
      <c r="D2426" s="1">
        <f ca="1">IFERROR(__xludf.DUMMYFUNCTION("""COMPUTED_VALUE"""),6.56)</f>
        <v>6.56</v>
      </c>
      <c r="E2426" s="1">
        <f ca="1">IFERROR(__xludf.DUMMYFUNCTION("""COMPUTED_VALUE"""),6.61)</f>
        <v>6.61</v>
      </c>
      <c r="F2426" s="1">
        <f ca="1">IFERROR(__xludf.DUMMYFUNCTION("""COMPUTED_VALUE"""),513700)</f>
        <v>513700</v>
      </c>
      <c r="I2426" s="1"/>
    </row>
    <row r="2427" spans="1:9">
      <c r="A2427" s="3">
        <f ca="1">IFERROR(__xludf.DUMMYFUNCTION("""COMPUTED_VALUE"""),32724.6666666666)</f>
        <v>32724.666666666599</v>
      </c>
      <c r="B2427" s="1">
        <f ca="1">IFERROR(__xludf.DUMMYFUNCTION("""COMPUTED_VALUE"""),6.59)</f>
        <v>6.59</v>
      </c>
      <c r="C2427" s="1">
        <f ca="1">IFERROR(__xludf.DUMMYFUNCTION("""COMPUTED_VALUE"""),6.61)</f>
        <v>6.61</v>
      </c>
      <c r="D2427" s="1">
        <f ca="1">IFERROR(__xludf.DUMMYFUNCTION("""COMPUTED_VALUE"""),6.53)</f>
        <v>6.53</v>
      </c>
      <c r="E2427" s="1">
        <f ca="1">IFERROR(__xludf.DUMMYFUNCTION("""COMPUTED_VALUE"""),6.59)</f>
        <v>6.59</v>
      </c>
      <c r="F2427" s="1">
        <f ca="1">IFERROR(__xludf.DUMMYFUNCTION("""COMPUTED_VALUE"""),639300)</f>
        <v>639300</v>
      </c>
      <c r="I2427" s="1"/>
    </row>
    <row r="2428" spans="1:9">
      <c r="A2428" s="3">
        <f ca="1">IFERROR(__xludf.DUMMYFUNCTION("""COMPUTED_VALUE"""),32727.6666666666)</f>
        <v>32727.666666666599</v>
      </c>
      <c r="B2428" s="1">
        <f ca="1">IFERROR(__xludf.DUMMYFUNCTION("""COMPUTED_VALUE"""),6.63)</f>
        <v>6.63</v>
      </c>
      <c r="C2428" s="1">
        <f ca="1">IFERROR(__xludf.DUMMYFUNCTION("""COMPUTED_VALUE"""),6.63)</f>
        <v>6.63</v>
      </c>
      <c r="D2428" s="1">
        <f ca="1">IFERROR(__xludf.DUMMYFUNCTION("""COMPUTED_VALUE"""),6.5)</f>
        <v>6.5</v>
      </c>
      <c r="E2428" s="1">
        <f ca="1">IFERROR(__xludf.DUMMYFUNCTION("""COMPUTED_VALUE"""),6.63)</f>
        <v>6.63</v>
      </c>
      <c r="F2428" s="1">
        <f ca="1">IFERROR(__xludf.DUMMYFUNCTION("""COMPUTED_VALUE"""),516700)</f>
        <v>516700</v>
      </c>
      <c r="I2428" s="1"/>
    </row>
    <row r="2429" spans="1:9">
      <c r="A2429" s="3">
        <f ca="1">IFERROR(__xludf.DUMMYFUNCTION("""COMPUTED_VALUE"""),32728.6666666666)</f>
        <v>32728.666666666599</v>
      </c>
      <c r="B2429" s="1">
        <f ca="1">IFERROR(__xludf.DUMMYFUNCTION("""COMPUTED_VALUE"""),6.5)</f>
        <v>6.5</v>
      </c>
      <c r="C2429" s="1">
        <f ca="1">IFERROR(__xludf.DUMMYFUNCTION("""COMPUTED_VALUE"""),6.63)</f>
        <v>6.63</v>
      </c>
      <c r="D2429" s="1">
        <f ca="1">IFERROR(__xludf.DUMMYFUNCTION("""COMPUTED_VALUE"""),6.5)</f>
        <v>6.5</v>
      </c>
      <c r="E2429" s="1">
        <f ca="1">IFERROR(__xludf.DUMMYFUNCTION("""COMPUTED_VALUE"""),6.5)</f>
        <v>6.5</v>
      </c>
      <c r="F2429" s="1">
        <f ca="1">IFERROR(__xludf.DUMMYFUNCTION("""COMPUTED_VALUE"""),544200)</f>
        <v>544200</v>
      </c>
      <c r="I2429" s="1"/>
    </row>
    <row r="2430" spans="1:9">
      <c r="A2430" s="3">
        <f ca="1">IFERROR(__xludf.DUMMYFUNCTION("""COMPUTED_VALUE"""),32729.6666666666)</f>
        <v>32729.666666666599</v>
      </c>
      <c r="B2430" s="1">
        <f ca="1">IFERROR(__xludf.DUMMYFUNCTION("""COMPUTED_VALUE"""),6.42)</f>
        <v>6.42</v>
      </c>
      <c r="C2430" s="1">
        <f ca="1">IFERROR(__xludf.DUMMYFUNCTION("""COMPUTED_VALUE"""),6.58)</f>
        <v>6.58</v>
      </c>
      <c r="D2430" s="1">
        <f ca="1">IFERROR(__xludf.DUMMYFUNCTION("""COMPUTED_VALUE"""),6.36)</f>
        <v>6.36</v>
      </c>
      <c r="E2430" s="1">
        <f ca="1">IFERROR(__xludf.DUMMYFUNCTION("""COMPUTED_VALUE"""),6.42)</f>
        <v>6.42</v>
      </c>
      <c r="F2430" s="1">
        <f ca="1">IFERROR(__xludf.DUMMYFUNCTION("""COMPUTED_VALUE"""),720200)</f>
        <v>720200</v>
      </c>
      <c r="I2430" s="1"/>
    </row>
    <row r="2431" spans="1:9">
      <c r="A2431" s="3">
        <f ca="1">IFERROR(__xludf.DUMMYFUNCTION("""COMPUTED_VALUE"""),32730.6666666666)</f>
        <v>32730.666666666599</v>
      </c>
      <c r="B2431" s="1">
        <f ca="1">IFERROR(__xludf.DUMMYFUNCTION("""COMPUTED_VALUE"""),6.47)</f>
        <v>6.47</v>
      </c>
      <c r="C2431" s="1">
        <f ca="1">IFERROR(__xludf.DUMMYFUNCTION("""COMPUTED_VALUE"""),6.56)</f>
        <v>6.56</v>
      </c>
      <c r="D2431" s="1">
        <f ca="1">IFERROR(__xludf.DUMMYFUNCTION("""COMPUTED_VALUE"""),6.39)</f>
        <v>6.39</v>
      </c>
      <c r="E2431" s="1">
        <f ca="1">IFERROR(__xludf.DUMMYFUNCTION("""COMPUTED_VALUE"""),6.47)</f>
        <v>6.47</v>
      </c>
      <c r="F2431" s="1">
        <f ca="1">IFERROR(__xludf.DUMMYFUNCTION("""COMPUTED_VALUE"""),631100)</f>
        <v>631100</v>
      </c>
      <c r="I2431" s="1"/>
    </row>
    <row r="2432" spans="1:9">
      <c r="A2432" s="3">
        <f ca="1">IFERROR(__xludf.DUMMYFUNCTION("""COMPUTED_VALUE"""),32731.6666666666)</f>
        <v>32731.666666666599</v>
      </c>
      <c r="B2432" s="1">
        <f ca="1">IFERROR(__xludf.DUMMYFUNCTION("""COMPUTED_VALUE"""),6.44)</f>
        <v>6.44</v>
      </c>
      <c r="C2432" s="1">
        <f ca="1">IFERROR(__xludf.DUMMYFUNCTION("""COMPUTED_VALUE"""),6.56)</f>
        <v>6.56</v>
      </c>
      <c r="D2432" s="1">
        <f ca="1">IFERROR(__xludf.DUMMYFUNCTION("""COMPUTED_VALUE"""),6.42)</f>
        <v>6.42</v>
      </c>
      <c r="E2432" s="1">
        <f ca="1">IFERROR(__xludf.DUMMYFUNCTION("""COMPUTED_VALUE"""),6.44)</f>
        <v>6.44</v>
      </c>
      <c r="F2432" s="1">
        <f ca="1">IFERROR(__xludf.DUMMYFUNCTION("""COMPUTED_VALUE"""),712400)</f>
        <v>712400</v>
      </c>
      <c r="I2432" s="1"/>
    </row>
    <row r="2433" spans="1:9">
      <c r="A2433" s="3">
        <f ca="1">IFERROR(__xludf.DUMMYFUNCTION("""COMPUTED_VALUE"""),32734.6666666666)</f>
        <v>32734.666666666599</v>
      </c>
      <c r="B2433" s="1">
        <f ca="1">IFERROR(__xludf.DUMMYFUNCTION("""COMPUTED_VALUE"""),6.5)</f>
        <v>6.5</v>
      </c>
      <c r="C2433" s="1">
        <f ca="1">IFERROR(__xludf.DUMMYFUNCTION("""COMPUTED_VALUE"""),6.58)</f>
        <v>6.58</v>
      </c>
      <c r="D2433" s="1">
        <f ca="1">IFERROR(__xludf.DUMMYFUNCTION("""COMPUTED_VALUE"""),6.42)</f>
        <v>6.42</v>
      </c>
      <c r="E2433" s="1">
        <f ca="1">IFERROR(__xludf.DUMMYFUNCTION("""COMPUTED_VALUE"""),6.5)</f>
        <v>6.5</v>
      </c>
      <c r="F2433" s="1">
        <f ca="1">IFERROR(__xludf.DUMMYFUNCTION("""COMPUTED_VALUE"""),617300)</f>
        <v>617300</v>
      </c>
      <c r="I2433" s="1"/>
    </row>
    <row r="2434" spans="1:9">
      <c r="A2434" s="3">
        <f ca="1">IFERROR(__xludf.DUMMYFUNCTION("""COMPUTED_VALUE"""),32735.6666666666)</f>
        <v>32735.666666666599</v>
      </c>
      <c r="B2434" s="1">
        <f ca="1">IFERROR(__xludf.DUMMYFUNCTION("""COMPUTED_VALUE"""),6.48)</f>
        <v>6.48</v>
      </c>
      <c r="C2434" s="1">
        <f ca="1">IFERROR(__xludf.DUMMYFUNCTION("""COMPUTED_VALUE"""),6.59)</f>
        <v>6.59</v>
      </c>
      <c r="D2434" s="1">
        <f ca="1">IFERROR(__xludf.DUMMYFUNCTION("""COMPUTED_VALUE"""),6.47)</f>
        <v>6.47</v>
      </c>
      <c r="E2434" s="1">
        <f ca="1">IFERROR(__xludf.DUMMYFUNCTION("""COMPUTED_VALUE"""),6.48)</f>
        <v>6.48</v>
      </c>
      <c r="F2434" s="1">
        <f ca="1">IFERROR(__xludf.DUMMYFUNCTION("""COMPUTED_VALUE"""),487600)</f>
        <v>487600</v>
      </c>
      <c r="I2434" s="1"/>
    </row>
    <row r="2435" spans="1:9">
      <c r="A2435" s="3">
        <f ca="1">IFERROR(__xludf.DUMMYFUNCTION("""COMPUTED_VALUE"""),32736.6666666666)</f>
        <v>32736.666666666599</v>
      </c>
      <c r="B2435" s="1">
        <f ca="1">IFERROR(__xludf.DUMMYFUNCTION("""COMPUTED_VALUE"""),6.38)</f>
        <v>6.38</v>
      </c>
      <c r="C2435" s="1">
        <f ca="1">IFERROR(__xludf.DUMMYFUNCTION("""COMPUTED_VALUE"""),6.39)</f>
        <v>6.39</v>
      </c>
      <c r="D2435" s="1">
        <f ca="1">IFERROR(__xludf.DUMMYFUNCTION("""COMPUTED_VALUE"""),6.33)</f>
        <v>6.33</v>
      </c>
      <c r="E2435" s="1">
        <f ca="1">IFERROR(__xludf.DUMMYFUNCTION("""COMPUTED_VALUE"""),6.38)</f>
        <v>6.38</v>
      </c>
      <c r="F2435" s="1">
        <f ca="1">IFERROR(__xludf.DUMMYFUNCTION("""COMPUTED_VALUE"""),1067500)</f>
        <v>1067500</v>
      </c>
      <c r="I2435" s="1"/>
    </row>
    <row r="2436" spans="1:9">
      <c r="A2436" s="3">
        <f ca="1">IFERROR(__xludf.DUMMYFUNCTION("""COMPUTED_VALUE"""),32737.6666666666)</f>
        <v>32737.666666666599</v>
      </c>
      <c r="B2436" s="1">
        <f ca="1">IFERROR(__xludf.DUMMYFUNCTION("""COMPUTED_VALUE"""),6.44)</f>
        <v>6.44</v>
      </c>
      <c r="C2436" s="1">
        <f ca="1">IFERROR(__xludf.DUMMYFUNCTION("""COMPUTED_VALUE"""),6.47)</f>
        <v>6.47</v>
      </c>
      <c r="D2436" s="1">
        <f ca="1">IFERROR(__xludf.DUMMYFUNCTION("""COMPUTED_VALUE"""),6.36)</f>
        <v>6.36</v>
      </c>
      <c r="E2436" s="1">
        <f ca="1">IFERROR(__xludf.DUMMYFUNCTION("""COMPUTED_VALUE"""),6.44)</f>
        <v>6.44</v>
      </c>
      <c r="F2436" s="1">
        <f ca="1">IFERROR(__xludf.DUMMYFUNCTION("""COMPUTED_VALUE"""),532700)</f>
        <v>532700</v>
      </c>
      <c r="I2436" s="1"/>
    </row>
    <row r="2437" spans="1:9">
      <c r="A2437" s="3">
        <f ca="1">IFERROR(__xludf.DUMMYFUNCTION("""COMPUTED_VALUE"""),32738.6666666666)</f>
        <v>32738.666666666599</v>
      </c>
      <c r="B2437" s="1">
        <f ca="1">IFERROR(__xludf.DUMMYFUNCTION("""COMPUTED_VALUE"""),6.45)</f>
        <v>6.45</v>
      </c>
      <c r="C2437" s="1">
        <f ca="1">IFERROR(__xludf.DUMMYFUNCTION("""COMPUTED_VALUE"""),6.45)</f>
        <v>6.45</v>
      </c>
      <c r="D2437" s="1">
        <f ca="1">IFERROR(__xludf.DUMMYFUNCTION("""COMPUTED_VALUE"""),6.36)</f>
        <v>6.36</v>
      </c>
      <c r="E2437" s="1">
        <f ca="1">IFERROR(__xludf.DUMMYFUNCTION("""COMPUTED_VALUE"""),6.45)</f>
        <v>6.45</v>
      </c>
      <c r="F2437" s="1">
        <f ca="1">IFERROR(__xludf.DUMMYFUNCTION("""COMPUTED_VALUE"""),775500)</f>
        <v>775500</v>
      </c>
      <c r="I2437" s="1"/>
    </row>
    <row r="2438" spans="1:9">
      <c r="A2438" s="3">
        <f ca="1">IFERROR(__xludf.DUMMYFUNCTION("""COMPUTED_VALUE"""),32741.6666666666)</f>
        <v>32741.666666666599</v>
      </c>
      <c r="B2438" s="1">
        <f ca="1">IFERROR(__xludf.DUMMYFUNCTION("""COMPUTED_VALUE"""),6.17)</f>
        <v>6.17</v>
      </c>
      <c r="C2438" s="1">
        <f ca="1">IFERROR(__xludf.DUMMYFUNCTION("""COMPUTED_VALUE"""),6.5)</f>
        <v>6.5</v>
      </c>
      <c r="D2438" s="1">
        <f ca="1">IFERROR(__xludf.DUMMYFUNCTION("""COMPUTED_VALUE"""),6.17)</f>
        <v>6.17</v>
      </c>
      <c r="E2438" s="1">
        <f ca="1">IFERROR(__xludf.DUMMYFUNCTION("""COMPUTED_VALUE"""),6.17)</f>
        <v>6.17</v>
      </c>
      <c r="F2438" s="1">
        <f ca="1">IFERROR(__xludf.DUMMYFUNCTION("""COMPUTED_VALUE"""),933700)</f>
        <v>933700</v>
      </c>
      <c r="I2438" s="1"/>
    </row>
    <row r="2439" spans="1:9">
      <c r="A2439" s="3">
        <f ca="1">IFERROR(__xludf.DUMMYFUNCTION("""COMPUTED_VALUE"""),32742.6666666666)</f>
        <v>32742.666666666599</v>
      </c>
      <c r="B2439" s="1">
        <f ca="1">IFERROR(__xludf.DUMMYFUNCTION("""COMPUTED_VALUE"""),6.25)</f>
        <v>6.25</v>
      </c>
      <c r="C2439" s="1">
        <f ca="1">IFERROR(__xludf.DUMMYFUNCTION("""COMPUTED_VALUE"""),6.31)</f>
        <v>6.31</v>
      </c>
      <c r="D2439" s="1">
        <f ca="1">IFERROR(__xludf.DUMMYFUNCTION("""COMPUTED_VALUE"""),6.22)</f>
        <v>6.22</v>
      </c>
      <c r="E2439" s="1">
        <f ca="1">IFERROR(__xludf.DUMMYFUNCTION("""COMPUTED_VALUE"""),6.25)</f>
        <v>6.25</v>
      </c>
      <c r="F2439" s="1">
        <f ca="1">IFERROR(__xludf.DUMMYFUNCTION("""COMPUTED_VALUE"""),704600)</f>
        <v>704600</v>
      </c>
      <c r="I2439" s="1"/>
    </row>
    <row r="2440" spans="1:9">
      <c r="A2440" s="3">
        <f ca="1">IFERROR(__xludf.DUMMYFUNCTION("""COMPUTED_VALUE"""),32743.6666666666)</f>
        <v>32743.666666666599</v>
      </c>
      <c r="B2440" s="1">
        <f ca="1">IFERROR(__xludf.DUMMYFUNCTION("""COMPUTED_VALUE"""),6.28)</f>
        <v>6.28</v>
      </c>
      <c r="C2440" s="1">
        <f ca="1">IFERROR(__xludf.DUMMYFUNCTION("""COMPUTED_VALUE"""),6.3)</f>
        <v>6.3</v>
      </c>
      <c r="D2440" s="1">
        <f ca="1">IFERROR(__xludf.DUMMYFUNCTION("""COMPUTED_VALUE"""),6.22)</f>
        <v>6.22</v>
      </c>
      <c r="E2440" s="1">
        <f ca="1">IFERROR(__xludf.DUMMYFUNCTION("""COMPUTED_VALUE"""),6.28)</f>
        <v>6.28</v>
      </c>
      <c r="F2440" s="1">
        <f ca="1">IFERROR(__xludf.DUMMYFUNCTION("""COMPUTED_VALUE"""),1016000)</f>
        <v>1016000</v>
      </c>
      <c r="I2440" s="1"/>
    </row>
    <row r="2441" spans="1:9">
      <c r="A2441" s="3">
        <f ca="1">IFERROR(__xludf.DUMMYFUNCTION("""COMPUTED_VALUE"""),32744.6666666666)</f>
        <v>32744.666666666599</v>
      </c>
      <c r="B2441" s="1">
        <f ca="1">IFERROR(__xludf.DUMMYFUNCTION("""COMPUTED_VALUE"""),6.34)</f>
        <v>6.34</v>
      </c>
      <c r="C2441" s="1">
        <f ca="1">IFERROR(__xludf.DUMMYFUNCTION("""COMPUTED_VALUE"""),6.34)</f>
        <v>6.34</v>
      </c>
      <c r="D2441" s="1">
        <f ca="1">IFERROR(__xludf.DUMMYFUNCTION("""COMPUTED_VALUE"""),6.19)</f>
        <v>6.19</v>
      </c>
      <c r="E2441" s="1">
        <f ca="1">IFERROR(__xludf.DUMMYFUNCTION("""COMPUTED_VALUE"""),6.34)</f>
        <v>6.34</v>
      </c>
      <c r="F2441" s="1">
        <f ca="1">IFERROR(__xludf.DUMMYFUNCTION("""COMPUTED_VALUE"""),1280300)</f>
        <v>1280300</v>
      </c>
      <c r="I2441" s="1"/>
    </row>
    <row r="2442" spans="1:9">
      <c r="A2442" s="3">
        <f ca="1">IFERROR(__xludf.DUMMYFUNCTION("""COMPUTED_VALUE"""),32745.6666666666)</f>
        <v>32745.666666666599</v>
      </c>
      <c r="B2442" s="1">
        <f ca="1">IFERROR(__xludf.DUMMYFUNCTION("""COMPUTED_VALUE"""),6.33)</f>
        <v>6.33</v>
      </c>
      <c r="C2442" s="1">
        <f ca="1">IFERROR(__xludf.DUMMYFUNCTION("""COMPUTED_VALUE"""),6.39)</f>
        <v>6.39</v>
      </c>
      <c r="D2442" s="1">
        <f ca="1">IFERROR(__xludf.DUMMYFUNCTION("""COMPUTED_VALUE"""),6.31)</f>
        <v>6.31</v>
      </c>
      <c r="E2442" s="1">
        <f ca="1">IFERROR(__xludf.DUMMYFUNCTION("""COMPUTED_VALUE"""),6.33)</f>
        <v>6.33</v>
      </c>
      <c r="F2442" s="1">
        <f ca="1">IFERROR(__xludf.DUMMYFUNCTION("""COMPUTED_VALUE"""),557000)</f>
        <v>557000</v>
      </c>
      <c r="I2442" s="1"/>
    </row>
    <row r="2443" spans="1:9">
      <c r="A2443" s="3">
        <f ca="1">IFERROR(__xludf.DUMMYFUNCTION("""COMPUTED_VALUE"""),32748.6666666666)</f>
        <v>32748.666666666599</v>
      </c>
      <c r="B2443" s="1">
        <f ca="1">IFERROR(__xludf.DUMMYFUNCTION("""COMPUTED_VALUE"""),6.41)</f>
        <v>6.41</v>
      </c>
      <c r="C2443" s="1">
        <f ca="1">IFERROR(__xludf.DUMMYFUNCTION("""COMPUTED_VALUE"""),6.42)</f>
        <v>6.42</v>
      </c>
      <c r="D2443" s="1">
        <f ca="1">IFERROR(__xludf.DUMMYFUNCTION("""COMPUTED_VALUE"""),6.28)</f>
        <v>6.28</v>
      </c>
      <c r="E2443" s="1">
        <f ca="1">IFERROR(__xludf.DUMMYFUNCTION("""COMPUTED_VALUE"""),6.41)</f>
        <v>6.41</v>
      </c>
      <c r="F2443" s="1">
        <f ca="1">IFERROR(__xludf.DUMMYFUNCTION("""COMPUTED_VALUE"""),936300)</f>
        <v>936300</v>
      </c>
      <c r="I2443" s="1"/>
    </row>
    <row r="2444" spans="1:9">
      <c r="A2444" s="3">
        <f ca="1">IFERROR(__xludf.DUMMYFUNCTION("""COMPUTED_VALUE"""),32749.6666666666)</f>
        <v>32749.666666666599</v>
      </c>
      <c r="B2444" s="1">
        <f ca="1">IFERROR(__xludf.DUMMYFUNCTION("""COMPUTED_VALUE"""),6.34)</f>
        <v>6.34</v>
      </c>
      <c r="C2444" s="1">
        <f ca="1">IFERROR(__xludf.DUMMYFUNCTION("""COMPUTED_VALUE"""),6.42)</f>
        <v>6.42</v>
      </c>
      <c r="D2444" s="1">
        <f ca="1">IFERROR(__xludf.DUMMYFUNCTION("""COMPUTED_VALUE"""),6.31)</f>
        <v>6.31</v>
      </c>
      <c r="E2444" s="1">
        <f ca="1">IFERROR(__xludf.DUMMYFUNCTION("""COMPUTED_VALUE"""),6.34)</f>
        <v>6.34</v>
      </c>
      <c r="F2444" s="1">
        <f ca="1">IFERROR(__xludf.DUMMYFUNCTION("""COMPUTED_VALUE"""),610400)</f>
        <v>610400</v>
      </c>
      <c r="I2444" s="1"/>
    </row>
    <row r="2445" spans="1:9">
      <c r="A2445" s="3">
        <f ca="1">IFERROR(__xludf.DUMMYFUNCTION("""COMPUTED_VALUE"""),32750.6666666666)</f>
        <v>32750.666666666599</v>
      </c>
      <c r="B2445" s="1">
        <f ca="1">IFERROR(__xludf.DUMMYFUNCTION("""COMPUTED_VALUE"""),6.42)</f>
        <v>6.42</v>
      </c>
      <c r="C2445" s="1">
        <f ca="1">IFERROR(__xludf.DUMMYFUNCTION("""COMPUTED_VALUE"""),6.44)</f>
        <v>6.44</v>
      </c>
      <c r="D2445" s="1">
        <f ca="1">IFERROR(__xludf.DUMMYFUNCTION("""COMPUTED_VALUE"""),6.33)</f>
        <v>6.33</v>
      </c>
      <c r="E2445" s="1">
        <f ca="1">IFERROR(__xludf.DUMMYFUNCTION("""COMPUTED_VALUE"""),6.42)</f>
        <v>6.42</v>
      </c>
      <c r="F2445" s="1">
        <f ca="1">IFERROR(__xludf.DUMMYFUNCTION("""COMPUTED_VALUE"""),903600)</f>
        <v>903600</v>
      </c>
      <c r="I2445" s="1"/>
    </row>
    <row r="2446" spans="1:9">
      <c r="A2446" s="3">
        <f ca="1">IFERROR(__xludf.DUMMYFUNCTION("""COMPUTED_VALUE"""),32751.6666666666)</f>
        <v>32751.666666666599</v>
      </c>
      <c r="B2446" s="1">
        <f ca="1">IFERROR(__xludf.DUMMYFUNCTION("""COMPUTED_VALUE"""),6.55)</f>
        <v>6.55</v>
      </c>
      <c r="C2446" s="1">
        <f ca="1">IFERROR(__xludf.DUMMYFUNCTION("""COMPUTED_VALUE"""),6.56)</f>
        <v>6.56</v>
      </c>
      <c r="D2446" s="1">
        <f ca="1">IFERROR(__xludf.DUMMYFUNCTION("""COMPUTED_VALUE"""),6.45)</f>
        <v>6.45</v>
      </c>
      <c r="E2446" s="1">
        <f ca="1">IFERROR(__xludf.DUMMYFUNCTION("""COMPUTED_VALUE"""),6.55)</f>
        <v>6.55</v>
      </c>
      <c r="F2446" s="1">
        <f ca="1">IFERROR(__xludf.DUMMYFUNCTION("""COMPUTED_VALUE"""),1172100)</f>
        <v>1172100</v>
      </c>
      <c r="I2446" s="1"/>
    </row>
    <row r="2447" spans="1:9">
      <c r="A2447" s="3">
        <f ca="1">IFERROR(__xludf.DUMMYFUNCTION("""COMPUTED_VALUE"""),32752.6666666666)</f>
        <v>32752.666666666599</v>
      </c>
      <c r="B2447" s="1">
        <f ca="1">IFERROR(__xludf.DUMMYFUNCTION("""COMPUTED_VALUE"""),6.69)</f>
        <v>6.69</v>
      </c>
      <c r="C2447" s="1">
        <f ca="1">IFERROR(__xludf.DUMMYFUNCTION("""COMPUTED_VALUE"""),6.72)</f>
        <v>6.72</v>
      </c>
      <c r="D2447" s="1">
        <f ca="1">IFERROR(__xludf.DUMMYFUNCTION("""COMPUTED_VALUE"""),6.58)</f>
        <v>6.58</v>
      </c>
      <c r="E2447" s="1">
        <f ca="1">IFERROR(__xludf.DUMMYFUNCTION("""COMPUTED_VALUE"""),6.69)</f>
        <v>6.69</v>
      </c>
      <c r="F2447" s="1">
        <f ca="1">IFERROR(__xludf.DUMMYFUNCTION("""COMPUTED_VALUE"""),1340600)</f>
        <v>1340600</v>
      </c>
      <c r="I2447" s="1"/>
    </row>
    <row r="2448" spans="1:9">
      <c r="A2448" s="3">
        <f ca="1">IFERROR(__xludf.DUMMYFUNCTION("""COMPUTED_VALUE"""),32756.6666666666)</f>
        <v>32756.666666666599</v>
      </c>
      <c r="B2448" s="1">
        <f ca="1">IFERROR(__xludf.DUMMYFUNCTION("""COMPUTED_VALUE"""),6.64)</f>
        <v>6.64</v>
      </c>
      <c r="C2448" s="1">
        <f ca="1">IFERROR(__xludf.DUMMYFUNCTION("""COMPUTED_VALUE"""),6.81)</f>
        <v>6.81</v>
      </c>
      <c r="D2448" s="1">
        <f ca="1">IFERROR(__xludf.DUMMYFUNCTION("""COMPUTED_VALUE"""),6.61)</f>
        <v>6.61</v>
      </c>
      <c r="E2448" s="1">
        <f ca="1">IFERROR(__xludf.DUMMYFUNCTION("""COMPUTED_VALUE"""),6.64)</f>
        <v>6.64</v>
      </c>
      <c r="F2448" s="1">
        <f ca="1">IFERROR(__xludf.DUMMYFUNCTION("""COMPUTED_VALUE"""),974400)</f>
        <v>974400</v>
      </c>
      <c r="I2448" s="1"/>
    </row>
    <row r="2449" spans="1:9">
      <c r="A2449" s="3">
        <f ca="1">IFERROR(__xludf.DUMMYFUNCTION("""COMPUTED_VALUE"""),32757.6666666666)</f>
        <v>32757.666666666599</v>
      </c>
      <c r="B2449" s="1">
        <f ca="1">IFERROR(__xludf.DUMMYFUNCTION("""COMPUTED_VALUE"""),6.59)</f>
        <v>6.59</v>
      </c>
      <c r="C2449" s="1">
        <f ca="1">IFERROR(__xludf.DUMMYFUNCTION("""COMPUTED_VALUE"""),6.63)</f>
        <v>6.63</v>
      </c>
      <c r="D2449" s="1">
        <f ca="1">IFERROR(__xludf.DUMMYFUNCTION("""COMPUTED_VALUE"""),6.48)</f>
        <v>6.48</v>
      </c>
      <c r="E2449" s="1">
        <f ca="1">IFERROR(__xludf.DUMMYFUNCTION("""COMPUTED_VALUE"""),6.59)</f>
        <v>6.59</v>
      </c>
      <c r="F2449" s="1">
        <f ca="1">IFERROR(__xludf.DUMMYFUNCTION("""COMPUTED_VALUE"""),602100)</f>
        <v>602100</v>
      </c>
      <c r="I2449" s="1"/>
    </row>
    <row r="2450" spans="1:9">
      <c r="A2450" s="3">
        <f ca="1">IFERROR(__xludf.DUMMYFUNCTION("""COMPUTED_VALUE"""),32758.6666666666)</f>
        <v>32758.666666666599</v>
      </c>
      <c r="B2450" s="1">
        <f ca="1">IFERROR(__xludf.DUMMYFUNCTION("""COMPUTED_VALUE"""),6.52)</f>
        <v>6.52</v>
      </c>
      <c r="C2450" s="1">
        <f ca="1">IFERROR(__xludf.DUMMYFUNCTION("""COMPUTED_VALUE"""),6.63)</f>
        <v>6.63</v>
      </c>
      <c r="D2450" s="1">
        <f ca="1">IFERROR(__xludf.DUMMYFUNCTION("""COMPUTED_VALUE"""),6.45)</f>
        <v>6.45</v>
      </c>
      <c r="E2450" s="1">
        <f ca="1">IFERROR(__xludf.DUMMYFUNCTION("""COMPUTED_VALUE"""),6.52)</f>
        <v>6.52</v>
      </c>
      <c r="F2450" s="1">
        <f ca="1">IFERROR(__xludf.DUMMYFUNCTION("""COMPUTED_VALUE"""),458600)</f>
        <v>458600</v>
      </c>
      <c r="I2450" s="1"/>
    </row>
    <row r="2451" spans="1:9">
      <c r="A2451" s="3">
        <f ca="1">IFERROR(__xludf.DUMMYFUNCTION("""COMPUTED_VALUE"""),32759.6666666666)</f>
        <v>32759.666666666599</v>
      </c>
      <c r="B2451" s="1">
        <f ca="1">IFERROR(__xludf.DUMMYFUNCTION("""COMPUTED_VALUE"""),6.5)</f>
        <v>6.5</v>
      </c>
      <c r="C2451" s="1">
        <f ca="1">IFERROR(__xludf.DUMMYFUNCTION("""COMPUTED_VALUE"""),6.55)</f>
        <v>6.55</v>
      </c>
      <c r="D2451" s="1">
        <f ca="1">IFERROR(__xludf.DUMMYFUNCTION("""COMPUTED_VALUE"""),6.31)</f>
        <v>6.31</v>
      </c>
      <c r="E2451" s="1">
        <f ca="1">IFERROR(__xludf.DUMMYFUNCTION("""COMPUTED_VALUE"""),6.5)</f>
        <v>6.5</v>
      </c>
      <c r="F2451" s="1">
        <f ca="1">IFERROR(__xludf.DUMMYFUNCTION("""COMPUTED_VALUE"""),533700)</f>
        <v>533700</v>
      </c>
      <c r="I2451" s="1"/>
    </row>
    <row r="2452" spans="1:9">
      <c r="A2452" s="3">
        <f ca="1">IFERROR(__xludf.DUMMYFUNCTION("""COMPUTED_VALUE"""),32762.6666666666)</f>
        <v>32762.666666666599</v>
      </c>
      <c r="B2452" s="1">
        <f ca="1">IFERROR(__xludf.DUMMYFUNCTION("""COMPUTED_VALUE"""),6.41)</f>
        <v>6.41</v>
      </c>
      <c r="C2452" s="1">
        <f ca="1">IFERROR(__xludf.DUMMYFUNCTION("""COMPUTED_VALUE"""),6.47)</f>
        <v>6.47</v>
      </c>
      <c r="D2452" s="1">
        <f ca="1">IFERROR(__xludf.DUMMYFUNCTION("""COMPUTED_VALUE"""),6.38)</f>
        <v>6.38</v>
      </c>
      <c r="E2452" s="1">
        <f ca="1">IFERROR(__xludf.DUMMYFUNCTION("""COMPUTED_VALUE"""),6.41)</f>
        <v>6.41</v>
      </c>
      <c r="F2452" s="1">
        <f ca="1">IFERROR(__xludf.DUMMYFUNCTION("""COMPUTED_VALUE"""),450700)</f>
        <v>450700</v>
      </c>
      <c r="I2452" s="1"/>
    </row>
    <row r="2453" spans="1:9">
      <c r="A2453" s="3">
        <f ca="1">IFERROR(__xludf.DUMMYFUNCTION("""COMPUTED_VALUE"""),32763.6666666666)</f>
        <v>32763.666666666599</v>
      </c>
      <c r="B2453" s="1">
        <f ca="1">IFERROR(__xludf.DUMMYFUNCTION("""COMPUTED_VALUE"""),6.38)</f>
        <v>6.38</v>
      </c>
      <c r="C2453" s="1">
        <f ca="1">IFERROR(__xludf.DUMMYFUNCTION("""COMPUTED_VALUE"""),6.48)</f>
        <v>6.48</v>
      </c>
      <c r="D2453" s="1">
        <f ca="1">IFERROR(__xludf.DUMMYFUNCTION("""COMPUTED_VALUE"""),6.36)</f>
        <v>6.36</v>
      </c>
      <c r="E2453" s="1">
        <f ca="1">IFERROR(__xludf.DUMMYFUNCTION("""COMPUTED_VALUE"""),6.38)</f>
        <v>6.38</v>
      </c>
      <c r="F2453" s="1">
        <f ca="1">IFERROR(__xludf.DUMMYFUNCTION("""COMPUTED_VALUE"""),483100)</f>
        <v>483100</v>
      </c>
      <c r="I2453" s="1"/>
    </row>
    <row r="2454" spans="1:9">
      <c r="A2454" s="3">
        <f ca="1">IFERROR(__xludf.DUMMYFUNCTION("""COMPUTED_VALUE"""),32764.6666666666)</f>
        <v>32764.666666666599</v>
      </c>
      <c r="B2454" s="1">
        <f ca="1">IFERROR(__xludf.DUMMYFUNCTION("""COMPUTED_VALUE"""),6.33)</f>
        <v>6.33</v>
      </c>
      <c r="C2454" s="1">
        <f ca="1">IFERROR(__xludf.DUMMYFUNCTION("""COMPUTED_VALUE"""),6.45)</f>
        <v>6.45</v>
      </c>
      <c r="D2454" s="1">
        <f ca="1">IFERROR(__xludf.DUMMYFUNCTION("""COMPUTED_VALUE"""),6.28)</f>
        <v>6.28</v>
      </c>
      <c r="E2454" s="1">
        <f ca="1">IFERROR(__xludf.DUMMYFUNCTION("""COMPUTED_VALUE"""),6.33)</f>
        <v>6.33</v>
      </c>
      <c r="F2454" s="1">
        <f ca="1">IFERROR(__xludf.DUMMYFUNCTION("""COMPUTED_VALUE"""),523900)</f>
        <v>523900</v>
      </c>
      <c r="I2454" s="1"/>
    </row>
    <row r="2455" spans="1:9">
      <c r="A2455" s="3">
        <f ca="1">IFERROR(__xludf.DUMMYFUNCTION("""COMPUTED_VALUE"""),32765.6666666666)</f>
        <v>32765.666666666599</v>
      </c>
      <c r="B2455" s="1">
        <f ca="1">IFERROR(__xludf.DUMMYFUNCTION("""COMPUTED_VALUE"""),6.33)</f>
        <v>6.33</v>
      </c>
      <c r="C2455" s="1">
        <f ca="1">IFERROR(__xludf.DUMMYFUNCTION("""COMPUTED_VALUE"""),6.41)</f>
        <v>6.41</v>
      </c>
      <c r="D2455" s="1">
        <f ca="1">IFERROR(__xludf.DUMMYFUNCTION("""COMPUTED_VALUE"""),6.31)</f>
        <v>6.31</v>
      </c>
      <c r="E2455" s="1">
        <f ca="1">IFERROR(__xludf.DUMMYFUNCTION("""COMPUTED_VALUE"""),6.33)</f>
        <v>6.33</v>
      </c>
      <c r="F2455" s="1">
        <f ca="1">IFERROR(__xludf.DUMMYFUNCTION("""COMPUTED_VALUE"""),469900)</f>
        <v>469900</v>
      </c>
      <c r="I2455" s="1"/>
    </row>
    <row r="2456" spans="1:9">
      <c r="A2456" s="3">
        <f ca="1">IFERROR(__xludf.DUMMYFUNCTION("""COMPUTED_VALUE"""),32766.6666666666)</f>
        <v>32766.666666666599</v>
      </c>
      <c r="B2456" s="1">
        <f ca="1">IFERROR(__xludf.DUMMYFUNCTION("""COMPUTED_VALUE"""),6.33)</f>
        <v>6.33</v>
      </c>
      <c r="C2456" s="1">
        <f ca="1">IFERROR(__xludf.DUMMYFUNCTION("""COMPUTED_VALUE"""),6.38)</f>
        <v>6.38</v>
      </c>
      <c r="D2456" s="1">
        <f ca="1">IFERROR(__xludf.DUMMYFUNCTION("""COMPUTED_VALUE"""),6.25)</f>
        <v>6.25</v>
      </c>
      <c r="E2456" s="1">
        <f ca="1">IFERROR(__xludf.DUMMYFUNCTION("""COMPUTED_VALUE"""),6.33)</f>
        <v>6.33</v>
      </c>
      <c r="F2456" s="1">
        <f ca="1">IFERROR(__xludf.DUMMYFUNCTION("""COMPUTED_VALUE"""),1360600)</f>
        <v>1360600</v>
      </c>
      <c r="I2456" s="1"/>
    </row>
    <row r="2457" spans="1:9">
      <c r="A2457" s="3">
        <f ca="1">IFERROR(__xludf.DUMMYFUNCTION("""COMPUTED_VALUE"""),32769.6666666666)</f>
        <v>32769.666666666599</v>
      </c>
      <c r="B2457" s="1">
        <f ca="1">IFERROR(__xludf.DUMMYFUNCTION("""COMPUTED_VALUE"""),6.56)</f>
        <v>6.56</v>
      </c>
      <c r="C2457" s="1">
        <f ca="1">IFERROR(__xludf.DUMMYFUNCTION("""COMPUTED_VALUE"""),6.56)</f>
        <v>6.56</v>
      </c>
      <c r="D2457" s="1">
        <f ca="1">IFERROR(__xludf.DUMMYFUNCTION("""COMPUTED_VALUE"""),6.34)</f>
        <v>6.34</v>
      </c>
      <c r="E2457" s="1">
        <f ca="1">IFERROR(__xludf.DUMMYFUNCTION("""COMPUTED_VALUE"""),6.56)</f>
        <v>6.56</v>
      </c>
      <c r="F2457" s="1">
        <f ca="1">IFERROR(__xludf.DUMMYFUNCTION("""COMPUTED_VALUE"""),509500)</f>
        <v>509500</v>
      </c>
      <c r="I2457" s="1"/>
    </row>
    <row r="2458" spans="1:9">
      <c r="A2458" s="3">
        <f ca="1">IFERROR(__xludf.DUMMYFUNCTION("""COMPUTED_VALUE"""),32770.6666666666)</f>
        <v>32770.666666666599</v>
      </c>
      <c r="B2458" s="1">
        <f ca="1">IFERROR(__xludf.DUMMYFUNCTION("""COMPUTED_VALUE"""),6.53)</f>
        <v>6.53</v>
      </c>
      <c r="C2458" s="1">
        <f ca="1">IFERROR(__xludf.DUMMYFUNCTION("""COMPUTED_VALUE"""),6.59)</f>
        <v>6.59</v>
      </c>
      <c r="D2458" s="1">
        <f ca="1">IFERROR(__xludf.DUMMYFUNCTION("""COMPUTED_VALUE"""),6.5)</f>
        <v>6.5</v>
      </c>
      <c r="E2458" s="1">
        <f ca="1">IFERROR(__xludf.DUMMYFUNCTION("""COMPUTED_VALUE"""),6.53)</f>
        <v>6.53</v>
      </c>
      <c r="F2458" s="1">
        <f ca="1">IFERROR(__xludf.DUMMYFUNCTION("""COMPUTED_VALUE"""),414300)</f>
        <v>414300</v>
      </c>
      <c r="I2458" s="1"/>
    </row>
    <row r="2459" spans="1:9">
      <c r="A2459" s="3">
        <f ca="1">IFERROR(__xludf.DUMMYFUNCTION("""COMPUTED_VALUE"""),32771.6666666666)</f>
        <v>32771.666666666599</v>
      </c>
      <c r="B2459" s="1">
        <f ca="1">IFERROR(__xludf.DUMMYFUNCTION("""COMPUTED_VALUE"""),6.59)</f>
        <v>6.59</v>
      </c>
      <c r="C2459" s="1">
        <f ca="1">IFERROR(__xludf.DUMMYFUNCTION("""COMPUTED_VALUE"""),6.61)</f>
        <v>6.61</v>
      </c>
      <c r="D2459" s="1">
        <f ca="1">IFERROR(__xludf.DUMMYFUNCTION("""COMPUTED_VALUE"""),6.48)</f>
        <v>6.48</v>
      </c>
      <c r="E2459" s="1">
        <f ca="1">IFERROR(__xludf.DUMMYFUNCTION("""COMPUTED_VALUE"""),6.59)</f>
        <v>6.59</v>
      </c>
      <c r="F2459" s="1">
        <f ca="1">IFERROR(__xludf.DUMMYFUNCTION("""COMPUTED_VALUE"""),640700)</f>
        <v>640700</v>
      </c>
      <c r="I2459" s="1"/>
    </row>
    <row r="2460" spans="1:9">
      <c r="A2460" s="3">
        <f ca="1">IFERROR(__xludf.DUMMYFUNCTION("""COMPUTED_VALUE"""),32772.6666666666)</f>
        <v>32772.666666666599</v>
      </c>
      <c r="B2460" s="1">
        <f ca="1">IFERROR(__xludf.DUMMYFUNCTION("""COMPUTED_VALUE"""),6.52)</f>
        <v>6.52</v>
      </c>
      <c r="C2460" s="1">
        <f ca="1">IFERROR(__xludf.DUMMYFUNCTION("""COMPUTED_VALUE"""),6.63)</f>
        <v>6.63</v>
      </c>
      <c r="D2460" s="1">
        <f ca="1">IFERROR(__xludf.DUMMYFUNCTION("""COMPUTED_VALUE"""),6.45)</f>
        <v>6.45</v>
      </c>
      <c r="E2460" s="1">
        <f ca="1">IFERROR(__xludf.DUMMYFUNCTION("""COMPUTED_VALUE"""),6.52)</f>
        <v>6.52</v>
      </c>
      <c r="F2460" s="1">
        <f ca="1">IFERROR(__xludf.DUMMYFUNCTION("""COMPUTED_VALUE"""),438900)</f>
        <v>438900</v>
      </c>
      <c r="I2460" s="1"/>
    </row>
    <row r="2461" spans="1:9">
      <c r="A2461" s="3">
        <f ca="1">IFERROR(__xludf.DUMMYFUNCTION("""COMPUTED_VALUE"""),32773.6666666666)</f>
        <v>32773.666666666599</v>
      </c>
      <c r="B2461" s="1">
        <f ca="1">IFERROR(__xludf.DUMMYFUNCTION("""COMPUTED_VALUE"""),6.52)</f>
        <v>6.52</v>
      </c>
      <c r="C2461" s="1">
        <f ca="1">IFERROR(__xludf.DUMMYFUNCTION("""COMPUTED_VALUE"""),6.56)</f>
        <v>6.56</v>
      </c>
      <c r="D2461" s="1">
        <f ca="1">IFERROR(__xludf.DUMMYFUNCTION("""COMPUTED_VALUE"""),6.48)</f>
        <v>6.48</v>
      </c>
      <c r="E2461" s="1">
        <f ca="1">IFERROR(__xludf.DUMMYFUNCTION("""COMPUTED_VALUE"""),6.52)</f>
        <v>6.52</v>
      </c>
      <c r="F2461" s="1">
        <f ca="1">IFERROR(__xludf.DUMMYFUNCTION("""COMPUTED_VALUE"""),547300)</f>
        <v>547300</v>
      </c>
      <c r="I2461" s="1"/>
    </row>
    <row r="2462" spans="1:9">
      <c r="A2462" s="3">
        <f ca="1">IFERROR(__xludf.DUMMYFUNCTION("""COMPUTED_VALUE"""),32776.6666666666)</f>
        <v>32776.666666666599</v>
      </c>
      <c r="B2462" s="1">
        <f ca="1">IFERROR(__xludf.DUMMYFUNCTION("""COMPUTED_VALUE"""),6.53)</f>
        <v>6.53</v>
      </c>
      <c r="C2462" s="1">
        <f ca="1">IFERROR(__xludf.DUMMYFUNCTION("""COMPUTED_VALUE"""),6.59)</f>
        <v>6.59</v>
      </c>
      <c r="D2462" s="1">
        <f ca="1">IFERROR(__xludf.DUMMYFUNCTION("""COMPUTED_VALUE"""),6.5)</f>
        <v>6.5</v>
      </c>
      <c r="E2462" s="1">
        <f ca="1">IFERROR(__xludf.DUMMYFUNCTION("""COMPUTED_VALUE"""),6.53)</f>
        <v>6.53</v>
      </c>
      <c r="F2462" s="1">
        <f ca="1">IFERROR(__xludf.DUMMYFUNCTION("""COMPUTED_VALUE"""),488100)</f>
        <v>488100</v>
      </c>
      <c r="I2462" s="1"/>
    </row>
    <row r="2463" spans="1:9">
      <c r="A2463" s="3">
        <f ca="1">IFERROR(__xludf.DUMMYFUNCTION("""COMPUTED_VALUE"""),32777.6666666666)</f>
        <v>32777.666666666599</v>
      </c>
      <c r="B2463" s="1">
        <f ca="1">IFERROR(__xludf.DUMMYFUNCTION("""COMPUTED_VALUE"""),6.53)</f>
        <v>6.53</v>
      </c>
      <c r="C2463" s="1">
        <f ca="1">IFERROR(__xludf.DUMMYFUNCTION("""COMPUTED_VALUE"""),6.59)</f>
        <v>6.59</v>
      </c>
      <c r="D2463" s="1">
        <f ca="1">IFERROR(__xludf.DUMMYFUNCTION("""COMPUTED_VALUE"""),6.5)</f>
        <v>6.5</v>
      </c>
      <c r="E2463" s="1">
        <f ca="1">IFERROR(__xludf.DUMMYFUNCTION("""COMPUTED_VALUE"""),6.53)</f>
        <v>6.53</v>
      </c>
      <c r="F2463" s="1">
        <f ca="1">IFERROR(__xludf.DUMMYFUNCTION("""COMPUTED_VALUE"""),497400)</f>
        <v>497400</v>
      </c>
      <c r="I2463" s="1"/>
    </row>
    <row r="2464" spans="1:9">
      <c r="A2464" s="3">
        <f ca="1">IFERROR(__xludf.DUMMYFUNCTION("""COMPUTED_VALUE"""),32778.6666666666)</f>
        <v>32778.666666666599</v>
      </c>
      <c r="B2464" s="1">
        <f ca="1">IFERROR(__xludf.DUMMYFUNCTION("""COMPUTED_VALUE"""),6.63)</f>
        <v>6.63</v>
      </c>
      <c r="C2464" s="1">
        <f ca="1">IFERROR(__xludf.DUMMYFUNCTION("""COMPUTED_VALUE"""),6.64)</f>
        <v>6.64</v>
      </c>
      <c r="D2464" s="1">
        <f ca="1">IFERROR(__xludf.DUMMYFUNCTION("""COMPUTED_VALUE"""),6.48)</f>
        <v>6.48</v>
      </c>
      <c r="E2464" s="1">
        <f ca="1">IFERROR(__xludf.DUMMYFUNCTION("""COMPUTED_VALUE"""),6.63)</f>
        <v>6.63</v>
      </c>
      <c r="F2464" s="1">
        <f ca="1">IFERROR(__xludf.DUMMYFUNCTION("""COMPUTED_VALUE"""),690900)</f>
        <v>690900</v>
      </c>
      <c r="I2464" s="1"/>
    </row>
    <row r="2465" spans="1:9">
      <c r="A2465" s="3">
        <f ca="1">IFERROR(__xludf.DUMMYFUNCTION("""COMPUTED_VALUE"""),32779.6666666666)</f>
        <v>32779.666666666599</v>
      </c>
      <c r="B2465" s="1">
        <f ca="1">IFERROR(__xludf.DUMMYFUNCTION("""COMPUTED_VALUE"""),6.75)</f>
        <v>6.75</v>
      </c>
      <c r="C2465" s="1">
        <f ca="1">IFERROR(__xludf.DUMMYFUNCTION("""COMPUTED_VALUE"""),6.75)</f>
        <v>6.75</v>
      </c>
      <c r="D2465" s="1">
        <f ca="1">IFERROR(__xludf.DUMMYFUNCTION("""COMPUTED_VALUE"""),6.66)</f>
        <v>6.66</v>
      </c>
      <c r="E2465" s="1">
        <f ca="1">IFERROR(__xludf.DUMMYFUNCTION("""COMPUTED_VALUE"""),6.75)</f>
        <v>6.75</v>
      </c>
      <c r="F2465" s="1">
        <f ca="1">IFERROR(__xludf.DUMMYFUNCTION("""COMPUTED_VALUE"""),791900)</f>
        <v>791900</v>
      </c>
      <c r="I2465" s="1"/>
    </row>
    <row r="2466" spans="1:9">
      <c r="A2466" s="3">
        <f ca="1">IFERROR(__xludf.DUMMYFUNCTION("""COMPUTED_VALUE"""),32780.6666666666)</f>
        <v>32780.666666666599</v>
      </c>
      <c r="B2466" s="1">
        <f ca="1">IFERROR(__xludf.DUMMYFUNCTION("""COMPUTED_VALUE"""),6.84)</f>
        <v>6.84</v>
      </c>
      <c r="C2466" s="1">
        <f ca="1">IFERROR(__xludf.DUMMYFUNCTION("""COMPUTED_VALUE"""),6.86)</f>
        <v>6.86</v>
      </c>
      <c r="D2466" s="1">
        <f ca="1">IFERROR(__xludf.DUMMYFUNCTION("""COMPUTED_VALUE"""),6.73)</f>
        <v>6.73</v>
      </c>
      <c r="E2466" s="1">
        <f ca="1">IFERROR(__xludf.DUMMYFUNCTION("""COMPUTED_VALUE"""),6.84)</f>
        <v>6.84</v>
      </c>
      <c r="F2466" s="1">
        <f ca="1">IFERROR(__xludf.DUMMYFUNCTION("""COMPUTED_VALUE"""),1054300)</f>
        <v>1054300</v>
      </c>
      <c r="I2466" s="1"/>
    </row>
    <row r="2467" spans="1:9">
      <c r="A2467" s="3">
        <f ca="1">IFERROR(__xludf.DUMMYFUNCTION("""COMPUTED_VALUE"""),32783.6666666666)</f>
        <v>32783.666666666599</v>
      </c>
      <c r="B2467" s="1">
        <f ca="1">IFERROR(__xludf.DUMMYFUNCTION("""COMPUTED_VALUE"""),6.84)</f>
        <v>6.84</v>
      </c>
      <c r="C2467" s="1">
        <f ca="1">IFERROR(__xludf.DUMMYFUNCTION("""COMPUTED_VALUE"""),6.88)</f>
        <v>6.88</v>
      </c>
      <c r="D2467" s="1">
        <f ca="1">IFERROR(__xludf.DUMMYFUNCTION("""COMPUTED_VALUE"""),6.75)</f>
        <v>6.75</v>
      </c>
      <c r="E2467" s="1">
        <f ca="1">IFERROR(__xludf.DUMMYFUNCTION("""COMPUTED_VALUE"""),6.84)</f>
        <v>6.84</v>
      </c>
      <c r="F2467" s="1">
        <f ca="1">IFERROR(__xludf.DUMMYFUNCTION("""COMPUTED_VALUE"""),607000)</f>
        <v>607000</v>
      </c>
      <c r="I2467" s="1"/>
    </row>
    <row r="2468" spans="1:9">
      <c r="A2468" s="3">
        <f ca="1">IFERROR(__xludf.DUMMYFUNCTION("""COMPUTED_VALUE"""),32784.6666666666)</f>
        <v>32784.666666666599</v>
      </c>
      <c r="B2468" s="1">
        <f ca="1">IFERROR(__xludf.DUMMYFUNCTION("""COMPUTED_VALUE"""),6.88)</f>
        <v>6.88</v>
      </c>
      <c r="C2468" s="1">
        <f ca="1">IFERROR(__xludf.DUMMYFUNCTION("""COMPUTED_VALUE"""),6.92)</f>
        <v>6.92</v>
      </c>
      <c r="D2468" s="1">
        <f ca="1">IFERROR(__xludf.DUMMYFUNCTION("""COMPUTED_VALUE"""),6.8)</f>
        <v>6.8</v>
      </c>
      <c r="E2468" s="1">
        <f ca="1">IFERROR(__xludf.DUMMYFUNCTION("""COMPUTED_VALUE"""),6.88)</f>
        <v>6.88</v>
      </c>
      <c r="F2468" s="1">
        <f ca="1">IFERROR(__xludf.DUMMYFUNCTION("""COMPUTED_VALUE"""),958100)</f>
        <v>958100</v>
      </c>
      <c r="I2468" s="1"/>
    </row>
    <row r="2469" spans="1:9">
      <c r="A2469" s="3">
        <f ca="1">IFERROR(__xludf.DUMMYFUNCTION("""COMPUTED_VALUE"""),32785.6666666666)</f>
        <v>32785.666666666599</v>
      </c>
      <c r="B2469" s="1">
        <f ca="1">IFERROR(__xludf.DUMMYFUNCTION("""COMPUTED_VALUE"""),6.97)</f>
        <v>6.97</v>
      </c>
      <c r="C2469" s="1">
        <f ca="1">IFERROR(__xludf.DUMMYFUNCTION("""COMPUTED_VALUE"""),7)</f>
        <v>7</v>
      </c>
      <c r="D2469" s="1">
        <f ca="1">IFERROR(__xludf.DUMMYFUNCTION("""COMPUTED_VALUE"""),6.84)</f>
        <v>6.84</v>
      </c>
      <c r="E2469" s="1">
        <f ca="1">IFERROR(__xludf.DUMMYFUNCTION("""COMPUTED_VALUE"""),6.97)</f>
        <v>6.97</v>
      </c>
      <c r="F2469" s="1">
        <f ca="1">IFERROR(__xludf.DUMMYFUNCTION("""COMPUTED_VALUE"""),1195000)</f>
        <v>1195000</v>
      </c>
      <c r="I2469" s="1"/>
    </row>
    <row r="2470" spans="1:9">
      <c r="A2470" s="3">
        <f ca="1">IFERROR(__xludf.DUMMYFUNCTION("""COMPUTED_VALUE"""),32786.6666666666)</f>
        <v>32786.666666666599</v>
      </c>
      <c r="B2470" s="1">
        <f ca="1">IFERROR(__xludf.DUMMYFUNCTION("""COMPUTED_VALUE"""),6.92)</f>
        <v>6.92</v>
      </c>
      <c r="C2470" s="1">
        <f ca="1">IFERROR(__xludf.DUMMYFUNCTION("""COMPUTED_VALUE"""),7.06)</f>
        <v>7.06</v>
      </c>
      <c r="D2470" s="1">
        <f ca="1">IFERROR(__xludf.DUMMYFUNCTION("""COMPUTED_VALUE"""),6.89)</f>
        <v>6.89</v>
      </c>
      <c r="E2470" s="1">
        <f ca="1">IFERROR(__xludf.DUMMYFUNCTION("""COMPUTED_VALUE"""),6.92)</f>
        <v>6.92</v>
      </c>
      <c r="F2470" s="1">
        <f ca="1">IFERROR(__xludf.DUMMYFUNCTION("""COMPUTED_VALUE"""),912300)</f>
        <v>912300</v>
      </c>
      <c r="I2470" s="1"/>
    </row>
    <row r="2471" spans="1:9">
      <c r="A2471" s="3">
        <f ca="1">IFERROR(__xludf.DUMMYFUNCTION("""COMPUTED_VALUE"""),32787.6666666666)</f>
        <v>32787.666666666599</v>
      </c>
      <c r="B2471" s="1">
        <f ca="1">IFERROR(__xludf.DUMMYFUNCTION("""COMPUTED_VALUE"""),7)</f>
        <v>7</v>
      </c>
      <c r="C2471" s="1">
        <f ca="1">IFERROR(__xludf.DUMMYFUNCTION("""COMPUTED_VALUE"""),7.03)</f>
        <v>7.03</v>
      </c>
      <c r="D2471" s="1">
        <f ca="1">IFERROR(__xludf.DUMMYFUNCTION("""COMPUTED_VALUE"""),6.95)</f>
        <v>6.95</v>
      </c>
      <c r="E2471" s="1">
        <f ca="1">IFERROR(__xludf.DUMMYFUNCTION("""COMPUTED_VALUE"""),7)</f>
        <v>7</v>
      </c>
      <c r="F2471" s="1">
        <f ca="1">IFERROR(__xludf.DUMMYFUNCTION("""COMPUTED_VALUE"""),765600)</f>
        <v>765600</v>
      </c>
      <c r="I2471" s="1"/>
    </row>
    <row r="2472" spans="1:9">
      <c r="A2472" s="3">
        <f ca="1">IFERROR(__xludf.DUMMYFUNCTION("""COMPUTED_VALUE"""),32790.6666666666)</f>
        <v>32790.666666666599</v>
      </c>
      <c r="B2472" s="1">
        <f ca="1">IFERROR(__xludf.DUMMYFUNCTION("""COMPUTED_VALUE"""),7.03)</f>
        <v>7.03</v>
      </c>
      <c r="C2472" s="1">
        <f ca="1">IFERROR(__xludf.DUMMYFUNCTION("""COMPUTED_VALUE"""),7.03)</f>
        <v>7.03</v>
      </c>
      <c r="D2472" s="1">
        <f ca="1">IFERROR(__xludf.DUMMYFUNCTION("""COMPUTED_VALUE"""),6.97)</f>
        <v>6.97</v>
      </c>
      <c r="E2472" s="1">
        <f ca="1">IFERROR(__xludf.DUMMYFUNCTION("""COMPUTED_VALUE"""),7.03)</f>
        <v>7.03</v>
      </c>
      <c r="F2472" s="1">
        <f ca="1">IFERROR(__xludf.DUMMYFUNCTION("""COMPUTED_VALUE"""),296400)</f>
        <v>296400</v>
      </c>
      <c r="I2472" s="1"/>
    </row>
    <row r="2473" spans="1:9">
      <c r="A2473" s="3">
        <f ca="1">IFERROR(__xludf.DUMMYFUNCTION("""COMPUTED_VALUE"""),32791.6666666666)</f>
        <v>32791.666666666599</v>
      </c>
      <c r="B2473" s="1">
        <f ca="1">IFERROR(__xludf.DUMMYFUNCTION("""COMPUTED_VALUE"""),7.03)</f>
        <v>7.03</v>
      </c>
      <c r="C2473" s="1">
        <f ca="1">IFERROR(__xludf.DUMMYFUNCTION("""COMPUTED_VALUE"""),7.08)</f>
        <v>7.08</v>
      </c>
      <c r="D2473" s="1">
        <f ca="1">IFERROR(__xludf.DUMMYFUNCTION("""COMPUTED_VALUE"""),6.97)</f>
        <v>6.97</v>
      </c>
      <c r="E2473" s="1">
        <f ca="1">IFERROR(__xludf.DUMMYFUNCTION("""COMPUTED_VALUE"""),7.03)</f>
        <v>7.03</v>
      </c>
      <c r="F2473" s="1">
        <f ca="1">IFERROR(__xludf.DUMMYFUNCTION("""COMPUTED_VALUE"""),447700)</f>
        <v>447700</v>
      </c>
      <c r="I2473" s="1"/>
    </row>
    <row r="2474" spans="1:9">
      <c r="A2474" s="3">
        <f ca="1">IFERROR(__xludf.DUMMYFUNCTION("""COMPUTED_VALUE"""),32792.6666666666)</f>
        <v>32792.666666666599</v>
      </c>
      <c r="B2474" s="1">
        <f ca="1">IFERROR(__xludf.DUMMYFUNCTION("""COMPUTED_VALUE"""),6.98)</f>
        <v>6.98</v>
      </c>
      <c r="C2474" s="1">
        <f ca="1">IFERROR(__xludf.DUMMYFUNCTION("""COMPUTED_VALUE"""),7.05)</f>
        <v>7.05</v>
      </c>
      <c r="D2474" s="1">
        <f ca="1">IFERROR(__xludf.DUMMYFUNCTION("""COMPUTED_VALUE"""),6.95)</f>
        <v>6.95</v>
      </c>
      <c r="E2474" s="1">
        <f ca="1">IFERROR(__xludf.DUMMYFUNCTION("""COMPUTED_VALUE"""),6.98)</f>
        <v>6.98</v>
      </c>
      <c r="F2474" s="1">
        <f ca="1">IFERROR(__xludf.DUMMYFUNCTION("""COMPUTED_VALUE"""),671300)</f>
        <v>671300</v>
      </c>
      <c r="I2474" s="1"/>
    </row>
    <row r="2475" spans="1:9">
      <c r="A2475" s="3">
        <f ca="1">IFERROR(__xludf.DUMMYFUNCTION("""COMPUTED_VALUE"""),32793.6666666666)</f>
        <v>32793.666666666599</v>
      </c>
      <c r="B2475" s="1">
        <f ca="1">IFERROR(__xludf.DUMMYFUNCTION("""COMPUTED_VALUE"""),6.89)</f>
        <v>6.89</v>
      </c>
      <c r="C2475" s="1">
        <f ca="1">IFERROR(__xludf.DUMMYFUNCTION("""COMPUTED_VALUE"""),7.06)</f>
        <v>7.06</v>
      </c>
      <c r="D2475" s="1">
        <f ca="1">IFERROR(__xludf.DUMMYFUNCTION("""COMPUTED_VALUE"""),6.86)</f>
        <v>6.86</v>
      </c>
      <c r="E2475" s="1">
        <f ca="1">IFERROR(__xludf.DUMMYFUNCTION("""COMPUTED_VALUE"""),6.89)</f>
        <v>6.89</v>
      </c>
      <c r="F2475" s="1">
        <f ca="1">IFERROR(__xludf.DUMMYFUNCTION("""COMPUTED_VALUE"""),583400)</f>
        <v>583400</v>
      </c>
      <c r="I2475" s="1"/>
    </row>
    <row r="2476" spans="1:9">
      <c r="A2476" s="3">
        <f ca="1">IFERROR(__xludf.DUMMYFUNCTION("""COMPUTED_VALUE"""),32794.6666666666)</f>
        <v>32794.666666666599</v>
      </c>
      <c r="B2476" s="1">
        <f ca="1">IFERROR(__xludf.DUMMYFUNCTION("""COMPUTED_VALUE"""),6.33)</f>
        <v>6.33</v>
      </c>
      <c r="C2476" s="1">
        <f ca="1">IFERROR(__xludf.DUMMYFUNCTION("""COMPUTED_VALUE"""),6.97)</f>
        <v>6.97</v>
      </c>
      <c r="D2476" s="1">
        <f ca="1">IFERROR(__xludf.DUMMYFUNCTION("""COMPUTED_VALUE"""),6.31)</f>
        <v>6.31</v>
      </c>
      <c r="E2476" s="1">
        <f ca="1">IFERROR(__xludf.DUMMYFUNCTION("""COMPUTED_VALUE"""),6.33)</f>
        <v>6.33</v>
      </c>
      <c r="F2476" s="1">
        <f ca="1">IFERROR(__xludf.DUMMYFUNCTION("""COMPUTED_VALUE"""),1031700)</f>
        <v>1031700</v>
      </c>
      <c r="I2476" s="1"/>
    </row>
    <row r="2477" spans="1:9">
      <c r="A2477" s="3">
        <f ca="1">IFERROR(__xludf.DUMMYFUNCTION("""COMPUTED_VALUE"""),32797.6666666666)</f>
        <v>32797.666666666599</v>
      </c>
      <c r="B2477" s="1">
        <f ca="1">IFERROR(__xludf.DUMMYFUNCTION("""COMPUTED_VALUE"""),6.78)</f>
        <v>6.78</v>
      </c>
      <c r="C2477" s="1">
        <f ca="1">IFERROR(__xludf.DUMMYFUNCTION("""COMPUTED_VALUE"""),6.78)</f>
        <v>6.78</v>
      </c>
      <c r="D2477" s="1">
        <f ca="1">IFERROR(__xludf.DUMMYFUNCTION("""COMPUTED_VALUE"""),6.33)</f>
        <v>6.33</v>
      </c>
      <c r="E2477" s="1">
        <f ca="1">IFERROR(__xludf.DUMMYFUNCTION("""COMPUTED_VALUE"""),6.78)</f>
        <v>6.78</v>
      </c>
      <c r="F2477" s="1">
        <f ca="1">IFERROR(__xludf.DUMMYFUNCTION("""COMPUTED_VALUE"""),1969900)</f>
        <v>1969900</v>
      </c>
      <c r="I2477" s="1"/>
    </row>
    <row r="2478" spans="1:9">
      <c r="A2478" s="3">
        <f ca="1">IFERROR(__xludf.DUMMYFUNCTION("""COMPUTED_VALUE"""),32798.6666666666)</f>
        <v>32798.666666666599</v>
      </c>
      <c r="B2478" s="1">
        <f ca="1">IFERROR(__xludf.DUMMYFUNCTION("""COMPUTED_VALUE"""),6.84)</f>
        <v>6.84</v>
      </c>
      <c r="C2478" s="1">
        <f ca="1">IFERROR(__xludf.DUMMYFUNCTION("""COMPUTED_VALUE"""),6.84)</f>
        <v>6.84</v>
      </c>
      <c r="D2478" s="1">
        <f ca="1">IFERROR(__xludf.DUMMYFUNCTION("""COMPUTED_VALUE"""),6.53)</f>
        <v>6.53</v>
      </c>
      <c r="E2478" s="1">
        <f ca="1">IFERROR(__xludf.DUMMYFUNCTION("""COMPUTED_VALUE"""),6.84)</f>
        <v>6.84</v>
      </c>
      <c r="F2478" s="1">
        <f ca="1">IFERROR(__xludf.DUMMYFUNCTION("""COMPUTED_VALUE"""),853400)</f>
        <v>853400</v>
      </c>
      <c r="I2478" s="1"/>
    </row>
    <row r="2479" spans="1:9">
      <c r="A2479" s="3">
        <f ca="1">IFERROR(__xludf.DUMMYFUNCTION("""COMPUTED_VALUE"""),32799.6666666666)</f>
        <v>32799.666666666599</v>
      </c>
      <c r="B2479" s="1">
        <f ca="1">IFERROR(__xludf.DUMMYFUNCTION("""COMPUTED_VALUE"""),6.81)</f>
        <v>6.81</v>
      </c>
      <c r="C2479" s="1">
        <f ca="1">IFERROR(__xludf.DUMMYFUNCTION("""COMPUTED_VALUE"""),6.95)</f>
        <v>6.95</v>
      </c>
      <c r="D2479" s="1">
        <f ca="1">IFERROR(__xludf.DUMMYFUNCTION("""COMPUTED_VALUE"""),6.73)</f>
        <v>6.73</v>
      </c>
      <c r="E2479" s="1">
        <f ca="1">IFERROR(__xludf.DUMMYFUNCTION("""COMPUTED_VALUE"""),6.81)</f>
        <v>6.81</v>
      </c>
      <c r="F2479" s="1">
        <f ca="1">IFERROR(__xludf.DUMMYFUNCTION("""COMPUTED_VALUE"""),852000)</f>
        <v>852000</v>
      </c>
      <c r="I2479" s="1"/>
    </row>
    <row r="2480" spans="1:9">
      <c r="A2480" s="3">
        <f ca="1">IFERROR(__xludf.DUMMYFUNCTION("""COMPUTED_VALUE"""),32800.6666666666)</f>
        <v>32800.666666666599</v>
      </c>
      <c r="B2480" s="1">
        <f ca="1">IFERROR(__xludf.DUMMYFUNCTION("""COMPUTED_VALUE"""),6.88)</f>
        <v>6.88</v>
      </c>
      <c r="C2480" s="1">
        <f ca="1">IFERROR(__xludf.DUMMYFUNCTION("""COMPUTED_VALUE"""),6.94)</f>
        <v>6.94</v>
      </c>
      <c r="D2480" s="1">
        <f ca="1">IFERROR(__xludf.DUMMYFUNCTION("""COMPUTED_VALUE"""),6.81)</f>
        <v>6.81</v>
      </c>
      <c r="E2480" s="1">
        <f ca="1">IFERROR(__xludf.DUMMYFUNCTION("""COMPUTED_VALUE"""),6.88)</f>
        <v>6.88</v>
      </c>
      <c r="F2480" s="1">
        <f ca="1">IFERROR(__xludf.DUMMYFUNCTION("""COMPUTED_VALUE"""),661300)</f>
        <v>661300</v>
      </c>
      <c r="I2480" s="1"/>
    </row>
    <row r="2481" spans="1:9">
      <c r="A2481" s="3">
        <f ca="1">IFERROR(__xludf.DUMMYFUNCTION("""COMPUTED_VALUE"""),32801.6666666666)</f>
        <v>32801.666666666599</v>
      </c>
      <c r="B2481" s="1">
        <f ca="1">IFERROR(__xludf.DUMMYFUNCTION("""COMPUTED_VALUE"""),6.92)</f>
        <v>6.92</v>
      </c>
      <c r="C2481" s="1">
        <f ca="1">IFERROR(__xludf.DUMMYFUNCTION("""COMPUTED_VALUE"""),6.95)</f>
        <v>6.95</v>
      </c>
      <c r="D2481" s="1">
        <f ca="1">IFERROR(__xludf.DUMMYFUNCTION("""COMPUTED_VALUE"""),6.88)</f>
        <v>6.88</v>
      </c>
      <c r="E2481" s="1">
        <f ca="1">IFERROR(__xludf.DUMMYFUNCTION("""COMPUTED_VALUE"""),6.92)</f>
        <v>6.92</v>
      </c>
      <c r="F2481" s="1">
        <f ca="1">IFERROR(__xludf.DUMMYFUNCTION("""COMPUTED_VALUE"""),888500)</f>
        <v>888500</v>
      </c>
      <c r="I2481" s="1"/>
    </row>
    <row r="2482" spans="1:9">
      <c r="A2482" s="3">
        <f ca="1">IFERROR(__xludf.DUMMYFUNCTION("""COMPUTED_VALUE"""),32804.6666666666)</f>
        <v>32804.666666666599</v>
      </c>
      <c r="B2482" s="1">
        <f ca="1">IFERROR(__xludf.DUMMYFUNCTION("""COMPUTED_VALUE"""),6.88)</f>
        <v>6.88</v>
      </c>
      <c r="C2482" s="1">
        <f ca="1">IFERROR(__xludf.DUMMYFUNCTION("""COMPUTED_VALUE"""),6.94)</f>
        <v>6.94</v>
      </c>
      <c r="D2482" s="1">
        <f ca="1">IFERROR(__xludf.DUMMYFUNCTION("""COMPUTED_VALUE"""),6.84)</f>
        <v>6.84</v>
      </c>
      <c r="E2482" s="1">
        <f ca="1">IFERROR(__xludf.DUMMYFUNCTION("""COMPUTED_VALUE"""),6.88)</f>
        <v>6.88</v>
      </c>
      <c r="F2482" s="1">
        <f ca="1">IFERROR(__xludf.DUMMYFUNCTION("""COMPUTED_VALUE"""),388000)</f>
        <v>388000</v>
      </c>
      <c r="I2482" s="1"/>
    </row>
    <row r="2483" spans="1:9">
      <c r="A2483" s="3">
        <f ca="1">IFERROR(__xludf.DUMMYFUNCTION("""COMPUTED_VALUE"""),32805.6666666666)</f>
        <v>32805.666666666599</v>
      </c>
      <c r="B2483" s="1">
        <f ca="1">IFERROR(__xludf.DUMMYFUNCTION("""COMPUTED_VALUE"""),6.83)</f>
        <v>6.83</v>
      </c>
      <c r="C2483" s="1">
        <f ca="1">IFERROR(__xludf.DUMMYFUNCTION("""COMPUTED_VALUE"""),6.91)</f>
        <v>6.91</v>
      </c>
      <c r="D2483" s="1">
        <f ca="1">IFERROR(__xludf.DUMMYFUNCTION("""COMPUTED_VALUE"""),6.53)</f>
        <v>6.53</v>
      </c>
      <c r="E2483" s="1">
        <f ca="1">IFERROR(__xludf.DUMMYFUNCTION("""COMPUTED_VALUE"""),6.83)</f>
        <v>6.83</v>
      </c>
      <c r="F2483" s="1">
        <f ca="1">IFERROR(__xludf.DUMMYFUNCTION("""COMPUTED_VALUE"""),996900)</f>
        <v>996900</v>
      </c>
      <c r="I2483" s="1"/>
    </row>
    <row r="2484" spans="1:9">
      <c r="A2484" s="3">
        <f ca="1">IFERROR(__xludf.DUMMYFUNCTION("""COMPUTED_VALUE"""),32806.6666666666)</f>
        <v>32806.666666666599</v>
      </c>
      <c r="B2484" s="1">
        <f ca="1">IFERROR(__xludf.DUMMYFUNCTION("""COMPUTED_VALUE"""),6.81)</f>
        <v>6.81</v>
      </c>
      <c r="C2484" s="1">
        <f ca="1">IFERROR(__xludf.DUMMYFUNCTION("""COMPUTED_VALUE"""),6.89)</f>
        <v>6.89</v>
      </c>
      <c r="D2484" s="1">
        <f ca="1">IFERROR(__xludf.DUMMYFUNCTION("""COMPUTED_VALUE"""),6.77)</f>
        <v>6.77</v>
      </c>
      <c r="E2484" s="1">
        <f ca="1">IFERROR(__xludf.DUMMYFUNCTION("""COMPUTED_VALUE"""),6.81)</f>
        <v>6.81</v>
      </c>
      <c r="F2484" s="1">
        <f ca="1">IFERROR(__xludf.DUMMYFUNCTION("""COMPUTED_VALUE"""),394000)</f>
        <v>394000</v>
      </c>
      <c r="I2484" s="1"/>
    </row>
    <row r="2485" spans="1:9">
      <c r="A2485" s="3">
        <f ca="1">IFERROR(__xludf.DUMMYFUNCTION("""COMPUTED_VALUE"""),32807.6666666666)</f>
        <v>32807.666666666599</v>
      </c>
      <c r="B2485" s="1">
        <f ca="1">IFERROR(__xludf.DUMMYFUNCTION("""COMPUTED_VALUE"""),6.78)</f>
        <v>6.78</v>
      </c>
      <c r="C2485" s="1">
        <f ca="1">IFERROR(__xludf.DUMMYFUNCTION("""COMPUTED_VALUE"""),6.86)</f>
        <v>6.86</v>
      </c>
      <c r="D2485" s="1">
        <f ca="1">IFERROR(__xludf.DUMMYFUNCTION("""COMPUTED_VALUE"""),6.7)</f>
        <v>6.7</v>
      </c>
      <c r="E2485" s="1">
        <f ca="1">IFERROR(__xludf.DUMMYFUNCTION("""COMPUTED_VALUE"""),6.78)</f>
        <v>6.78</v>
      </c>
      <c r="F2485" s="1">
        <f ca="1">IFERROR(__xludf.DUMMYFUNCTION("""COMPUTED_VALUE"""),480800)</f>
        <v>480800</v>
      </c>
      <c r="I2485" s="1"/>
    </row>
    <row r="2486" spans="1:9">
      <c r="A2486" s="3">
        <f ca="1">IFERROR(__xludf.DUMMYFUNCTION("""COMPUTED_VALUE"""),32808.6666666666)</f>
        <v>32808.666666666599</v>
      </c>
      <c r="B2486" s="1">
        <f ca="1">IFERROR(__xludf.DUMMYFUNCTION("""COMPUTED_VALUE"""),6.69)</f>
        <v>6.69</v>
      </c>
      <c r="C2486" s="1">
        <f ca="1">IFERROR(__xludf.DUMMYFUNCTION("""COMPUTED_VALUE"""),6.78)</f>
        <v>6.78</v>
      </c>
      <c r="D2486" s="1">
        <f ca="1">IFERROR(__xludf.DUMMYFUNCTION("""COMPUTED_VALUE"""),6.63)</f>
        <v>6.63</v>
      </c>
      <c r="E2486" s="1">
        <f ca="1">IFERROR(__xludf.DUMMYFUNCTION("""COMPUTED_VALUE"""),6.69)</f>
        <v>6.69</v>
      </c>
      <c r="F2486" s="1">
        <f ca="1">IFERROR(__xludf.DUMMYFUNCTION("""COMPUTED_VALUE"""),438100)</f>
        <v>438100</v>
      </c>
      <c r="I2486" s="1"/>
    </row>
    <row r="2487" spans="1:9">
      <c r="A2487" s="3">
        <f ca="1">IFERROR(__xludf.DUMMYFUNCTION("""COMPUTED_VALUE"""),32811.6666666666)</f>
        <v>32811.666666666599</v>
      </c>
      <c r="B2487" s="1">
        <f ca="1">IFERROR(__xludf.DUMMYFUNCTION("""COMPUTED_VALUE"""),6.72)</f>
        <v>6.72</v>
      </c>
      <c r="C2487" s="1">
        <f ca="1">IFERROR(__xludf.DUMMYFUNCTION("""COMPUTED_VALUE"""),6.81)</f>
        <v>6.81</v>
      </c>
      <c r="D2487" s="1">
        <f ca="1">IFERROR(__xludf.DUMMYFUNCTION("""COMPUTED_VALUE"""),6.66)</f>
        <v>6.66</v>
      </c>
      <c r="E2487" s="1">
        <f ca="1">IFERROR(__xludf.DUMMYFUNCTION("""COMPUTED_VALUE"""),6.72)</f>
        <v>6.72</v>
      </c>
      <c r="F2487" s="1">
        <f ca="1">IFERROR(__xludf.DUMMYFUNCTION("""COMPUTED_VALUE"""),398800)</f>
        <v>398800</v>
      </c>
      <c r="I2487" s="1"/>
    </row>
    <row r="2488" spans="1:9">
      <c r="A2488" s="3">
        <f ca="1">IFERROR(__xludf.DUMMYFUNCTION("""COMPUTED_VALUE"""),32812.6666666666)</f>
        <v>32812.666666666599</v>
      </c>
      <c r="B2488" s="1">
        <f ca="1">IFERROR(__xludf.DUMMYFUNCTION("""COMPUTED_VALUE"""),6.92)</f>
        <v>6.92</v>
      </c>
      <c r="C2488" s="1">
        <f ca="1">IFERROR(__xludf.DUMMYFUNCTION("""COMPUTED_VALUE"""),6.97)</f>
        <v>6.97</v>
      </c>
      <c r="D2488" s="1">
        <f ca="1">IFERROR(__xludf.DUMMYFUNCTION("""COMPUTED_VALUE"""),6.77)</f>
        <v>6.77</v>
      </c>
      <c r="E2488" s="1">
        <f ca="1">IFERROR(__xludf.DUMMYFUNCTION("""COMPUTED_VALUE"""),6.92)</f>
        <v>6.92</v>
      </c>
      <c r="F2488" s="1">
        <f ca="1">IFERROR(__xludf.DUMMYFUNCTION("""COMPUTED_VALUE"""),805200)</f>
        <v>805200</v>
      </c>
      <c r="I2488" s="1"/>
    </row>
    <row r="2489" spans="1:9">
      <c r="A2489" s="3">
        <f ca="1">IFERROR(__xludf.DUMMYFUNCTION("""COMPUTED_VALUE"""),32813.6666666666)</f>
        <v>32813.666666666599</v>
      </c>
      <c r="B2489" s="1">
        <f ca="1">IFERROR(__xludf.DUMMYFUNCTION("""COMPUTED_VALUE"""),6.95)</f>
        <v>6.95</v>
      </c>
      <c r="C2489" s="1">
        <f ca="1">IFERROR(__xludf.DUMMYFUNCTION("""COMPUTED_VALUE"""),6.95)</f>
        <v>6.95</v>
      </c>
      <c r="D2489" s="1">
        <f ca="1">IFERROR(__xludf.DUMMYFUNCTION("""COMPUTED_VALUE"""),6.83)</f>
        <v>6.83</v>
      </c>
      <c r="E2489" s="1">
        <f ca="1">IFERROR(__xludf.DUMMYFUNCTION("""COMPUTED_VALUE"""),6.95)</f>
        <v>6.95</v>
      </c>
      <c r="F2489" s="1">
        <f ca="1">IFERROR(__xludf.DUMMYFUNCTION("""COMPUTED_VALUE"""),683700)</f>
        <v>683700</v>
      </c>
      <c r="I2489" s="1"/>
    </row>
    <row r="2490" spans="1:9">
      <c r="A2490" s="3">
        <f ca="1">IFERROR(__xludf.DUMMYFUNCTION("""COMPUTED_VALUE"""),32814.6666666666)</f>
        <v>32814.666666666599</v>
      </c>
      <c r="B2490" s="1">
        <f ca="1">IFERROR(__xludf.DUMMYFUNCTION("""COMPUTED_VALUE"""),6.84)</f>
        <v>6.84</v>
      </c>
      <c r="C2490" s="1">
        <f ca="1">IFERROR(__xludf.DUMMYFUNCTION("""COMPUTED_VALUE"""),6.95)</f>
        <v>6.95</v>
      </c>
      <c r="D2490" s="1">
        <f ca="1">IFERROR(__xludf.DUMMYFUNCTION("""COMPUTED_VALUE"""),6.77)</f>
        <v>6.77</v>
      </c>
      <c r="E2490" s="1">
        <f ca="1">IFERROR(__xludf.DUMMYFUNCTION("""COMPUTED_VALUE"""),6.84)</f>
        <v>6.84</v>
      </c>
      <c r="F2490" s="1">
        <f ca="1">IFERROR(__xludf.DUMMYFUNCTION("""COMPUTED_VALUE"""),547700)</f>
        <v>547700</v>
      </c>
      <c r="I2490" s="1"/>
    </row>
    <row r="2491" spans="1:9">
      <c r="A2491" s="3">
        <f ca="1">IFERROR(__xludf.DUMMYFUNCTION("""COMPUTED_VALUE"""),32815.6666666666)</f>
        <v>32815.666666666599</v>
      </c>
      <c r="B2491" s="1">
        <f ca="1">IFERROR(__xludf.DUMMYFUNCTION("""COMPUTED_VALUE"""),6.8)</f>
        <v>6.8</v>
      </c>
      <c r="C2491" s="1">
        <f ca="1">IFERROR(__xludf.DUMMYFUNCTION("""COMPUTED_VALUE"""),6.89)</f>
        <v>6.89</v>
      </c>
      <c r="D2491" s="1">
        <f ca="1">IFERROR(__xludf.DUMMYFUNCTION("""COMPUTED_VALUE"""),6.77)</f>
        <v>6.77</v>
      </c>
      <c r="E2491" s="1">
        <f ca="1">IFERROR(__xludf.DUMMYFUNCTION("""COMPUTED_VALUE"""),6.8)</f>
        <v>6.8</v>
      </c>
      <c r="F2491" s="1">
        <f ca="1">IFERROR(__xludf.DUMMYFUNCTION("""COMPUTED_VALUE"""),334900)</f>
        <v>334900</v>
      </c>
      <c r="I2491" s="1"/>
    </row>
    <row r="2492" spans="1:9">
      <c r="A2492" s="3">
        <f ca="1">IFERROR(__xludf.DUMMYFUNCTION("""COMPUTED_VALUE"""),32818.6666666666)</f>
        <v>32818.666666666599</v>
      </c>
      <c r="B2492" s="1">
        <f ca="1">IFERROR(__xludf.DUMMYFUNCTION("""COMPUTED_VALUE"""),6.67)</f>
        <v>6.67</v>
      </c>
      <c r="C2492" s="1">
        <f ca="1">IFERROR(__xludf.DUMMYFUNCTION("""COMPUTED_VALUE"""),6.8)</f>
        <v>6.8</v>
      </c>
      <c r="D2492" s="1">
        <f ca="1">IFERROR(__xludf.DUMMYFUNCTION("""COMPUTED_VALUE"""),6.66)</f>
        <v>6.66</v>
      </c>
      <c r="E2492" s="1">
        <f ca="1">IFERROR(__xludf.DUMMYFUNCTION("""COMPUTED_VALUE"""),6.67)</f>
        <v>6.67</v>
      </c>
      <c r="F2492" s="1">
        <f ca="1">IFERROR(__xludf.DUMMYFUNCTION("""COMPUTED_VALUE"""),407300)</f>
        <v>407300</v>
      </c>
      <c r="I2492" s="1"/>
    </row>
    <row r="2493" spans="1:9">
      <c r="A2493" s="3">
        <f ca="1">IFERROR(__xludf.DUMMYFUNCTION("""COMPUTED_VALUE"""),32819.6666666666)</f>
        <v>32819.666666666599</v>
      </c>
      <c r="B2493" s="1">
        <f ca="1">IFERROR(__xludf.DUMMYFUNCTION("""COMPUTED_VALUE"""),6.77)</f>
        <v>6.77</v>
      </c>
      <c r="C2493" s="1">
        <f ca="1">IFERROR(__xludf.DUMMYFUNCTION("""COMPUTED_VALUE"""),6.78)</f>
        <v>6.78</v>
      </c>
      <c r="D2493" s="1">
        <f ca="1">IFERROR(__xludf.DUMMYFUNCTION("""COMPUTED_VALUE"""),6.55)</f>
        <v>6.55</v>
      </c>
      <c r="E2493" s="1">
        <f ca="1">IFERROR(__xludf.DUMMYFUNCTION("""COMPUTED_VALUE"""),6.77)</f>
        <v>6.77</v>
      </c>
      <c r="F2493" s="1">
        <f ca="1">IFERROR(__xludf.DUMMYFUNCTION("""COMPUTED_VALUE"""),719100)</f>
        <v>719100</v>
      </c>
      <c r="I2493" s="1"/>
    </row>
    <row r="2494" spans="1:9">
      <c r="A2494" s="3">
        <f ca="1">IFERROR(__xludf.DUMMYFUNCTION("""COMPUTED_VALUE"""),32820.6666666666)</f>
        <v>32820.666666666599</v>
      </c>
      <c r="B2494" s="1">
        <f ca="1">IFERROR(__xludf.DUMMYFUNCTION("""COMPUTED_VALUE"""),6.91)</f>
        <v>6.91</v>
      </c>
      <c r="C2494" s="1">
        <f ca="1">IFERROR(__xludf.DUMMYFUNCTION("""COMPUTED_VALUE"""),6.94)</f>
        <v>6.94</v>
      </c>
      <c r="D2494" s="1">
        <f ca="1">IFERROR(__xludf.DUMMYFUNCTION("""COMPUTED_VALUE"""),6.84)</f>
        <v>6.84</v>
      </c>
      <c r="E2494" s="1">
        <f ca="1">IFERROR(__xludf.DUMMYFUNCTION("""COMPUTED_VALUE"""),6.91)</f>
        <v>6.91</v>
      </c>
      <c r="F2494" s="1">
        <f ca="1">IFERROR(__xludf.DUMMYFUNCTION("""COMPUTED_VALUE"""),666600)</f>
        <v>666600</v>
      </c>
      <c r="I2494" s="1"/>
    </row>
    <row r="2495" spans="1:9">
      <c r="A2495" s="3">
        <f ca="1">IFERROR(__xludf.DUMMYFUNCTION("""COMPUTED_VALUE"""),32821.6666666666)</f>
        <v>32821.666666666599</v>
      </c>
      <c r="B2495" s="1">
        <f ca="1">IFERROR(__xludf.DUMMYFUNCTION("""COMPUTED_VALUE"""),6.88)</f>
        <v>6.88</v>
      </c>
      <c r="C2495" s="1">
        <f ca="1">IFERROR(__xludf.DUMMYFUNCTION("""COMPUTED_VALUE"""),7.03)</f>
        <v>7.03</v>
      </c>
      <c r="D2495" s="1">
        <f ca="1">IFERROR(__xludf.DUMMYFUNCTION("""COMPUTED_VALUE"""),6.86)</f>
        <v>6.86</v>
      </c>
      <c r="E2495" s="1">
        <f ca="1">IFERROR(__xludf.DUMMYFUNCTION("""COMPUTED_VALUE"""),6.88)</f>
        <v>6.88</v>
      </c>
      <c r="F2495" s="1">
        <f ca="1">IFERROR(__xludf.DUMMYFUNCTION("""COMPUTED_VALUE"""),937100)</f>
        <v>937100</v>
      </c>
      <c r="I2495" s="1"/>
    </row>
    <row r="2496" spans="1:9">
      <c r="A2496" s="3">
        <f ca="1">IFERROR(__xludf.DUMMYFUNCTION("""COMPUTED_VALUE"""),32822.6666666666)</f>
        <v>32822.666666666599</v>
      </c>
      <c r="B2496" s="1">
        <f ca="1">IFERROR(__xludf.DUMMYFUNCTION("""COMPUTED_VALUE"""),7)</f>
        <v>7</v>
      </c>
      <c r="C2496" s="1">
        <f ca="1">IFERROR(__xludf.DUMMYFUNCTION("""COMPUTED_VALUE"""),7)</f>
        <v>7</v>
      </c>
      <c r="D2496" s="1">
        <f ca="1">IFERROR(__xludf.DUMMYFUNCTION("""COMPUTED_VALUE"""),6.92)</f>
        <v>6.92</v>
      </c>
      <c r="E2496" s="1">
        <f ca="1">IFERROR(__xludf.DUMMYFUNCTION("""COMPUTED_VALUE"""),7)</f>
        <v>7</v>
      </c>
      <c r="F2496" s="1">
        <f ca="1">IFERROR(__xludf.DUMMYFUNCTION("""COMPUTED_VALUE"""),734400)</f>
        <v>734400</v>
      </c>
      <c r="I2496" s="1"/>
    </row>
    <row r="2497" spans="1:9">
      <c r="A2497" s="3">
        <f ca="1">IFERROR(__xludf.DUMMYFUNCTION("""COMPUTED_VALUE"""),32825.6666666666)</f>
        <v>32825.666666666599</v>
      </c>
      <c r="B2497" s="1">
        <f ca="1">IFERROR(__xludf.DUMMYFUNCTION("""COMPUTED_VALUE"""),7)</f>
        <v>7</v>
      </c>
      <c r="C2497" s="1">
        <f ca="1">IFERROR(__xludf.DUMMYFUNCTION("""COMPUTED_VALUE"""),7.05)</f>
        <v>7.05</v>
      </c>
      <c r="D2497" s="1">
        <f ca="1">IFERROR(__xludf.DUMMYFUNCTION("""COMPUTED_VALUE"""),6.95)</f>
        <v>6.95</v>
      </c>
      <c r="E2497" s="1">
        <f ca="1">IFERROR(__xludf.DUMMYFUNCTION("""COMPUTED_VALUE"""),7)</f>
        <v>7</v>
      </c>
      <c r="F2497" s="1">
        <f ca="1">IFERROR(__xludf.DUMMYFUNCTION("""COMPUTED_VALUE"""),438000)</f>
        <v>438000</v>
      </c>
      <c r="I2497" s="1"/>
    </row>
    <row r="2498" spans="1:9">
      <c r="A2498" s="3">
        <f ca="1">IFERROR(__xludf.DUMMYFUNCTION("""COMPUTED_VALUE"""),32826.6666666666)</f>
        <v>32826.666666666599</v>
      </c>
      <c r="B2498" s="1">
        <f ca="1">IFERROR(__xludf.DUMMYFUNCTION("""COMPUTED_VALUE"""),6.92)</f>
        <v>6.92</v>
      </c>
      <c r="C2498" s="1">
        <f ca="1">IFERROR(__xludf.DUMMYFUNCTION("""COMPUTED_VALUE"""),7.02)</f>
        <v>7.02</v>
      </c>
      <c r="D2498" s="1">
        <f ca="1">IFERROR(__xludf.DUMMYFUNCTION("""COMPUTED_VALUE"""),6.91)</f>
        <v>6.91</v>
      </c>
      <c r="E2498" s="1">
        <f ca="1">IFERROR(__xludf.DUMMYFUNCTION("""COMPUTED_VALUE"""),6.92)</f>
        <v>6.92</v>
      </c>
      <c r="F2498" s="1">
        <f ca="1">IFERROR(__xludf.DUMMYFUNCTION("""COMPUTED_VALUE"""),645000)</f>
        <v>645000</v>
      </c>
      <c r="I2498" s="1"/>
    </row>
    <row r="2499" spans="1:9">
      <c r="A2499" s="3">
        <f ca="1">IFERROR(__xludf.DUMMYFUNCTION("""COMPUTED_VALUE"""),32827.6666666666)</f>
        <v>32827.666666666599</v>
      </c>
      <c r="B2499" s="1">
        <f ca="1">IFERROR(__xludf.DUMMYFUNCTION("""COMPUTED_VALUE"""),7.02)</f>
        <v>7.02</v>
      </c>
      <c r="C2499" s="1">
        <f ca="1">IFERROR(__xludf.DUMMYFUNCTION("""COMPUTED_VALUE"""),7.02)</f>
        <v>7.02</v>
      </c>
      <c r="D2499" s="1">
        <f ca="1">IFERROR(__xludf.DUMMYFUNCTION("""COMPUTED_VALUE"""),6.88)</f>
        <v>6.88</v>
      </c>
      <c r="E2499" s="1">
        <f ca="1">IFERROR(__xludf.DUMMYFUNCTION("""COMPUTED_VALUE"""),7.02)</f>
        <v>7.02</v>
      </c>
      <c r="F2499" s="1">
        <f ca="1">IFERROR(__xludf.DUMMYFUNCTION("""COMPUTED_VALUE"""),627500)</f>
        <v>627500</v>
      </c>
      <c r="I2499" s="1"/>
    </row>
    <row r="2500" spans="1:9">
      <c r="A2500" s="3">
        <f ca="1">IFERROR(__xludf.DUMMYFUNCTION("""COMPUTED_VALUE"""),32828.6666666666)</f>
        <v>32828.666666666599</v>
      </c>
      <c r="B2500" s="1">
        <f ca="1">IFERROR(__xludf.DUMMYFUNCTION("""COMPUTED_VALUE"""),6.92)</f>
        <v>6.92</v>
      </c>
      <c r="C2500" s="1">
        <f ca="1">IFERROR(__xludf.DUMMYFUNCTION("""COMPUTED_VALUE"""),7.02)</f>
        <v>7.02</v>
      </c>
      <c r="D2500" s="1">
        <f ca="1">IFERROR(__xludf.DUMMYFUNCTION("""COMPUTED_VALUE"""),6.91)</f>
        <v>6.91</v>
      </c>
      <c r="E2500" s="1">
        <f ca="1">IFERROR(__xludf.DUMMYFUNCTION("""COMPUTED_VALUE"""),6.92)</f>
        <v>6.92</v>
      </c>
      <c r="F2500" s="1">
        <f ca="1">IFERROR(__xludf.DUMMYFUNCTION("""COMPUTED_VALUE"""),492800)</f>
        <v>492800</v>
      </c>
      <c r="I2500" s="1"/>
    </row>
    <row r="2501" spans="1:9">
      <c r="A2501" s="3">
        <f ca="1">IFERROR(__xludf.DUMMYFUNCTION("""COMPUTED_VALUE"""),32829.6666666666)</f>
        <v>32829.666666666599</v>
      </c>
      <c r="B2501" s="1">
        <f ca="1">IFERROR(__xludf.DUMMYFUNCTION("""COMPUTED_VALUE"""),6.91)</f>
        <v>6.91</v>
      </c>
      <c r="C2501" s="1">
        <f ca="1">IFERROR(__xludf.DUMMYFUNCTION("""COMPUTED_VALUE"""),6.97)</f>
        <v>6.97</v>
      </c>
      <c r="D2501" s="1">
        <f ca="1">IFERROR(__xludf.DUMMYFUNCTION("""COMPUTED_VALUE"""),6.89)</f>
        <v>6.89</v>
      </c>
      <c r="E2501" s="1">
        <f ca="1">IFERROR(__xludf.DUMMYFUNCTION("""COMPUTED_VALUE"""),6.91)</f>
        <v>6.91</v>
      </c>
      <c r="F2501" s="1">
        <f ca="1">IFERROR(__xludf.DUMMYFUNCTION("""COMPUTED_VALUE"""),645200)</f>
        <v>645200</v>
      </c>
      <c r="I2501" s="1"/>
    </row>
    <row r="2502" spans="1:9">
      <c r="A2502" s="3">
        <f ca="1">IFERROR(__xludf.DUMMYFUNCTION("""COMPUTED_VALUE"""),32832.6666666666)</f>
        <v>32832.666666666599</v>
      </c>
      <c r="B2502" s="1">
        <f ca="1">IFERROR(__xludf.DUMMYFUNCTION("""COMPUTED_VALUE"""),6.88)</f>
        <v>6.88</v>
      </c>
      <c r="C2502" s="1">
        <f ca="1">IFERROR(__xludf.DUMMYFUNCTION("""COMPUTED_VALUE"""),6.89)</f>
        <v>6.89</v>
      </c>
      <c r="D2502" s="1">
        <f ca="1">IFERROR(__xludf.DUMMYFUNCTION("""COMPUTED_VALUE"""),6.81)</f>
        <v>6.81</v>
      </c>
      <c r="E2502" s="1">
        <f ca="1">IFERROR(__xludf.DUMMYFUNCTION("""COMPUTED_VALUE"""),6.88)</f>
        <v>6.88</v>
      </c>
      <c r="F2502" s="1">
        <f ca="1">IFERROR(__xludf.DUMMYFUNCTION("""COMPUTED_VALUE"""),400200)</f>
        <v>400200</v>
      </c>
      <c r="I2502" s="1"/>
    </row>
    <row r="2503" spans="1:9">
      <c r="A2503" s="3">
        <f ca="1">IFERROR(__xludf.DUMMYFUNCTION("""COMPUTED_VALUE"""),32833.6666666666)</f>
        <v>32833.666666666599</v>
      </c>
      <c r="B2503" s="1">
        <f ca="1">IFERROR(__xludf.DUMMYFUNCTION("""COMPUTED_VALUE"""),6.91)</f>
        <v>6.91</v>
      </c>
      <c r="C2503" s="1">
        <f ca="1">IFERROR(__xludf.DUMMYFUNCTION("""COMPUTED_VALUE"""),6.94)</f>
        <v>6.94</v>
      </c>
      <c r="D2503" s="1">
        <f ca="1">IFERROR(__xludf.DUMMYFUNCTION("""COMPUTED_VALUE"""),6.81)</f>
        <v>6.81</v>
      </c>
      <c r="E2503" s="1">
        <f ca="1">IFERROR(__xludf.DUMMYFUNCTION("""COMPUTED_VALUE"""),6.91)</f>
        <v>6.91</v>
      </c>
      <c r="F2503" s="1">
        <f ca="1">IFERROR(__xludf.DUMMYFUNCTION("""COMPUTED_VALUE"""),509600)</f>
        <v>509600</v>
      </c>
      <c r="I2503" s="1"/>
    </row>
    <row r="2504" spans="1:9">
      <c r="A2504" s="3">
        <f ca="1">IFERROR(__xludf.DUMMYFUNCTION("""COMPUTED_VALUE"""),32834.6666666666)</f>
        <v>32834.666666666599</v>
      </c>
      <c r="B2504" s="1">
        <f ca="1">IFERROR(__xludf.DUMMYFUNCTION("""COMPUTED_VALUE"""),7.05)</f>
        <v>7.05</v>
      </c>
      <c r="C2504" s="1">
        <f ca="1">IFERROR(__xludf.DUMMYFUNCTION("""COMPUTED_VALUE"""),7.06)</f>
        <v>7.06</v>
      </c>
      <c r="D2504" s="1">
        <f ca="1">IFERROR(__xludf.DUMMYFUNCTION("""COMPUTED_VALUE"""),6.91)</f>
        <v>6.91</v>
      </c>
      <c r="E2504" s="1">
        <f ca="1">IFERROR(__xludf.DUMMYFUNCTION("""COMPUTED_VALUE"""),7.05)</f>
        <v>7.05</v>
      </c>
      <c r="F2504" s="1">
        <f ca="1">IFERROR(__xludf.DUMMYFUNCTION("""COMPUTED_VALUE"""),504800)</f>
        <v>504800</v>
      </c>
      <c r="I2504" s="1"/>
    </row>
    <row r="2505" spans="1:9">
      <c r="A2505" s="3">
        <f ca="1">IFERROR(__xludf.DUMMYFUNCTION("""COMPUTED_VALUE"""),32836.6666666666)</f>
        <v>32836.666666666599</v>
      </c>
      <c r="B2505" s="1">
        <f ca="1">IFERROR(__xludf.DUMMYFUNCTION("""COMPUTED_VALUE"""),7.09)</f>
        <v>7.09</v>
      </c>
      <c r="C2505" s="1">
        <f ca="1">IFERROR(__xludf.DUMMYFUNCTION("""COMPUTED_VALUE"""),7.13)</f>
        <v>7.13</v>
      </c>
      <c r="D2505" s="1">
        <f ca="1">IFERROR(__xludf.DUMMYFUNCTION("""COMPUTED_VALUE"""),7.05)</f>
        <v>7.05</v>
      </c>
      <c r="E2505" s="1">
        <f ca="1">IFERROR(__xludf.DUMMYFUNCTION("""COMPUTED_VALUE"""),7.09)</f>
        <v>7.09</v>
      </c>
      <c r="F2505" s="1">
        <f ca="1">IFERROR(__xludf.DUMMYFUNCTION("""COMPUTED_VALUE"""),324600)</f>
        <v>324600</v>
      </c>
      <c r="I2505" s="1"/>
    </row>
    <row r="2506" spans="1:9">
      <c r="A2506" s="3">
        <f ca="1">IFERROR(__xludf.DUMMYFUNCTION("""COMPUTED_VALUE"""),32839.6666666666)</f>
        <v>32839.666666666599</v>
      </c>
      <c r="B2506" s="1">
        <f ca="1">IFERROR(__xludf.DUMMYFUNCTION("""COMPUTED_VALUE"""),7.05)</f>
        <v>7.05</v>
      </c>
      <c r="C2506" s="1">
        <f ca="1">IFERROR(__xludf.DUMMYFUNCTION("""COMPUTED_VALUE"""),7.16)</f>
        <v>7.16</v>
      </c>
      <c r="D2506" s="1">
        <f ca="1">IFERROR(__xludf.DUMMYFUNCTION("""COMPUTED_VALUE"""),7.05)</f>
        <v>7.05</v>
      </c>
      <c r="E2506" s="1">
        <f ca="1">IFERROR(__xludf.DUMMYFUNCTION("""COMPUTED_VALUE"""),7.05)</f>
        <v>7.05</v>
      </c>
      <c r="F2506" s="1">
        <f ca="1">IFERROR(__xludf.DUMMYFUNCTION("""COMPUTED_VALUE"""),649200)</f>
        <v>649200</v>
      </c>
      <c r="I2506" s="1"/>
    </row>
    <row r="2507" spans="1:9">
      <c r="A2507" s="3">
        <f ca="1">IFERROR(__xludf.DUMMYFUNCTION("""COMPUTED_VALUE"""),32840.6666666666)</f>
        <v>32840.666666666599</v>
      </c>
      <c r="B2507" s="1">
        <f ca="1">IFERROR(__xludf.DUMMYFUNCTION("""COMPUTED_VALUE"""),7.02)</f>
        <v>7.02</v>
      </c>
      <c r="C2507" s="1">
        <f ca="1">IFERROR(__xludf.DUMMYFUNCTION("""COMPUTED_VALUE"""),7.06)</f>
        <v>7.06</v>
      </c>
      <c r="D2507" s="1">
        <f ca="1">IFERROR(__xludf.DUMMYFUNCTION("""COMPUTED_VALUE"""),6.97)</f>
        <v>6.97</v>
      </c>
      <c r="E2507" s="1">
        <f ca="1">IFERROR(__xludf.DUMMYFUNCTION("""COMPUTED_VALUE"""),7.02)</f>
        <v>7.02</v>
      </c>
      <c r="F2507" s="1">
        <f ca="1">IFERROR(__xludf.DUMMYFUNCTION("""COMPUTED_VALUE"""),605600)</f>
        <v>605600</v>
      </c>
      <c r="I2507" s="1"/>
    </row>
    <row r="2508" spans="1:9">
      <c r="A2508" s="3">
        <f ca="1">IFERROR(__xludf.DUMMYFUNCTION("""COMPUTED_VALUE"""),32841.6666666666)</f>
        <v>32841.666666666599</v>
      </c>
      <c r="B2508" s="1">
        <f ca="1">IFERROR(__xludf.DUMMYFUNCTION("""COMPUTED_VALUE"""),6.98)</f>
        <v>6.98</v>
      </c>
      <c r="C2508" s="1">
        <f ca="1">IFERROR(__xludf.DUMMYFUNCTION("""COMPUTED_VALUE"""),7.03)</f>
        <v>7.03</v>
      </c>
      <c r="D2508" s="1">
        <f ca="1">IFERROR(__xludf.DUMMYFUNCTION("""COMPUTED_VALUE"""),6.95)</f>
        <v>6.95</v>
      </c>
      <c r="E2508" s="1">
        <f ca="1">IFERROR(__xludf.DUMMYFUNCTION("""COMPUTED_VALUE"""),6.98)</f>
        <v>6.98</v>
      </c>
      <c r="F2508" s="1">
        <f ca="1">IFERROR(__xludf.DUMMYFUNCTION("""COMPUTED_VALUE"""),398300)</f>
        <v>398300</v>
      </c>
      <c r="I2508" s="1"/>
    </row>
    <row r="2509" spans="1:9">
      <c r="A2509" s="3">
        <f ca="1">IFERROR(__xludf.DUMMYFUNCTION("""COMPUTED_VALUE"""),32842.6666666666)</f>
        <v>32842.666666666599</v>
      </c>
      <c r="B2509" s="1">
        <f ca="1">IFERROR(__xludf.DUMMYFUNCTION("""COMPUTED_VALUE"""),7.06)</f>
        <v>7.06</v>
      </c>
      <c r="C2509" s="1">
        <f ca="1">IFERROR(__xludf.DUMMYFUNCTION("""COMPUTED_VALUE"""),7.13)</f>
        <v>7.13</v>
      </c>
      <c r="D2509" s="1">
        <f ca="1">IFERROR(__xludf.DUMMYFUNCTION("""COMPUTED_VALUE"""),7)</f>
        <v>7</v>
      </c>
      <c r="E2509" s="1">
        <f ca="1">IFERROR(__xludf.DUMMYFUNCTION("""COMPUTED_VALUE"""),7.06)</f>
        <v>7.06</v>
      </c>
      <c r="F2509" s="1">
        <f ca="1">IFERROR(__xludf.DUMMYFUNCTION("""COMPUTED_VALUE"""),505900)</f>
        <v>505900</v>
      </c>
      <c r="I2509" s="1"/>
    </row>
    <row r="2510" spans="1:9">
      <c r="A2510" s="3">
        <f ca="1">IFERROR(__xludf.DUMMYFUNCTION("""COMPUTED_VALUE"""),32843.6666666666)</f>
        <v>32843.666666666599</v>
      </c>
      <c r="B2510" s="1">
        <f ca="1">IFERROR(__xludf.DUMMYFUNCTION("""COMPUTED_VALUE"""),7.17)</f>
        <v>7.17</v>
      </c>
      <c r="C2510" s="1">
        <f ca="1">IFERROR(__xludf.DUMMYFUNCTION("""COMPUTED_VALUE"""),7.23)</f>
        <v>7.23</v>
      </c>
      <c r="D2510" s="1">
        <f ca="1">IFERROR(__xludf.DUMMYFUNCTION("""COMPUTED_VALUE"""),7.11)</f>
        <v>7.11</v>
      </c>
      <c r="E2510" s="1">
        <f ca="1">IFERROR(__xludf.DUMMYFUNCTION("""COMPUTED_VALUE"""),7.17)</f>
        <v>7.17</v>
      </c>
      <c r="F2510" s="1">
        <f ca="1">IFERROR(__xludf.DUMMYFUNCTION("""COMPUTED_VALUE"""),734600)</f>
        <v>734600</v>
      </c>
      <c r="I2510" s="1"/>
    </row>
    <row r="2511" spans="1:9">
      <c r="A2511" s="3">
        <f ca="1">IFERROR(__xludf.DUMMYFUNCTION("""COMPUTED_VALUE"""),32846.6666666666)</f>
        <v>32846.666666666599</v>
      </c>
      <c r="B2511" s="1">
        <f ca="1">IFERROR(__xludf.DUMMYFUNCTION("""COMPUTED_VALUE"""),7.25)</f>
        <v>7.25</v>
      </c>
      <c r="C2511" s="1">
        <f ca="1">IFERROR(__xludf.DUMMYFUNCTION("""COMPUTED_VALUE"""),7.31)</f>
        <v>7.31</v>
      </c>
      <c r="D2511" s="1">
        <f ca="1">IFERROR(__xludf.DUMMYFUNCTION("""COMPUTED_VALUE"""),7.17)</f>
        <v>7.17</v>
      </c>
      <c r="E2511" s="1">
        <f ca="1">IFERROR(__xludf.DUMMYFUNCTION("""COMPUTED_VALUE"""),7.25)</f>
        <v>7.25</v>
      </c>
      <c r="F2511" s="1">
        <f ca="1">IFERROR(__xludf.DUMMYFUNCTION("""COMPUTED_VALUE"""),820700)</f>
        <v>820700</v>
      </c>
      <c r="I2511" s="1"/>
    </row>
    <row r="2512" spans="1:9">
      <c r="A2512" s="3">
        <f ca="1">IFERROR(__xludf.DUMMYFUNCTION("""COMPUTED_VALUE"""),32847.6666666666)</f>
        <v>32847.666666666599</v>
      </c>
      <c r="B2512" s="1">
        <f ca="1">IFERROR(__xludf.DUMMYFUNCTION("""COMPUTED_VALUE"""),7.19)</f>
        <v>7.19</v>
      </c>
      <c r="C2512" s="1">
        <f ca="1">IFERROR(__xludf.DUMMYFUNCTION("""COMPUTED_VALUE"""),7.28)</f>
        <v>7.28</v>
      </c>
      <c r="D2512" s="1">
        <f ca="1">IFERROR(__xludf.DUMMYFUNCTION("""COMPUTED_VALUE"""),7.16)</f>
        <v>7.16</v>
      </c>
      <c r="E2512" s="1">
        <f ca="1">IFERROR(__xludf.DUMMYFUNCTION("""COMPUTED_VALUE"""),7.19)</f>
        <v>7.19</v>
      </c>
      <c r="F2512" s="1">
        <f ca="1">IFERROR(__xludf.DUMMYFUNCTION("""COMPUTED_VALUE"""),506200)</f>
        <v>506200</v>
      </c>
      <c r="I2512" s="1"/>
    </row>
    <row r="2513" spans="1:9">
      <c r="A2513" s="3">
        <f ca="1">IFERROR(__xludf.DUMMYFUNCTION("""COMPUTED_VALUE"""),32848.6666666666)</f>
        <v>32848.666666666599</v>
      </c>
      <c r="B2513" s="1">
        <f ca="1">IFERROR(__xludf.DUMMYFUNCTION("""COMPUTED_VALUE"""),7.23)</f>
        <v>7.23</v>
      </c>
      <c r="C2513" s="1">
        <f ca="1">IFERROR(__xludf.DUMMYFUNCTION("""COMPUTED_VALUE"""),7.27)</f>
        <v>7.27</v>
      </c>
      <c r="D2513" s="1">
        <f ca="1">IFERROR(__xludf.DUMMYFUNCTION("""COMPUTED_VALUE"""),7.2)</f>
        <v>7.2</v>
      </c>
      <c r="E2513" s="1">
        <f ca="1">IFERROR(__xludf.DUMMYFUNCTION("""COMPUTED_VALUE"""),7.23)</f>
        <v>7.23</v>
      </c>
      <c r="F2513" s="1">
        <f ca="1">IFERROR(__xludf.DUMMYFUNCTION("""COMPUTED_VALUE"""),453700)</f>
        <v>453700</v>
      </c>
      <c r="I2513" s="1"/>
    </row>
    <row r="2514" spans="1:9">
      <c r="A2514" s="3">
        <f ca="1">IFERROR(__xludf.DUMMYFUNCTION("""COMPUTED_VALUE"""),32849.6666666666)</f>
        <v>32849.666666666599</v>
      </c>
      <c r="B2514" s="1">
        <f ca="1">IFERROR(__xludf.DUMMYFUNCTION("""COMPUTED_VALUE"""),7.23)</f>
        <v>7.23</v>
      </c>
      <c r="C2514" s="1">
        <f ca="1">IFERROR(__xludf.DUMMYFUNCTION("""COMPUTED_VALUE"""),7.28)</f>
        <v>7.28</v>
      </c>
      <c r="D2514" s="1">
        <f ca="1">IFERROR(__xludf.DUMMYFUNCTION("""COMPUTED_VALUE"""),7.19)</f>
        <v>7.19</v>
      </c>
      <c r="E2514" s="1">
        <f ca="1">IFERROR(__xludf.DUMMYFUNCTION("""COMPUTED_VALUE"""),7.23)</f>
        <v>7.23</v>
      </c>
      <c r="F2514" s="1">
        <f ca="1">IFERROR(__xludf.DUMMYFUNCTION("""COMPUTED_VALUE"""),471600)</f>
        <v>471600</v>
      </c>
      <c r="I2514" s="1"/>
    </row>
    <row r="2515" spans="1:9">
      <c r="A2515" s="3">
        <f ca="1">IFERROR(__xludf.DUMMYFUNCTION("""COMPUTED_VALUE"""),32850.6666666666)</f>
        <v>32850.666666666599</v>
      </c>
      <c r="B2515" s="1">
        <f ca="1">IFERROR(__xludf.DUMMYFUNCTION("""COMPUTED_VALUE"""),7.27)</f>
        <v>7.27</v>
      </c>
      <c r="C2515" s="1">
        <f ca="1">IFERROR(__xludf.DUMMYFUNCTION("""COMPUTED_VALUE"""),7.27)</f>
        <v>7.27</v>
      </c>
      <c r="D2515" s="1">
        <f ca="1">IFERROR(__xludf.DUMMYFUNCTION("""COMPUTED_VALUE"""),7.22)</f>
        <v>7.22</v>
      </c>
      <c r="E2515" s="1">
        <f ca="1">IFERROR(__xludf.DUMMYFUNCTION("""COMPUTED_VALUE"""),7.27)</f>
        <v>7.27</v>
      </c>
      <c r="F2515" s="1">
        <f ca="1">IFERROR(__xludf.DUMMYFUNCTION("""COMPUTED_VALUE"""),533400)</f>
        <v>533400</v>
      </c>
      <c r="I2515" s="1"/>
    </row>
    <row r="2516" spans="1:9">
      <c r="A2516" s="3">
        <f ca="1">IFERROR(__xludf.DUMMYFUNCTION("""COMPUTED_VALUE"""),32853.6666666666)</f>
        <v>32853.666666666599</v>
      </c>
      <c r="B2516" s="1">
        <f ca="1">IFERROR(__xludf.DUMMYFUNCTION("""COMPUTED_VALUE"""),7.28)</f>
        <v>7.28</v>
      </c>
      <c r="C2516" s="1">
        <f ca="1">IFERROR(__xludf.DUMMYFUNCTION("""COMPUTED_VALUE"""),7.3)</f>
        <v>7.3</v>
      </c>
      <c r="D2516" s="1">
        <f ca="1">IFERROR(__xludf.DUMMYFUNCTION("""COMPUTED_VALUE"""),7.22)</f>
        <v>7.22</v>
      </c>
      <c r="E2516" s="1">
        <f ca="1">IFERROR(__xludf.DUMMYFUNCTION("""COMPUTED_VALUE"""),7.28)</f>
        <v>7.28</v>
      </c>
      <c r="F2516" s="1">
        <f ca="1">IFERROR(__xludf.DUMMYFUNCTION("""COMPUTED_VALUE"""),651600)</f>
        <v>651600</v>
      </c>
      <c r="I2516" s="1"/>
    </row>
    <row r="2517" spans="1:9">
      <c r="A2517" s="3">
        <f ca="1">IFERROR(__xludf.DUMMYFUNCTION("""COMPUTED_VALUE"""),32854.6666666666)</f>
        <v>32854.666666666599</v>
      </c>
      <c r="B2517" s="1">
        <f ca="1">IFERROR(__xludf.DUMMYFUNCTION("""COMPUTED_VALUE"""),7.25)</f>
        <v>7.25</v>
      </c>
      <c r="C2517" s="1">
        <f ca="1">IFERROR(__xludf.DUMMYFUNCTION("""COMPUTED_VALUE"""),7.28)</f>
        <v>7.28</v>
      </c>
      <c r="D2517" s="1">
        <f ca="1">IFERROR(__xludf.DUMMYFUNCTION("""COMPUTED_VALUE"""),7.19)</f>
        <v>7.19</v>
      </c>
      <c r="E2517" s="1">
        <f ca="1">IFERROR(__xludf.DUMMYFUNCTION("""COMPUTED_VALUE"""),7.25)</f>
        <v>7.25</v>
      </c>
      <c r="F2517" s="1">
        <f ca="1">IFERROR(__xludf.DUMMYFUNCTION("""COMPUTED_VALUE"""),448900)</f>
        <v>448900</v>
      </c>
      <c r="I2517" s="1"/>
    </row>
    <row r="2518" spans="1:9">
      <c r="A2518" s="3">
        <f ca="1">IFERROR(__xludf.DUMMYFUNCTION("""COMPUTED_VALUE"""),32855.6666666666)</f>
        <v>32855.666666666599</v>
      </c>
      <c r="B2518" s="1">
        <f ca="1">IFERROR(__xludf.DUMMYFUNCTION("""COMPUTED_VALUE"""),7.31)</f>
        <v>7.31</v>
      </c>
      <c r="C2518" s="1">
        <f ca="1">IFERROR(__xludf.DUMMYFUNCTION("""COMPUTED_VALUE"""),7.36)</f>
        <v>7.36</v>
      </c>
      <c r="D2518" s="1">
        <f ca="1">IFERROR(__xludf.DUMMYFUNCTION("""COMPUTED_VALUE"""),7.25)</f>
        <v>7.25</v>
      </c>
      <c r="E2518" s="1">
        <f ca="1">IFERROR(__xludf.DUMMYFUNCTION("""COMPUTED_VALUE"""),7.31)</f>
        <v>7.31</v>
      </c>
      <c r="F2518" s="1">
        <f ca="1">IFERROR(__xludf.DUMMYFUNCTION("""COMPUTED_VALUE"""),866000)</f>
        <v>866000</v>
      </c>
      <c r="I2518" s="1"/>
    </row>
    <row r="2519" spans="1:9">
      <c r="A2519" s="3">
        <f ca="1">IFERROR(__xludf.DUMMYFUNCTION("""COMPUTED_VALUE"""),32856.6666666666)</f>
        <v>32856.666666666599</v>
      </c>
      <c r="B2519" s="1">
        <f ca="1">IFERROR(__xludf.DUMMYFUNCTION("""COMPUTED_VALUE"""),7.25)</f>
        <v>7.25</v>
      </c>
      <c r="C2519" s="1">
        <f ca="1">IFERROR(__xludf.DUMMYFUNCTION("""COMPUTED_VALUE"""),7.27)</f>
        <v>7.27</v>
      </c>
      <c r="D2519" s="1">
        <f ca="1">IFERROR(__xludf.DUMMYFUNCTION("""COMPUTED_VALUE"""),7.22)</f>
        <v>7.22</v>
      </c>
      <c r="E2519" s="1">
        <f ca="1">IFERROR(__xludf.DUMMYFUNCTION("""COMPUTED_VALUE"""),7.25)</f>
        <v>7.25</v>
      </c>
      <c r="F2519" s="1">
        <f ca="1">IFERROR(__xludf.DUMMYFUNCTION("""COMPUTED_VALUE"""),546400)</f>
        <v>546400</v>
      </c>
      <c r="I2519" s="1"/>
    </row>
    <row r="2520" spans="1:9">
      <c r="A2520" s="3">
        <f ca="1">IFERROR(__xludf.DUMMYFUNCTION("""COMPUTED_VALUE"""),32857.6666666666)</f>
        <v>32857.666666666599</v>
      </c>
      <c r="B2520" s="1">
        <f ca="1">IFERROR(__xludf.DUMMYFUNCTION("""COMPUTED_VALUE"""),7.17)</f>
        <v>7.17</v>
      </c>
      <c r="C2520" s="1">
        <f ca="1">IFERROR(__xludf.DUMMYFUNCTION("""COMPUTED_VALUE"""),7.25)</f>
        <v>7.25</v>
      </c>
      <c r="D2520" s="1">
        <f ca="1">IFERROR(__xludf.DUMMYFUNCTION("""COMPUTED_VALUE"""),7.08)</f>
        <v>7.08</v>
      </c>
      <c r="E2520" s="1">
        <f ca="1">IFERROR(__xludf.DUMMYFUNCTION("""COMPUTED_VALUE"""),7.17)</f>
        <v>7.17</v>
      </c>
      <c r="F2520" s="1">
        <f ca="1">IFERROR(__xludf.DUMMYFUNCTION("""COMPUTED_VALUE"""),1203100)</f>
        <v>1203100</v>
      </c>
      <c r="I2520" s="1"/>
    </row>
    <row r="2521" spans="1:9">
      <c r="A2521" s="3">
        <f ca="1">IFERROR(__xludf.DUMMYFUNCTION("""COMPUTED_VALUE"""),32860.6666666666)</f>
        <v>32860.666666666599</v>
      </c>
      <c r="B2521" s="1">
        <f ca="1">IFERROR(__xludf.DUMMYFUNCTION("""COMPUTED_VALUE"""),7.02)</f>
        <v>7.02</v>
      </c>
      <c r="C2521" s="1">
        <f ca="1">IFERROR(__xludf.DUMMYFUNCTION("""COMPUTED_VALUE"""),7.22)</f>
        <v>7.22</v>
      </c>
      <c r="D2521" s="1">
        <f ca="1">IFERROR(__xludf.DUMMYFUNCTION("""COMPUTED_VALUE"""),6.94)</f>
        <v>6.94</v>
      </c>
      <c r="E2521" s="1">
        <f ca="1">IFERROR(__xludf.DUMMYFUNCTION("""COMPUTED_VALUE"""),7.02)</f>
        <v>7.02</v>
      </c>
      <c r="F2521" s="1">
        <f ca="1">IFERROR(__xludf.DUMMYFUNCTION("""COMPUTED_VALUE"""),866200)</f>
        <v>866200</v>
      </c>
      <c r="I2521" s="1"/>
    </row>
    <row r="2522" spans="1:9">
      <c r="A2522" s="3">
        <f ca="1">IFERROR(__xludf.DUMMYFUNCTION("""COMPUTED_VALUE"""),32861.6666666666)</f>
        <v>32861.666666666599</v>
      </c>
      <c r="B2522" s="1">
        <f ca="1">IFERROR(__xludf.DUMMYFUNCTION("""COMPUTED_VALUE"""),7.02)</f>
        <v>7.02</v>
      </c>
      <c r="C2522" s="1">
        <f ca="1">IFERROR(__xludf.DUMMYFUNCTION("""COMPUTED_VALUE"""),7.06)</f>
        <v>7.06</v>
      </c>
      <c r="D2522" s="1">
        <f ca="1">IFERROR(__xludf.DUMMYFUNCTION("""COMPUTED_VALUE"""),6.97)</f>
        <v>6.97</v>
      </c>
      <c r="E2522" s="1">
        <f ca="1">IFERROR(__xludf.DUMMYFUNCTION("""COMPUTED_VALUE"""),7.02)</f>
        <v>7.02</v>
      </c>
      <c r="F2522" s="1">
        <f ca="1">IFERROR(__xludf.DUMMYFUNCTION("""COMPUTED_VALUE"""),912200)</f>
        <v>912200</v>
      </c>
      <c r="I2522" s="1"/>
    </row>
    <row r="2523" spans="1:9">
      <c r="A2523" s="3">
        <f ca="1">IFERROR(__xludf.DUMMYFUNCTION("""COMPUTED_VALUE"""),32862.6666666666)</f>
        <v>32862.666666666599</v>
      </c>
      <c r="B2523" s="1">
        <f ca="1">IFERROR(__xludf.DUMMYFUNCTION("""COMPUTED_VALUE"""),7.05)</f>
        <v>7.05</v>
      </c>
      <c r="C2523" s="1">
        <f ca="1">IFERROR(__xludf.DUMMYFUNCTION("""COMPUTED_VALUE"""),7.13)</f>
        <v>7.13</v>
      </c>
      <c r="D2523" s="1">
        <f ca="1">IFERROR(__xludf.DUMMYFUNCTION("""COMPUTED_VALUE"""),6.98)</f>
        <v>6.98</v>
      </c>
      <c r="E2523" s="1">
        <f ca="1">IFERROR(__xludf.DUMMYFUNCTION("""COMPUTED_VALUE"""),7.05)</f>
        <v>7.05</v>
      </c>
      <c r="F2523" s="1">
        <f ca="1">IFERROR(__xludf.DUMMYFUNCTION("""COMPUTED_VALUE"""),466800)</f>
        <v>466800</v>
      </c>
      <c r="I2523" s="1"/>
    </row>
    <row r="2524" spans="1:9">
      <c r="A2524" s="3">
        <f ca="1">IFERROR(__xludf.DUMMYFUNCTION("""COMPUTED_VALUE"""),32863.6666666666)</f>
        <v>32863.666666666599</v>
      </c>
      <c r="B2524" s="1">
        <f ca="1">IFERROR(__xludf.DUMMYFUNCTION("""COMPUTED_VALUE"""),7.08)</f>
        <v>7.08</v>
      </c>
      <c r="C2524" s="1">
        <f ca="1">IFERROR(__xludf.DUMMYFUNCTION("""COMPUTED_VALUE"""),7.09)</f>
        <v>7.09</v>
      </c>
      <c r="D2524" s="1">
        <f ca="1">IFERROR(__xludf.DUMMYFUNCTION("""COMPUTED_VALUE"""),7.05)</f>
        <v>7.05</v>
      </c>
      <c r="E2524" s="1">
        <f ca="1">IFERROR(__xludf.DUMMYFUNCTION("""COMPUTED_VALUE"""),7.08)</f>
        <v>7.08</v>
      </c>
      <c r="F2524" s="1">
        <f ca="1">IFERROR(__xludf.DUMMYFUNCTION("""COMPUTED_VALUE"""),518100)</f>
        <v>518100</v>
      </c>
      <c r="I2524" s="1"/>
    </row>
    <row r="2525" spans="1:9">
      <c r="A2525" s="3">
        <f ca="1">IFERROR(__xludf.DUMMYFUNCTION("""COMPUTED_VALUE"""),32864.6666666666)</f>
        <v>32864.666666666599</v>
      </c>
      <c r="B2525" s="1">
        <f ca="1">IFERROR(__xludf.DUMMYFUNCTION("""COMPUTED_VALUE"""),7.11)</f>
        <v>7.11</v>
      </c>
      <c r="C2525" s="1">
        <f ca="1">IFERROR(__xludf.DUMMYFUNCTION("""COMPUTED_VALUE"""),7.16)</f>
        <v>7.16</v>
      </c>
      <c r="D2525" s="1">
        <f ca="1">IFERROR(__xludf.DUMMYFUNCTION("""COMPUTED_VALUE"""),7.03)</f>
        <v>7.03</v>
      </c>
      <c r="E2525" s="1">
        <f ca="1">IFERROR(__xludf.DUMMYFUNCTION("""COMPUTED_VALUE"""),7.11)</f>
        <v>7.11</v>
      </c>
      <c r="F2525" s="1">
        <f ca="1">IFERROR(__xludf.DUMMYFUNCTION("""COMPUTED_VALUE"""),346700)</f>
        <v>346700</v>
      </c>
      <c r="I2525" s="1"/>
    </row>
    <row r="2526" spans="1:9">
      <c r="A2526" s="3">
        <f ca="1">IFERROR(__xludf.DUMMYFUNCTION("""COMPUTED_VALUE"""),32868.6666666666)</f>
        <v>32868.666666666599</v>
      </c>
      <c r="B2526" s="1">
        <f ca="1">IFERROR(__xludf.DUMMYFUNCTION("""COMPUTED_VALUE"""),7.13)</f>
        <v>7.13</v>
      </c>
      <c r="C2526" s="1">
        <f ca="1">IFERROR(__xludf.DUMMYFUNCTION("""COMPUTED_VALUE"""),7.19)</f>
        <v>7.19</v>
      </c>
      <c r="D2526" s="1">
        <f ca="1">IFERROR(__xludf.DUMMYFUNCTION("""COMPUTED_VALUE"""),7.11)</f>
        <v>7.11</v>
      </c>
      <c r="E2526" s="1">
        <f ca="1">IFERROR(__xludf.DUMMYFUNCTION("""COMPUTED_VALUE"""),7.13)</f>
        <v>7.13</v>
      </c>
      <c r="F2526" s="1">
        <f ca="1">IFERROR(__xludf.DUMMYFUNCTION("""COMPUTED_VALUE"""),225200)</f>
        <v>225200</v>
      </c>
      <c r="I2526" s="1"/>
    </row>
    <row r="2527" spans="1:9">
      <c r="A2527" s="3">
        <f ca="1">IFERROR(__xludf.DUMMYFUNCTION("""COMPUTED_VALUE"""),32869.6666666666)</f>
        <v>32869.666666666599</v>
      </c>
      <c r="B2527" s="1">
        <f ca="1">IFERROR(__xludf.DUMMYFUNCTION("""COMPUTED_VALUE"""),7.31)</f>
        <v>7.31</v>
      </c>
      <c r="C2527" s="1">
        <f ca="1">IFERROR(__xludf.DUMMYFUNCTION("""COMPUTED_VALUE"""),7.31)</f>
        <v>7.31</v>
      </c>
      <c r="D2527" s="1">
        <f ca="1">IFERROR(__xludf.DUMMYFUNCTION("""COMPUTED_VALUE"""),7.16)</f>
        <v>7.16</v>
      </c>
      <c r="E2527" s="1">
        <f ca="1">IFERROR(__xludf.DUMMYFUNCTION("""COMPUTED_VALUE"""),7.31)</f>
        <v>7.31</v>
      </c>
      <c r="F2527" s="1">
        <f ca="1">IFERROR(__xludf.DUMMYFUNCTION("""COMPUTED_VALUE"""),395600)</f>
        <v>395600</v>
      </c>
      <c r="I2527" s="1"/>
    </row>
    <row r="2528" spans="1:9">
      <c r="A2528" s="3">
        <f ca="1">IFERROR(__xludf.DUMMYFUNCTION("""COMPUTED_VALUE"""),32870.6666666666)</f>
        <v>32870.666666666599</v>
      </c>
      <c r="B2528" s="1">
        <f ca="1">IFERROR(__xludf.DUMMYFUNCTION("""COMPUTED_VALUE"""),7.39)</f>
        <v>7.39</v>
      </c>
      <c r="C2528" s="1">
        <f ca="1">IFERROR(__xludf.DUMMYFUNCTION("""COMPUTED_VALUE"""),7.41)</f>
        <v>7.41</v>
      </c>
      <c r="D2528" s="1">
        <f ca="1">IFERROR(__xludf.DUMMYFUNCTION("""COMPUTED_VALUE"""),7.23)</f>
        <v>7.23</v>
      </c>
      <c r="E2528" s="1">
        <f ca="1">IFERROR(__xludf.DUMMYFUNCTION("""COMPUTED_VALUE"""),7.39)</f>
        <v>7.39</v>
      </c>
      <c r="F2528" s="1">
        <f ca="1">IFERROR(__xludf.DUMMYFUNCTION("""COMPUTED_VALUE"""),473300)</f>
        <v>473300</v>
      </c>
      <c r="I2528" s="1"/>
    </row>
    <row r="2529" spans="1:9">
      <c r="A2529" s="3">
        <f ca="1">IFERROR(__xludf.DUMMYFUNCTION("""COMPUTED_VALUE"""),32871.6666666666)</f>
        <v>32871.666666666599</v>
      </c>
      <c r="B2529" s="1">
        <f ca="1">IFERROR(__xludf.DUMMYFUNCTION("""COMPUTED_VALUE"""),7.42)</f>
        <v>7.42</v>
      </c>
      <c r="C2529" s="1">
        <f ca="1">IFERROR(__xludf.DUMMYFUNCTION("""COMPUTED_VALUE"""),7.44)</f>
        <v>7.44</v>
      </c>
      <c r="D2529" s="1">
        <f ca="1">IFERROR(__xludf.DUMMYFUNCTION("""COMPUTED_VALUE"""),7.38)</f>
        <v>7.38</v>
      </c>
      <c r="E2529" s="1">
        <f ca="1">IFERROR(__xludf.DUMMYFUNCTION("""COMPUTED_VALUE"""),7.42)</f>
        <v>7.42</v>
      </c>
      <c r="F2529" s="1">
        <f ca="1">IFERROR(__xludf.DUMMYFUNCTION("""COMPUTED_VALUE"""),328000)</f>
        <v>328000</v>
      </c>
      <c r="I2529" s="1"/>
    </row>
    <row r="2530" spans="1:9">
      <c r="A2530" s="3">
        <f ca="1">IFERROR(__xludf.DUMMYFUNCTION("""COMPUTED_VALUE"""),32875.6666666666)</f>
        <v>32875.666666666599</v>
      </c>
      <c r="B2530" s="1">
        <f ca="1">IFERROR(__xludf.DUMMYFUNCTION("""COMPUTED_VALUE"""),7.48)</f>
        <v>7.48</v>
      </c>
      <c r="C2530" s="1">
        <f ca="1">IFERROR(__xludf.DUMMYFUNCTION("""COMPUTED_VALUE"""),7.48)</f>
        <v>7.48</v>
      </c>
      <c r="D2530" s="1">
        <f ca="1">IFERROR(__xludf.DUMMYFUNCTION("""COMPUTED_VALUE"""),7.31)</f>
        <v>7.31</v>
      </c>
      <c r="E2530" s="1">
        <f ca="1">IFERROR(__xludf.DUMMYFUNCTION("""COMPUTED_VALUE"""),7.48)</f>
        <v>7.48</v>
      </c>
      <c r="F2530" s="1">
        <f ca="1">IFERROR(__xludf.DUMMYFUNCTION("""COMPUTED_VALUE"""),672000)</f>
        <v>672000</v>
      </c>
      <c r="I2530" s="1"/>
    </row>
    <row r="2531" spans="1:9">
      <c r="A2531" s="3">
        <f ca="1">IFERROR(__xludf.DUMMYFUNCTION("""COMPUTED_VALUE"""),32876.6666666666)</f>
        <v>32876.666666666599</v>
      </c>
      <c r="B2531" s="1">
        <f ca="1">IFERROR(__xludf.DUMMYFUNCTION("""COMPUTED_VALUE"""),7.52)</f>
        <v>7.52</v>
      </c>
      <c r="C2531" s="1">
        <f ca="1">IFERROR(__xludf.DUMMYFUNCTION("""COMPUTED_VALUE"""),7.53)</f>
        <v>7.53</v>
      </c>
      <c r="D2531" s="1">
        <f ca="1">IFERROR(__xludf.DUMMYFUNCTION("""COMPUTED_VALUE"""),7.41)</f>
        <v>7.41</v>
      </c>
      <c r="E2531" s="1">
        <f ca="1">IFERROR(__xludf.DUMMYFUNCTION("""COMPUTED_VALUE"""),7.52)</f>
        <v>7.52</v>
      </c>
      <c r="F2531" s="1">
        <f ca="1">IFERROR(__xludf.DUMMYFUNCTION("""COMPUTED_VALUE"""),875900)</f>
        <v>875900</v>
      </c>
      <c r="I2531" s="1"/>
    </row>
    <row r="2532" spans="1:9">
      <c r="A2532" s="3">
        <f ca="1">IFERROR(__xludf.DUMMYFUNCTION("""COMPUTED_VALUE"""),32877.6666666666)</f>
        <v>32877.666666666599</v>
      </c>
      <c r="B2532" s="1">
        <f ca="1">IFERROR(__xludf.DUMMYFUNCTION("""COMPUTED_VALUE"""),7.53)</f>
        <v>7.53</v>
      </c>
      <c r="C2532" s="1">
        <f ca="1">IFERROR(__xludf.DUMMYFUNCTION("""COMPUTED_VALUE"""),7.55)</f>
        <v>7.55</v>
      </c>
      <c r="D2532" s="1">
        <f ca="1">IFERROR(__xludf.DUMMYFUNCTION("""COMPUTED_VALUE"""),7.44)</f>
        <v>7.44</v>
      </c>
      <c r="E2532" s="1">
        <f ca="1">IFERROR(__xludf.DUMMYFUNCTION("""COMPUTED_VALUE"""),7.53)</f>
        <v>7.53</v>
      </c>
      <c r="F2532" s="1">
        <f ca="1">IFERROR(__xludf.DUMMYFUNCTION("""COMPUTED_VALUE"""),516500)</f>
        <v>516500</v>
      </c>
      <c r="I2532" s="1"/>
    </row>
    <row r="2533" spans="1:9">
      <c r="A2533" s="3">
        <f ca="1">IFERROR(__xludf.DUMMYFUNCTION("""COMPUTED_VALUE"""),32878.6666666666)</f>
        <v>32878.666666666599</v>
      </c>
      <c r="B2533" s="1">
        <f ca="1">IFERROR(__xludf.DUMMYFUNCTION("""COMPUTED_VALUE"""),7.45)</f>
        <v>7.45</v>
      </c>
      <c r="C2533" s="1">
        <f ca="1">IFERROR(__xludf.DUMMYFUNCTION("""COMPUTED_VALUE"""),7.59)</f>
        <v>7.59</v>
      </c>
      <c r="D2533" s="1">
        <f ca="1">IFERROR(__xludf.DUMMYFUNCTION("""COMPUTED_VALUE"""),7.45)</f>
        <v>7.45</v>
      </c>
      <c r="E2533" s="1">
        <f ca="1">IFERROR(__xludf.DUMMYFUNCTION("""COMPUTED_VALUE"""),7.45)</f>
        <v>7.45</v>
      </c>
      <c r="F2533" s="1">
        <f ca="1">IFERROR(__xludf.DUMMYFUNCTION("""COMPUTED_VALUE"""),608000)</f>
        <v>608000</v>
      </c>
      <c r="I2533" s="1"/>
    </row>
    <row r="2534" spans="1:9">
      <c r="A2534" s="3">
        <f ca="1">IFERROR(__xludf.DUMMYFUNCTION("""COMPUTED_VALUE"""),32881.6666666666)</f>
        <v>32881.666666666599</v>
      </c>
      <c r="B2534" s="1">
        <f ca="1">IFERROR(__xludf.DUMMYFUNCTION("""COMPUTED_VALUE"""),7.58)</f>
        <v>7.58</v>
      </c>
      <c r="C2534" s="1">
        <f ca="1">IFERROR(__xludf.DUMMYFUNCTION("""COMPUTED_VALUE"""),7.58)</f>
        <v>7.58</v>
      </c>
      <c r="D2534" s="1">
        <f ca="1">IFERROR(__xludf.DUMMYFUNCTION("""COMPUTED_VALUE"""),7.44)</f>
        <v>7.44</v>
      </c>
      <c r="E2534" s="1">
        <f ca="1">IFERROR(__xludf.DUMMYFUNCTION("""COMPUTED_VALUE"""),7.58)</f>
        <v>7.58</v>
      </c>
      <c r="F2534" s="1">
        <f ca="1">IFERROR(__xludf.DUMMYFUNCTION("""COMPUTED_VALUE"""),896700)</f>
        <v>896700</v>
      </c>
      <c r="I2534" s="1"/>
    </row>
    <row r="2535" spans="1:9">
      <c r="A2535" s="3">
        <f ca="1">IFERROR(__xludf.DUMMYFUNCTION("""COMPUTED_VALUE"""),32882.6666666666)</f>
        <v>32882.666666666599</v>
      </c>
      <c r="B2535" s="1">
        <f ca="1">IFERROR(__xludf.DUMMYFUNCTION("""COMPUTED_VALUE"""),7.34)</f>
        <v>7.34</v>
      </c>
      <c r="C2535" s="1">
        <f ca="1">IFERROR(__xludf.DUMMYFUNCTION("""COMPUTED_VALUE"""),7.58)</f>
        <v>7.58</v>
      </c>
      <c r="D2535" s="1">
        <f ca="1">IFERROR(__xludf.DUMMYFUNCTION("""COMPUTED_VALUE"""),7.34)</f>
        <v>7.34</v>
      </c>
      <c r="E2535" s="1">
        <f ca="1">IFERROR(__xludf.DUMMYFUNCTION("""COMPUTED_VALUE"""),7.34)</f>
        <v>7.34</v>
      </c>
      <c r="F2535" s="1">
        <f ca="1">IFERROR(__xludf.DUMMYFUNCTION("""COMPUTED_VALUE"""),928800)</f>
        <v>928800</v>
      </c>
      <c r="I2535" s="1"/>
    </row>
    <row r="2536" spans="1:9">
      <c r="A2536" s="3">
        <f ca="1">IFERROR(__xludf.DUMMYFUNCTION("""COMPUTED_VALUE"""),32883.6666666666)</f>
        <v>32883.666666666599</v>
      </c>
      <c r="B2536" s="1">
        <f ca="1">IFERROR(__xludf.DUMMYFUNCTION("""COMPUTED_VALUE"""),7.23)</f>
        <v>7.23</v>
      </c>
      <c r="C2536" s="1">
        <f ca="1">IFERROR(__xludf.DUMMYFUNCTION("""COMPUTED_VALUE"""),7.44)</f>
        <v>7.44</v>
      </c>
      <c r="D2536" s="1">
        <f ca="1">IFERROR(__xludf.DUMMYFUNCTION("""COMPUTED_VALUE"""),7.19)</f>
        <v>7.19</v>
      </c>
      <c r="E2536" s="1">
        <f ca="1">IFERROR(__xludf.DUMMYFUNCTION("""COMPUTED_VALUE"""),7.23)</f>
        <v>7.23</v>
      </c>
      <c r="F2536" s="1">
        <f ca="1">IFERROR(__xludf.DUMMYFUNCTION("""COMPUTED_VALUE"""),1077600)</f>
        <v>1077600</v>
      </c>
      <c r="I2536" s="1"/>
    </row>
    <row r="2537" spans="1:9">
      <c r="A2537" s="3">
        <f ca="1">IFERROR(__xludf.DUMMYFUNCTION("""COMPUTED_VALUE"""),32884.6666666666)</f>
        <v>32884.666666666599</v>
      </c>
      <c r="B2537" s="1">
        <f ca="1">IFERROR(__xludf.DUMMYFUNCTION("""COMPUTED_VALUE"""),7.33)</f>
        <v>7.33</v>
      </c>
      <c r="C2537" s="1">
        <f ca="1">IFERROR(__xludf.DUMMYFUNCTION("""COMPUTED_VALUE"""),7.36)</f>
        <v>7.36</v>
      </c>
      <c r="D2537" s="1">
        <f ca="1">IFERROR(__xludf.DUMMYFUNCTION("""COMPUTED_VALUE"""),7.28)</f>
        <v>7.28</v>
      </c>
      <c r="E2537" s="1">
        <f ca="1">IFERROR(__xludf.DUMMYFUNCTION("""COMPUTED_VALUE"""),7.33)</f>
        <v>7.33</v>
      </c>
      <c r="F2537" s="1">
        <f ca="1">IFERROR(__xludf.DUMMYFUNCTION("""COMPUTED_VALUE"""),422200)</f>
        <v>422200</v>
      </c>
      <c r="I2537" s="1"/>
    </row>
    <row r="2538" spans="1:9">
      <c r="A2538" s="3">
        <f ca="1">IFERROR(__xludf.DUMMYFUNCTION("""COMPUTED_VALUE"""),32885.6666666666)</f>
        <v>32885.666666666599</v>
      </c>
      <c r="B2538" s="1">
        <f ca="1">IFERROR(__xludf.DUMMYFUNCTION("""COMPUTED_VALUE"""),7.11)</f>
        <v>7.11</v>
      </c>
      <c r="C2538" s="1">
        <f ca="1">IFERROR(__xludf.DUMMYFUNCTION("""COMPUTED_VALUE"""),7.3)</f>
        <v>7.3</v>
      </c>
      <c r="D2538" s="1">
        <f ca="1">IFERROR(__xludf.DUMMYFUNCTION("""COMPUTED_VALUE"""),7.08)</f>
        <v>7.08</v>
      </c>
      <c r="E2538" s="1">
        <f ca="1">IFERROR(__xludf.DUMMYFUNCTION("""COMPUTED_VALUE"""),7.11)</f>
        <v>7.11</v>
      </c>
      <c r="F2538" s="1">
        <f ca="1">IFERROR(__xludf.DUMMYFUNCTION("""COMPUTED_VALUE"""),1018100)</f>
        <v>1018100</v>
      </c>
      <c r="I2538" s="1"/>
    </row>
    <row r="2539" spans="1:9">
      <c r="A2539" s="3">
        <f ca="1">IFERROR(__xludf.DUMMYFUNCTION("""COMPUTED_VALUE"""),32888.6666666666)</f>
        <v>32888.666666666599</v>
      </c>
      <c r="B2539" s="1">
        <f ca="1">IFERROR(__xludf.DUMMYFUNCTION("""COMPUTED_VALUE"""),7.08)</f>
        <v>7.08</v>
      </c>
      <c r="C2539" s="1">
        <f ca="1">IFERROR(__xludf.DUMMYFUNCTION("""COMPUTED_VALUE"""),7.14)</f>
        <v>7.14</v>
      </c>
      <c r="D2539" s="1">
        <f ca="1">IFERROR(__xludf.DUMMYFUNCTION("""COMPUTED_VALUE"""),7.05)</f>
        <v>7.05</v>
      </c>
      <c r="E2539" s="1">
        <f ca="1">IFERROR(__xludf.DUMMYFUNCTION("""COMPUTED_VALUE"""),7.08)</f>
        <v>7.08</v>
      </c>
      <c r="F2539" s="1">
        <f ca="1">IFERROR(__xludf.DUMMYFUNCTION("""COMPUTED_VALUE"""),531900)</f>
        <v>531900</v>
      </c>
      <c r="I2539" s="1"/>
    </row>
    <row r="2540" spans="1:9">
      <c r="A2540" s="3">
        <f ca="1">IFERROR(__xludf.DUMMYFUNCTION("""COMPUTED_VALUE"""),32889.6666666666)</f>
        <v>32889.666666666599</v>
      </c>
      <c r="B2540" s="1">
        <f ca="1">IFERROR(__xludf.DUMMYFUNCTION("""COMPUTED_VALUE"""),7.08)</f>
        <v>7.08</v>
      </c>
      <c r="C2540" s="1">
        <f ca="1">IFERROR(__xludf.DUMMYFUNCTION("""COMPUTED_VALUE"""),7.08)</f>
        <v>7.08</v>
      </c>
      <c r="D2540" s="1">
        <f ca="1">IFERROR(__xludf.DUMMYFUNCTION("""COMPUTED_VALUE"""),6.97)</f>
        <v>6.97</v>
      </c>
      <c r="E2540" s="1">
        <f ca="1">IFERROR(__xludf.DUMMYFUNCTION("""COMPUTED_VALUE"""),7.08)</f>
        <v>7.08</v>
      </c>
      <c r="F2540" s="1">
        <f ca="1">IFERROR(__xludf.DUMMYFUNCTION("""COMPUTED_VALUE"""),1007100)</f>
        <v>1007100</v>
      </c>
      <c r="I2540" s="1"/>
    </row>
    <row r="2541" spans="1:9">
      <c r="A2541" s="3">
        <f ca="1">IFERROR(__xludf.DUMMYFUNCTION("""COMPUTED_VALUE"""),32890.6666666666)</f>
        <v>32890.666666666599</v>
      </c>
      <c r="B2541" s="1">
        <f ca="1">IFERROR(__xludf.DUMMYFUNCTION("""COMPUTED_VALUE"""),7.02)</f>
        <v>7.02</v>
      </c>
      <c r="C2541" s="1">
        <f ca="1">IFERROR(__xludf.DUMMYFUNCTION("""COMPUTED_VALUE"""),7.11)</f>
        <v>7.11</v>
      </c>
      <c r="D2541" s="1">
        <f ca="1">IFERROR(__xludf.DUMMYFUNCTION("""COMPUTED_VALUE"""),7.02)</f>
        <v>7.02</v>
      </c>
      <c r="E2541" s="1">
        <f ca="1">IFERROR(__xludf.DUMMYFUNCTION("""COMPUTED_VALUE"""),7.02)</f>
        <v>7.02</v>
      </c>
      <c r="F2541" s="1">
        <f ca="1">IFERROR(__xludf.DUMMYFUNCTION("""COMPUTED_VALUE"""),935300)</f>
        <v>935300</v>
      </c>
      <c r="I2541" s="1"/>
    </row>
    <row r="2542" spans="1:9">
      <c r="A2542" s="3">
        <f ca="1">IFERROR(__xludf.DUMMYFUNCTION("""COMPUTED_VALUE"""),32891.6666666666)</f>
        <v>32891.666666666599</v>
      </c>
      <c r="B2542" s="1">
        <f ca="1">IFERROR(__xludf.DUMMYFUNCTION("""COMPUTED_VALUE"""),7.08)</f>
        <v>7.08</v>
      </c>
      <c r="C2542" s="1">
        <f ca="1">IFERROR(__xludf.DUMMYFUNCTION("""COMPUTED_VALUE"""),7.09)</f>
        <v>7.09</v>
      </c>
      <c r="D2542" s="1">
        <f ca="1">IFERROR(__xludf.DUMMYFUNCTION("""COMPUTED_VALUE"""),6.95)</f>
        <v>6.95</v>
      </c>
      <c r="E2542" s="1">
        <f ca="1">IFERROR(__xludf.DUMMYFUNCTION("""COMPUTED_VALUE"""),7.08)</f>
        <v>7.08</v>
      </c>
      <c r="F2542" s="1">
        <f ca="1">IFERROR(__xludf.DUMMYFUNCTION("""COMPUTED_VALUE"""),575200)</f>
        <v>575200</v>
      </c>
      <c r="I2542" s="1"/>
    </row>
    <row r="2543" spans="1:9">
      <c r="A2543" s="3">
        <f ca="1">IFERROR(__xludf.DUMMYFUNCTION("""COMPUTED_VALUE"""),32892.6666666666)</f>
        <v>32892.666666666599</v>
      </c>
      <c r="B2543" s="1">
        <f ca="1">IFERROR(__xludf.DUMMYFUNCTION("""COMPUTED_VALUE"""),7.17)</f>
        <v>7.17</v>
      </c>
      <c r="C2543" s="1">
        <f ca="1">IFERROR(__xludf.DUMMYFUNCTION("""COMPUTED_VALUE"""),7.19)</f>
        <v>7.19</v>
      </c>
      <c r="D2543" s="1">
        <f ca="1">IFERROR(__xludf.DUMMYFUNCTION("""COMPUTED_VALUE"""),7.06)</f>
        <v>7.06</v>
      </c>
      <c r="E2543" s="1">
        <f ca="1">IFERROR(__xludf.DUMMYFUNCTION("""COMPUTED_VALUE"""),7.17)</f>
        <v>7.17</v>
      </c>
      <c r="F2543" s="1">
        <f ca="1">IFERROR(__xludf.DUMMYFUNCTION("""COMPUTED_VALUE"""),749000)</f>
        <v>749000</v>
      </c>
      <c r="I2543" s="1"/>
    </row>
    <row r="2544" spans="1:9">
      <c r="A2544" s="3">
        <f ca="1">IFERROR(__xludf.DUMMYFUNCTION("""COMPUTED_VALUE"""),32895.6666666666)</f>
        <v>32895.666666666599</v>
      </c>
      <c r="B2544" s="1">
        <f ca="1">IFERROR(__xludf.DUMMYFUNCTION("""COMPUTED_VALUE"""),6.92)</f>
        <v>6.92</v>
      </c>
      <c r="C2544" s="1">
        <f ca="1">IFERROR(__xludf.DUMMYFUNCTION("""COMPUTED_VALUE"""),7.16)</f>
        <v>7.16</v>
      </c>
      <c r="D2544" s="1">
        <f ca="1">IFERROR(__xludf.DUMMYFUNCTION("""COMPUTED_VALUE"""),6.92)</f>
        <v>6.92</v>
      </c>
      <c r="E2544" s="1">
        <f ca="1">IFERROR(__xludf.DUMMYFUNCTION("""COMPUTED_VALUE"""),6.92)</f>
        <v>6.92</v>
      </c>
      <c r="F2544" s="1">
        <f ca="1">IFERROR(__xludf.DUMMYFUNCTION("""COMPUTED_VALUE"""),500400)</f>
        <v>500400</v>
      </c>
      <c r="I2544" s="1"/>
    </row>
    <row r="2545" spans="1:9">
      <c r="A2545" s="3">
        <f ca="1">IFERROR(__xludf.DUMMYFUNCTION("""COMPUTED_VALUE"""),32896.6666666666)</f>
        <v>32896.666666666599</v>
      </c>
      <c r="B2545" s="1">
        <f ca="1">IFERROR(__xludf.DUMMYFUNCTION("""COMPUTED_VALUE"""),6.91)</f>
        <v>6.91</v>
      </c>
      <c r="C2545" s="1">
        <f ca="1">IFERROR(__xludf.DUMMYFUNCTION("""COMPUTED_VALUE"""),7.05)</f>
        <v>7.05</v>
      </c>
      <c r="D2545" s="1">
        <f ca="1">IFERROR(__xludf.DUMMYFUNCTION("""COMPUTED_VALUE"""),6.88)</f>
        <v>6.88</v>
      </c>
      <c r="E2545" s="1">
        <f ca="1">IFERROR(__xludf.DUMMYFUNCTION("""COMPUTED_VALUE"""),6.91)</f>
        <v>6.91</v>
      </c>
      <c r="F2545" s="1">
        <f ca="1">IFERROR(__xludf.DUMMYFUNCTION("""COMPUTED_VALUE"""),777400)</f>
        <v>777400</v>
      </c>
      <c r="I2545" s="1"/>
    </row>
    <row r="2546" spans="1:9">
      <c r="A2546" s="3">
        <f ca="1">IFERROR(__xludf.DUMMYFUNCTION("""COMPUTED_VALUE"""),32897.6666666666)</f>
        <v>32897.666666666599</v>
      </c>
      <c r="B2546" s="1">
        <f ca="1">IFERROR(__xludf.DUMMYFUNCTION("""COMPUTED_VALUE"""),6.78)</f>
        <v>6.78</v>
      </c>
      <c r="C2546" s="1">
        <f ca="1">IFERROR(__xludf.DUMMYFUNCTION("""COMPUTED_VALUE"""),6.84)</f>
        <v>6.84</v>
      </c>
      <c r="D2546" s="1">
        <f ca="1">IFERROR(__xludf.DUMMYFUNCTION("""COMPUTED_VALUE"""),6.58)</f>
        <v>6.58</v>
      </c>
      <c r="E2546" s="1">
        <f ca="1">IFERROR(__xludf.DUMMYFUNCTION("""COMPUTED_VALUE"""),6.78)</f>
        <v>6.78</v>
      </c>
      <c r="F2546" s="1">
        <f ca="1">IFERROR(__xludf.DUMMYFUNCTION("""COMPUTED_VALUE"""),1468000)</f>
        <v>1468000</v>
      </c>
      <c r="I2546" s="1"/>
    </row>
    <row r="2547" spans="1:9">
      <c r="A2547" s="3">
        <f ca="1">IFERROR(__xludf.DUMMYFUNCTION("""COMPUTED_VALUE"""),32898.6666666666)</f>
        <v>32898.666666666599</v>
      </c>
      <c r="B2547" s="1">
        <f ca="1">IFERROR(__xludf.DUMMYFUNCTION("""COMPUTED_VALUE"""),6.63)</f>
        <v>6.63</v>
      </c>
      <c r="C2547" s="1">
        <f ca="1">IFERROR(__xludf.DUMMYFUNCTION("""COMPUTED_VALUE"""),6.83)</f>
        <v>6.83</v>
      </c>
      <c r="D2547" s="1">
        <f ca="1">IFERROR(__xludf.DUMMYFUNCTION("""COMPUTED_VALUE"""),6.59)</f>
        <v>6.59</v>
      </c>
      <c r="E2547" s="1">
        <f ca="1">IFERROR(__xludf.DUMMYFUNCTION("""COMPUTED_VALUE"""),6.63)</f>
        <v>6.63</v>
      </c>
      <c r="F2547" s="1">
        <f ca="1">IFERROR(__xludf.DUMMYFUNCTION("""COMPUTED_VALUE"""),640500)</f>
        <v>640500</v>
      </c>
      <c r="I2547" s="1"/>
    </row>
    <row r="2548" spans="1:9">
      <c r="A2548" s="3">
        <f ca="1">IFERROR(__xludf.DUMMYFUNCTION("""COMPUTED_VALUE"""),32899.6666666666)</f>
        <v>32899.666666666599</v>
      </c>
      <c r="B2548" s="1">
        <f ca="1">IFERROR(__xludf.DUMMYFUNCTION("""COMPUTED_VALUE"""),6.61)</f>
        <v>6.61</v>
      </c>
      <c r="C2548" s="1">
        <f ca="1">IFERROR(__xludf.DUMMYFUNCTION("""COMPUTED_VALUE"""),6.73)</f>
        <v>6.73</v>
      </c>
      <c r="D2548" s="1">
        <f ca="1">IFERROR(__xludf.DUMMYFUNCTION("""COMPUTED_VALUE"""),6.44)</f>
        <v>6.44</v>
      </c>
      <c r="E2548" s="1">
        <f ca="1">IFERROR(__xludf.DUMMYFUNCTION("""COMPUTED_VALUE"""),6.61)</f>
        <v>6.61</v>
      </c>
      <c r="F2548" s="1">
        <f ca="1">IFERROR(__xludf.DUMMYFUNCTION("""COMPUTED_VALUE"""),810700)</f>
        <v>810700</v>
      </c>
      <c r="I2548" s="1"/>
    </row>
    <row r="2549" spans="1:9">
      <c r="A2549" s="3">
        <f ca="1">IFERROR(__xludf.DUMMYFUNCTION("""COMPUTED_VALUE"""),32902.6666666666)</f>
        <v>32902.666666666599</v>
      </c>
      <c r="B2549" s="1">
        <f ca="1">IFERROR(__xludf.DUMMYFUNCTION("""COMPUTED_VALUE"""),6.61)</f>
        <v>6.61</v>
      </c>
      <c r="C2549" s="1">
        <f ca="1">IFERROR(__xludf.DUMMYFUNCTION("""COMPUTED_VALUE"""),6.7)</f>
        <v>6.7</v>
      </c>
      <c r="D2549" s="1">
        <f ca="1">IFERROR(__xludf.DUMMYFUNCTION("""COMPUTED_VALUE"""),6.56)</f>
        <v>6.56</v>
      </c>
      <c r="E2549" s="1">
        <f ca="1">IFERROR(__xludf.DUMMYFUNCTION("""COMPUTED_VALUE"""),6.61)</f>
        <v>6.61</v>
      </c>
      <c r="F2549" s="1">
        <f ca="1">IFERROR(__xludf.DUMMYFUNCTION("""COMPUTED_VALUE"""),558700)</f>
        <v>558700</v>
      </c>
      <c r="I2549" s="1"/>
    </row>
    <row r="2550" spans="1:9">
      <c r="A2550" s="3">
        <f ca="1">IFERROR(__xludf.DUMMYFUNCTION("""COMPUTED_VALUE"""),32903.6666666666)</f>
        <v>32903.666666666599</v>
      </c>
      <c r="B2550" s="1">
        <f ca="1">IFERROR(__xludf.DUMMYFUNCTION("""COMPUTED_VALUE"""),6.5)</f>
        <v>6.5</v>
      </c>
      <c r="C2550" s="1">
        <f ca="1">IFERROR(__xludf.DUMMYFUNCTION("""COMPUTED_VALUE"""),6.67)</f>
        <v>6.67</v>
      </c>
      <c r="D2550" s="1">
        <f ca="1">IFERROR(__xludf.DUMMYFUNCTION("""COMPUTED_VALUE"""),6.39)</f>
        <v>6.39</v>
      </c>
      <c r="E2550" s="1">
        <f ca="1">IFERROR(__xludf.DUMMYFUNCTION("""COMPUTED_VALUE"""),6.5)</f>
        <v>6.5</v>
      </c>
      <c r="F2550" s="1">
        <f ca="1">IFERROR(__xludf.DUMMYFUNCTION("""COMPUTED_VALUE"""),809400)</f>
        <v>809400</v>
      </c>
      <c r="I2550" s="1"/>
    </row>
    <row r="2551" spans="1:9">
      <c r="A2551" s="3">
        <f ca="1">IFERROR(__xludf.DUMMYFUNCTION("""COMPUTED_VALUE"""),32904.6666666666)</f>
        <v>32904.666666666599</v>
      </c>
      <c r="B2551" s="1">
        <f ca="1">IFERROR(__xludf.DUMMYFUNCTION("""COMPUTED_VALUE"""),6.55)</f>
        <v>6.55</v>
      </c>
      <c r="C2551" s="1">
        <f ca="1">IFERROR(__xludf.DUMMYFUNCTION("""COMPUTED_VALUE"""),6.61)</f>
        <v>6.61</v>
      </c>
      <c r="D2551" s="1">
        <f ca="1">IFERROR(__xludf.DUMMYFUNCTION("""COMPUTED_VALUE"""),6.48)</f>
        <v>6.48</v>
      </c>
      <c r="E2551" s="1">
        <f ca="1">IFERROR(__xludf.DUMMYFUNCTION("""COMPUTED_VALUE"""),6.55)</f>
        <v>6.55</v>
      </c>
      <c r="F2551" s="1">
        <f ca="1">IFERROR(__xludf.DUMMYFUNCTION("""COMPUTED_VALUE"""),642800)</f>
        <v>642800</v>
      </c>
      <c r="I2551" s="1"/>
    </row>
    <row r="2552" spans="1:9">
      <c r="A2552" s="3">
        <f ca="1">IFERROR(__xludf.DUMMYFUNCTION("""COMPUTED_VALUE"""),32905.6666666666)</f>
        <v>32905.666666666599</v>
      </c>
      <c r="B2552" s="1">
        <f ca="1">IFERROR(__xludf.DUMMYFUNCTION("""COMPUTED_VALUE"""),6.67)</f>
        <v>6.67</v>
      </c>
      <c r="C2552" s="1">
        <f ca="1">IFERROR(__xludf.DUMMYFUNCTION("""COMPUTED_VALUE"""),6.78)</f>
        <v>6.78</v>
      </c>
      <c r="D2552" s="1">
        <f ca="1">IFERROR(__xludf.DUMMYFUNCTION("""COMPUTED_VALUE"""),6.64)</f>
        <v>6.64</v>
      </c>
      <c r="E2552" s="1">
        <f ca="1">IFERROR(__xludf.DUMMYFUNCTION("""COMPUTED_VALUE"""),6.67)</f>
        <v>6.67</v>
      </c>
      <c r="F2552" s="1">
        <f ca="1">IFERROR(__xludf.DUMMYFUNCTION("""COMPUTED_VALUE"""),741800)</f>
        <v>741800</v>
      </c>
      <c r="I2552" s="1"/>
    </row>
    <row r="2553" spans="1:9">
      <c r="A2553" s="3">
        <f ca="1">IFERROR(__xludf.DUMMYFUNCTION("""COMPUTED_VALUE"""),32906.6666666666)</f>
        <v>32906.666666666599</v>
      </c>
      <c r="B2553" s="1">
        <f ca="1">IFERROR(__xludf.DUMMYFUNCTION("""COMPUTED_VALUE"""),6.83)</f>
        <v>6.83</v>
      </c>
      <c r="C2553" s="1">
        <f ca="1">IFERROR(__xludf.DUMMYFUNCTION("""COMPUTED_VALUE"""),6.88)</f>
        <v>6.88</v>
      </c>
      <c r="D2553" s="1">
        <f ca="1">IFERROR(__xludf.DUMMYFUNCTION("""COMPUTED_VALUE"""),6.67)</f>
        <v>6.67</v>
      </c>
      <c r="E2553" s="1">
        <f ca="1">IFERROR(__xludf.DUMMYFUNCTION("""COMPUTED_VALUE"""),6.83)</f>
        <v>6.83</v>
      </c>
      <c r="F2553" s="1">
        <f ca="1">IFERROR(__xludf.DUMMYFUNCTION("""COMPUTED_VALUE"""),591000)</f>
        <v>591000</v>
      </c>
      <c r="I2553" s="1"/>
    </row>
    <row r="2554" spans="1:9">
      <c r="A2554" s="3">
        <f ca="1">IFERROR(__xludf.DUMMYFUNCTION("""COMPUTED_VALUE"""),32909.6666666666)</f>
        <v>32909.666666666599</v>
      </c>
      <c r="B2554" s="1">
        <f ca="1">IFERROR(__xludf.DUMMYFUNCTION("""COMPUTED_VALUE"""),6.78)</f>
        <v>6.78</v>
      </c>
      <c r="C2554" s="1">
        <f ca="1">IFERROR(__xludf.DUMMYFUNCTION("""COMPUTED_VALUE"""),6.83)</f>
        <v>6.83</v>
      </c>
      <c r="D2554" s="1">
        <f ca="1">IFERROR(__xludf.DUMMYFUNCTION("""COMPUTED_VALUE"""),6.75)</f>
        <v>6.75</v>
      </c>
      <c r="E2554" s="1">
        <f ca="1">IFERROR(__xludf.DUMMYFUNCTION("""COMPUTED_VALUE"""),6.78)</f>
        <v>6.78</v>
      </c>
      <c r="F2554" s="1">
        <f ca="1">IFERROR(__xludf.DUMMYFUNCTION("""COMPUTED_VALUE"""),488800)</f>
        <v>488800</v>
      </c>
      <c r="I2554" s="1"/>
    </row>
    <row r="2555" spans="1:9">
      <c r="A2555" s="3">
        <f ca="1">IFERROR(__xludf.DUMMYFUNCTION("""COMPUTED_VALUE"""),32910.6666666666)</f>
        <v>32910.666666666599</v>
      </c>
      <c r="B2555" s="1">
        <f ca="1">IFERROR(__xludf.DUMMYFUNCTION("""COMPUTED_VALUE"""),6.75)</f>
        <v>6.75</v>
      </c>
      <c r="C2555" s="1">
        <f ca="1">IFERROR(__xludf.DUMMYFUNCTION("""COMPUTED_VALUE"""),6.81)</f>
        <v>6.81</v>
      </c>
      <c r="D2555" s="1">
        <f ca="1">IFERROR(__xludf.DUMMYFUNCTION("""COMPUTED_VALUE"""),6.66)</f>
        <v>6.66</v>
      </c>
      <c r="E2555" s="1">
        <f ca="1">IFERROR(__xludf.DUMMYFUNCTION("""COMPUTED_VALUE"""),6.75)</f>
        <v>6.75</v>
      </c>
      <c r="F2555" s="1">
        <f ca="1">IFERROR(__xludf.DUMMYFUNCTION("""COMPUTED_VALUE"""),470100)</f>
        <v>470100</v>
      </c>
      <c r="I2555" s="1"/>
    </row>
    <row r="2556" spans="1:9">
      <c r="A2556" s="3">
        <f ca="1">IFERROR(__xludf.DUMMYFUNCTION("""COMPUTED_VALUE"""),32911.6666666666)</f>
        <v>32911.666666666599</v>
      </c>
      <c r="B2556" s="1">
        <f ca="1">IFERROR(__xludf.DUMMYFUNCTION("""COMPUTED_VALUE"""),6.84)</f>
        <v>6.84</v>
      </c>
      <c r="C2556" s="1">
        <f ca="1">IFERROR(__xludf.DUMMYFUNCTION("""COMPUTED_VALUE"""),6.91)</f>
        <v>6.91</v>
      </c>
      <c r="D2556" s="1">
        <f ca="1">IFERROR(__xludf.DUMMYFUNCTION("""COMPUTED_VALUE"""),6.67)</f>
        <v>6.67</v>
      </c>
      <c r="E2556" s="1">
        <f ca="1">IFERROR(__xludf.DUMMYFUNCTION("""COMPUTED_VALUE"""),6.84)</f>
        <v>6.84</v>
      </c>
      <c r="F2556" s="1">
        <f ca="1">IFERROR(__xludf.DUMMYFUNCTION("""COMPUTED_VALUE"""),681500)</f>
        <v>681500</v>
      </c>
      <c r="I2556" s="1"/>
    </row>
    <row r="2557" spans="1:9">
      <c r="A2557" s="3">
        <f ca="1">IFERROR(__xludf.DUMMYFUNCTION("""COMPUTED_VALUE"""),32912.6666666666)</f>
        <v>32912.666666666599</v>
      </c>
      <c r="B2557" s="1">
        <f ca="1">IFERROR(__xludf.DUMMYFUNCTION("""COMPUTED_VALUE"""),6.97)</f>
        <v>6.97</v>
      </c>
      <c r="C2557" s="1">
        <f ca="1">IFERROR(__xludf.DUMMYFUNCTION("""COMPUTED_VALUE"""),7.03)</f>
        <v>7.03</v>
      </c>
      <c r="D2557" s="1">
        <f ca="1">IFERROR(__xludf.DUMMYFUNCTION("""COMPUTED_VALUE"""),6.89)</f>
        <v>6.89</v>
      </c>
      <c r="E2557" s="1">
        <f ca="1">IFERROR(__xludf.DUMMYFUNCTION("""COMPUTED_VALUE"""),6.97)</f>
        <v>6.97</v>
      </c>
      <c r="F2557" s="1">
        <f ca="1">IFERROR(__xludf.DUMMYFUNCTION("""COMPUTED_VALUE"""),1082400)</f>
        <v>1082400</v>
      </c>
      <c r="I2557" s="1"/>
    </row>
    <row r="2558" spans="1:9">
      <c r="A2558" s="3">
        <f ca="1">IFERROR(__xludf.DUMMYFUNCTION("""COMPUTED_VALUE"""),32913.6666666666)</f>
        <v>32913.666666666599</v>
      </c>
      <c r="B2558" s="1">
        <f ca="1">IFERROR(__xludf.DUMMYFUNCTION("""COMPUTED_VALUE"""),7.02)</f>
        <v>7.02</v>
      </c>
      <c r="C2558" s="1">
        <f ca="1">IFERROR(__xludf.DUMMYFUNCTION("""COMPUTED_VALUE"""),7.08)</f>
        <v>7.08</v>
      </c>
      <c r="D2558" s="1">
        <f ca="1">IFERROR(__xludf.DUMMYFUNCTION("""COMPUTED_VALUE"""),6.98)</f>
        <v>6.98</v>
      </c>
      <c r="E2558" s="1">
        <f ca="1">IFERROR(__xludf.DUMMYFUNCTION("""COMPUTED_VALUE"""),7.02)</f>
        <v>7.02</v>
      </c>
      <c r="F2558" s="1">
        <f ca="1">IFERROR(__xludf.DUMMYFUNCTION("""COMPUTED_VALUE"""),406200)</f>
        <v>406200</v>
      </c>
      <c r="I2558" s="1"/>
    </row>
    <row r="2559" spans="1:9">
      <c r="A2559" s="3">
        <f ca="1">IFERROR(__xludf.DUMMYFUNCTION("""COMPUTED_VALUE"""),32916.6666666666)</f>
        <v>32916.666666666599</v>
      </c>
      <c r="B2559" s="1">
        <f ca="1">IFERROR(__xludf.DUMMYFUNCTION("""COMPUTED_VALUE"""),6.97)</f>
        <v>6.97</v>
      </c>
      <c r="C2559" s="1">
        <f ca="1">IFERROR(__xludf.DUMMYFUNCTION("""COMPUTED_VALUE"""),7.03)</f>
        <v>7.03</v>
      </c>
      <c r="D2559" s="1">
        <f ca="1">IFERROR(__xludf.DUMMYFUNCTION("""COMPUTED_VALUE"""),6.94)</f>
        <v>6.94</v>
      </c>
      <c r="E2559" s="1">
        <f ca="1">IFERROR(__xludf.DUMMYFUNCTION("""COMPUTED_VALUE"""),6.97)</f>
        <v>6.97</v>
      </c>
      <c r="F2559" s="1">
        <f ca="1">IFERROR(__xludf.DUMMYFUNCTION("""COMPUTED_VALUE"""),320400)</f>
        <v>320400</v>
      </c>
      <c r="I2559" s="1"/>
    </row>
    <row r="2560" spans="1:9">
      <c r="A2560" s="3">
        <f ca="1">IFERROR(__xludf.DUMMYFUNCTION("""COMPUTED_VALUE"""),32917.6666666666)</f>
        <v>32917.666666666599</v>
      </c>
      <c r="B2560" s="1">
        <f ca="1">IFERROR(__xludf.DUMMYFUNCTION("""COMPUTED_VALUE"""),6.88)</f>
        <v>6.88</v>
      </c>
      <c r="C2560" s="1">
        <f ca="1">IFERROR(__xludf.DUMMYFUNCTION("""COMPUTED_VALUE"""),6.95)</f>
        <v>6.95</v>
      </c>
      <c r="D2560" s="1">
        <f ca="1">IFERROR(__xludf.DUMMYFUNCTION("""COMPUTED_VALUE"""),6.83)</f>
        <v>6.83</v>
      </c>
      <c r="E2560" s="1">
        <f ca="1">IFERROR(__xludf.DUMMYFUNCTION("""COMPUTED_VALUE"""),6.88)</f>
        <v>6.88</v>
      </c>
      <c r="F2560" s="1">
        <f ca="1">IFERROR(__xludf.DUMMYFUNCTION("""COMPUTED_VALUE"""),449200)</f>
        <v>449200</v>
      </c>
      <c r="I2560" s="1"/>
    </row>
    <row r="2561" spans="1:9">
      <c r="A2561" s="3">
        <f ca="1">IFERROR(__xludf.DUMMYFUNCTION("""COMPUTED_VALUE"""),32918.6666666666)</f>
        <v>32918.666666666599</v>
      </c>
      <c r="B2561" s="1">
        <f ca="1">IFERROR(__xludf.DUMMYFUNCTION("""COMPUTED_VALUE"""),6.94)</f>
        <v>6.94</v>
      </c>
      <c r="C2561" s="1">
        <f ca="1">IFERROR(__xludf.DUMMYFUNCTION("""COMPUTED_VALUE"""),6.95)</f>
        <v>6.95</v>
      </c>
      <c r="D2561" s="1">
        <f ca="1">IFERROR(__xludf.DUMMYFUNCTION("""COMPUTED_VALUE"""),6.88)</f>
        <v>6.88</v>
      </c>
      <c r="E2561" s="1">
        <f ca="1">IFERROR(__xludf.DUMMYFUNCTION("""COMPUTED_VALUE"""),6.94)</f>
        <v>6.94</v>
      </c>
      <c r="F2561" s="1">
        <f ca="1">IFERROR(__xludf.DUMMYFUNCTION("""COMPUTED_VALUE"""),462100)</f>
        <v>462100</v>
      </c>
      <c r="I2561" s="1"/>
    </row>
    <row r="2562" spans="1:9">
      <c r="A2562" s="3">
        <f ca="1">IFERROR(__xludf.DUMMYFUNCTION("""COMPUTED_VALUE"""),32919.6666666666)</f>
        <v>32919.666666666599</v>
      </c>
      <c r="B2562" s="1">
        <f ca="1">IFERROR(__xludf.DUMMYFUNCTION("""COMPUTED_VALUE"""),7.05)</f>
        <v>7.05</v>
      </c>
      <c r="C2562" s="1">
        <f ca="1">IFERROR(__xludf.DUMMYFUNCTION("""COMPUTED_VALUE"""),7.05)</f>
        <v>7.05</v>
      </c>
      <c r="D2562" s="1">
        <f ca="1">IFERROR(__xludf.DUMMYFUNCTION("""COMPUTED_VALUE"""),6.91)</f>
        <v>6.91</v>
      </c>
      <c r="E2562" s="1">
        <f ca="1">IFERROR(__xludf.DUMMYFUNCTION("""COMPUTED_VALUE"""),7.05)</f>
        <v>7.05</v>
      </c>
      <c r="F2562" s="1">
        <f ca="1">IFERROR(__xludf.DUMMYFUNCTION("""COMPUTED_VALUE"""),413300)</f>
        <v>413300</v>
      </c>
      <c r="I2562" s="1"/>
    </row>
    <row r="2563" spans="1:9">
      <c r="A2563" s="3">
        <f ca="1">IFERROR(__xludf.DUMMYFUNCTION("""COMPUTED_VALUE"""),32920.6666666666)</f>
        <v>32920.666666666599</v>
      </c>
      <c r="B2563" s="1">
        <f ca="1">IFERROR(__xludf.DUMMYFUNCTION("""COMPUTED_VALUE"""),6.94)</f>
        <v>6.94</v>
      </c>
      <c r="C2563" s="1">
        <f ca="1">IFERROR(__xludf.DUMMYFUNCTION("""COMPUTED_VALUE"""),7.05)</f>
        <v>7.05</v>
      </c>
      <c r="D2563" s="1">
        <f ca="1">IFERROR(__xludf.DUMMYFUNCTION("""COMPUTED_VALUE"""),6.91)</f>
        <v>6.91</v>
      </c>
      <c r="E2563" s="1">
        <f ca="1">IFERROR(__xludf.DUMMYFUNCTION("""COMPUTED_VALUE"""),6.94)</f>
        <v>6.94</v>
      </c>
      <c r="F2563" s="1">
        <f ca="1">IFERROR(__xludf.DUMMYFUNCTION("""COMPUTED_VALUE"""),710700)</f>
        <v>710700</v>
      </c>
      <c r="I2563" s="1"/>
    </row>
    <row r="2564" spans="1:9">
      <c r="A2564" s="3">
        <f ca="1">IFERROR(__xludf.DUMMYFUNCTION("""COMPUTED_VALUE"""),32924.6666666666)</f>
        <v>32924.666666666599</v>
      </c>
      <c r="B2564" s="1">
        <f ca="1">IFERROR(__xludf.DUMMYFUNCTION("""COMPUTED_VALUE"""),6.81)</f>
        <v>6.81</v>
      </c>
      <c r="C2564" s="1">
        <f ca="1">IFERROR(__xludf.DUMMYFUNCTION("""COMPUTED_VALUE"""),6.91)</f>
        <v>6.91</v>
      </c>
      <c r="D2564" s="1">
        <f ca="1">IFERROR(__xludf.DUMMYFUNCTION("""COMPUTED_VALUE"""),6.69)</f>
        <v>6.69</v>
      </c>
      <c r="E2564" s="1">
        <f ca="1">IFERROR(__xludf.DUMMYFUNCTION("""COMPUTED_VALUE"""),6.81)</f>
        <v>6.81</v>
      </c>
      <c r="F2564" s="1">
        <f ca="1">IFERROR(__xludf.DUMMYFUNCTION("""COMPUTED_VALUE"""),605500)</f>
        <v>605500</v>
      </c>
      <c r="I2564" s="1"/>
    </row>
    <row r="2565" spans="1:9">
      <c r="A2565" s="3">
        <f ca="1">IFERROR(__xludf.DUMMYFUNCTION("""COMPUTED_VALUE"""),32925.6666666666)</f>
        <v>32925.666666666599</v>
      </c>
      <c r="B2565" s="1">
        <f ca="1">IFERROR(__xludf.DUMMYFUNCTION("""COMPUTED_VALUE"""),6.72)</f>
        <v>6.72</v>
      </c>
      <c r="C2565" s="1">
        <f ca="1">IFERROR(__xludf.DUMMYFUNCTION("""COMPUTED_VALUE"""),6.75)</f>
        <v>6.75</v>
      </c>
      <c r="D2565" s="1">
        <f ca="1">IFERROR(__xludf.DUMMYFUNCTION("""COMPUTED_VALUE"""),6.69)</f>
        <v>6.69</v>
      </c>
      <c r="E2565" s="1">
        <f ca="1">IFERROR(__xludf.DUMMYFUNCTION("""COMPUTED_VALUE"""),6.72)</f>
        <v>6.72</v>
      </c>
      <c r="F2565" s="1">
        <f ca="1">IFERROR(__xludf.DUMMYFUNCTION("""COMPUTED_VALUE"""),708000)</f>
        <v>708000</v>
      </c>
      <c r="I2565" s="1"/>
    </row>
    <row r="2566" spans="1:9">
      <c r="A2566" s="3">
        <f ca="1">IFERROR(__xludf.DUMMYFUNCTION("""COMPUTED_VALUE"""),32926.6666666666)</f>
        <v>32926.666666666599</v>
      </c>
      <c r="B2566" s="1">
        <f ca="1">IFERROR(__xludf.DUMMYFUNCTION("""COMPUTED_VALUE"""),6.64)</f>
        <v>6.64</v>
      </c>
      <c r="C2566" s="1">
        <f ca="1">IFERROR(__xludf.DUMMYFUNCTION("""COMPUTED_VALUE"""),6.78)</f>
        <v>6.78</v>
      </c>
      <c r="D2566" s="1">
        <f ca="1">IFERROR(__xludf.DUMMYFUNCTION("""COMPUTED_VALUE"""),6.64)</f>
        <v>6.64</v>
      </c>
      <c r="E2566" s="1">
        <f ca="1">IFERROR(__xludf.DUMMYFUNCTION("""COMPUTED_VALUE"""),6.64)</f>
        <v>6.64</v>
      </c>
      <c r="F2566" s="1">
        <f ca="1">IFERROR(__xludf.DUMMYFUNCTION("""COMPUTED_VALUE"""),449200)</f>
        <v>449200</v>
      </c>
      <c r="I2566" s="1"/>
    </row>
    <row r="2567" spans="1:9">
      <c r="A2567" s="3">
        <f ca="1">IFERROR(__xludf.DUMMYFUNCTION("""COMPUTED_VALUE"""),32927.6666666666)</f>
        <v>32927.666666666599</v>
      </c>
      <c r="B2567" s="1">
        <f ca="1">IFERROR(__xludf.DUMMYFUNCTION("""COMPUTED_VALUE"""),6.52)</f>
        <v>6.52</v>
      </c>
      <c r="C2567" s="1">
        <f ca="1">IFERROR(__xludf.DUMMYFUNCTION("""COMPUTED_VALUE"""),6.66)</f>
        <v>6.66</v>
      </c>
      <c r="D2567" s="1">
        <f ca="1">IFERROR(__xludf.DUMMYFUNCTION("""COMPUTED_VALUE"""),6.5)</f>
        <v>6.5</v>
      </c>
      <c r="E2567" s="1">
        <f ca="1">IFERROR(__xludf.DUMMYFUNCTION("""COMPUTED_VALUE"""),6.52)</f>
        <v>6.52</v>
      </c>
      <c r="F2567" s="1">
        <f ca="1">IFERROR(__xludf.DUMMYFUNCTION("""COMPUTED_VALUE"""),1046100)</f>
        <v>1046100</v>
      </c>
      <c r="I2567" s="1"/>
    </row>
    <row r="2568" spans="1:9">
      <c r="A2568" s="3">
        <f ca="1">IFERROR(__xludf.DUMMYFUNCTION("""COMPUTED_VALUE"""),32930.6666666666)</f>
        <v>32930.666666666599</v>
      </c>
      <c r="B2568" s="1">
        <f ca="1">IFERROR(__xludf.DUMMYFUNCTION("""COMPUTED_VALUE"""),6.67)</f>
        <v>6.67</v>
      </c>
      <c r="C2568" s="1">
        <f ca="1">IFERROR(__xludf.DUMMYFUNCTION("""COMPUTED_VALUE"""),6.69)</f>
        <v>6.69</v>
      </c>
      <c r="D2568" s="1">
        <f ca="1">IFERROR(__xludf.DUMMYFUNCTION("""COMPUTED_VALUE"""),6.5)</f>
        <v>6.5</v>
      </c>
      <c r="E2568" s="1">
        <f ca="1">IFERROR(__xludf.DUMMYFUNCTION("""COMPUTED_VALUE"""),6.67)</f>
        <v>6.67</v>
      </c>
      <c r="F2568" s="1">
        <f ca="1">IFERROR(__xludf.DUMMYFUNCTION("""COMPUTED_VALUE"""),519600)</f>
        <v>519600</v>
      </c>
      <c r="I2568" s="1"/>
    </row>
    <row r="2569" spans="1:9">
      <c r="A2569" s="3">
        <f ca="1">IFERROR(__xludf.DUMMYFUNCTION("""COMPUTED_VALUE"""),32931.6666666666)</f>
        <v>32931.666666666599</v>
      </c>
      <c r="B2569" s="1">
        <f ca="1">IFERROR(__xludf.DUMMYFUNCTION("""COMPUTED_VALUE"""),6.67)</f>
        <v>6.67</v>
      </c>
      <c r="C2569" s="1">
        <f ca="1">IFERROR(__xludf.DUMMYFUNCTION("""COMPUTED_VALUE"""),6.75)</f>
        <v>6.75</v>
      </c>
      <c r="D2569" s="1">
        <f ca="1">IFERROR(__xludf.DUMMYFUNCTION("""COMPUTED_VALUE"""),6.66)</f>
        <v>6.66</v>
      </c>
      <c r="E2569" s="1">
        <f ca="1">IFERROR(__xludf.DUMMYFUNCTION("""COMPUTED_VALUE"""),6.67)</f>
        <v>6.67</v>
      </c>
      <c r="F2569" s="1">
        <f ca="1">IFERROR(__xludf.DUMMYFUNCTION("""COMPUTED_VALUE"""),601900)</f>
        <v>601900</v>
      </c>
      <c r="I2569" s="1"/>
    </row>
    <row r="2570" spans="1:9">
      <c r="A2570" s="3">
        <f ca="1">IFERROR(__xludf.DUMMYFUNCTION("""COMPUTED_VALUE"""),32932.6666666666)</f>
        <v>32932.666666666599</v>
      </c>
      <c r="B2570" s="1">
        <f ca="1">IFERROR(__xludf.DUMMYFUNCTION("""COMPUTED_VALUE"""),6.7)</f>
        <v>6.7</v>
      </c>
      <c r="C2570" s="1">
        <f ca="1">IFERROR(__xludf.DUMMYFUNCTION("""COMPUTED_VALUE"""),6.77)</f>
        <v>6.77</v>
      </c>
      <c r="D2570" s="1">
        <f ca="1">IFERROR(__xludf.DUMMYFUNCTION("""COMPUTED_VALUE"""),6.64)</f>
        <v>6.64</v>
      </c>
      <c r="E2570" s="1">
        <f ca="1">IFERROR(__xludf.DUMMYFUNCTION("""COMPUTED_VALUE"""),6.7)</f>
        <v>6.7</v>
      </c>
      <c r="F2570" s="1">
        <f ca="1">IFERROR(__xludf.DUMMYFUNCTION("""COMPUTED_VALUE"""),762700)</f>
        <v>762700</v>
      </c>
      <c r="I2570" s="1"/>
    </row>
    <row r="2571" spans="1:9">
      <c r="A2571" s="3">
        <f ca="1">IFERROR(__xludf.DUMMYFUNCTION("""COMPUTED_VALUE"""),32933.6666666666)</f>
        <v>32933.666666666599</v>
      </c>
      <c r="B2571" s="1">
        <f ca="1">IFERROR(__xludf.DUMMYFUNCTION("""COMPUTED_VALUE"""),6.75)</f>
        <v>6.75</v>
      </c>
      <c r="C2571" s="1">
        <f ca="1">IFERROR(__xludf.DUMMYFUNCTION("""COMPUTED_VALUE"""),6.83)</f>
        <v>6.83</v>
      </c>
      <c r="D2571" s="1">
        <f ca="1">IFERROR(__xludf.DUMMYFUNCTION("""COMPUTED_VALUE"""),6.72)</f>
        <v>6.72</v>
      </c>
      <c r="E2571" s="1">
        <f ca="1">IFERROR(__xludf.DUMMYFUNCTION("""COMPUTED_VALUE"""),6.75)</f>
        <v>6.75</v>
      </c>
      <c r="F2571" s="1">
        <f ca="1">IFERROR(__xludf.DUMMYFUNCTION("""COMPUTED_VALUE"""),380100)</f>
        <v>380100</v>
      </c>
      <c r="I2571" s="1"/>
    </row>
    <row r="2572" spans="1:9">
      <c r="A2572" s="3">
        <f ca="1">IFERROR(__xludf.DUMMYFUNCTION("""COMPUTED_VALUE"""),32934.6666666666)</f>
        <v>32934.666666666599</v>
      </c>
      <c r="B2572" s="1">
        <f ca="1">IFERROR(__xludf.DUMMYFUNCTION("""COMPUTED_VALUE"""),6.88)</f>
        <v>6.88</v>
      </c>
      <c r="C2572" s="1">
        <f ca="1">IFERROR(__xludf.DUMMYFUNCTION("""COMPUTED_VALUE"""),6.88)</f>
        <v>6.88</v>
      </c>
      <c r="D2572" s="1">
        <f ca="1">IFERROR(__xludf.DUMMYFUNCTION("""COMPUTED_VALUE"""),6.77)</f>
        <v>6.77</v>
      </c>
      <c r="E2572" s="1">
        <f ca="1">IFERROR(__xludf.DUMMYFUNCTION("""COMPUTED_VALUE"""),6.88)</f>
        <v>6.88</v>
      </c>
      <c r="F2572" s="1">
        <f ca="1">IFERROR(__xludf.DUMMYFUNCTION("""COMPUTED_VALUE"""),544200)</f>
        <v>544200</v>
      </c>
      <c r="I2572" s="1"/>
    </row>
    <row r="2573" spans="1:9">
      <c r="A2573" s="3">
        <f ca="1">IFERROR(__xludf.DUMMYFUNCTION("""COMPUTED_VALUE"""),32937.6666666666)</f>
        <v>32937.666666666599</v>
      </c>
      <c r="B2573" s="1">
        <f ca="1">IFERROR(__xludf.DUMMYFUNCTION("""COMPUTED_VALUE"""),6.77)</f>
        <v>6.77</v>
      </c>
      <c r="C2573" s="1">
        <f ca="1">IFERROR(__xludf.DUMMYFUNCTION("""COMPUTED_VALUE"""),6.94)</f>
        <v>6.94</v>
      </c>
      <c r="D2573" s="1">
        <f ca="1">IFERROR(__xludf.DUMMYFUNCTION("""COMPUTED_VALUE"""),6.77)</f>
        <v>6.77</v>
      </c>
      <c r="E2573" s="1">
        <f ca="1">IFERROR(__xludf.DUMMYFUNCTION("""COMPUTED_VALUE"""),6.77)</f>
        <v>6.77</v>
      </c>
      <c r="F2573" s="1">
        <f ca="1">IFERROR(__xludf.DUMMYFUNCTION("""COMPUTED_VALUE"""),567000)</f>
        <v>567000</v>
      </c>
      <c r="I2573" s="1"/>
    </row>
    <row r="2574" spans="1:9">
      <c r="A2574" s="3">
        <f ca="1">IFERROR(__xludf.DUMMYFUNCTION("""COMPUTED_VALUE"""),32938.6666666666)</f>
        <v>32938.666666666599</v>
      </c>
      <c r="B2574" s="1">
        <f ca="1">IFERROR(__xludf.DUMMYFUNCTION("""COMPUTED_VALUE"""),6.91)</f>
        <v>6.91</v>
      </c>
      <c r="C2574" s="1">
        <f ca="1">IFERROR(__xludf.DUMMYFUNCTION("""COMPUTED_VALUE"""),6.92)</f>
        <v>6.92</v>
      </c>
      <c r="D2574" s="1">
        <f ca="1">IFERROR(__xludf.DUMMYFUNCTION("""COMPUTED_VALUE"""),6.8)</f>
        <v>6.8</v>
      </c>
      <c r="E2574" s="1">
        <f ca="1">IFERROR(__xludf.DUMMYFUNCTION("""COMPUTED_VALUE"""),6.91)</f>
        <v>6.91</v>
      </c>
      <c r="F2574" s="1">
        <f ca="1">IFERROR(__xludf.DUMMYFUNCTION("""COMPUTED_VALUE"""),514700)</f>
        <v>514700</v>
      </c>
      <c r="I2574" s="1"/>
    </row>
    <row r="2575" spans="1:9">
      <c r="A2575" s="3">
        <f ca="1">IFERROR(__xludf.DUMMYFUNCTION("""COMPUTED_VALUE"""),32939.6666666666)</f>
        <v>32939.666666666599</v>
      </c>
      <c r="B2575" s="1">
        <f ca="1">IFERROR(__xludf.DUMMYFUNCTION("""COMPUTED_VALUE"""),6.91)</f>
        <v>6.91</v>
      </c>
      <c r="C2575" s="1">
        <f ca="1">IFERROR(__xludf.DUMMYFUNCTION("""COMPUTED_VALUE"""),6.97)</f>
        <v>6.97</v>
      </c>
      <c r="D2575" s="1">
        <f ca="1">IFERROR(__xludf.DUMMYFUNCTION("""COMPUTED_VALUE"""),6.88)</f>
        <v>6.88</v>
      </c>
      <c r="E2575" s="1">
        <f ca="1">IFERROR(__xludf.DUMMYFUNCTION("""COMPUTED_VALUE"""),6.91)</f>
        <v>6.91</v>
      </c>
      <c r="F2575" s="1">
        <f ca="1">IFERROR(__xludf.DUMMYFUNCTION("""COMPUTED_VALUE"""),394700)</f>
        <v>394700</v>
      </c>
      <c r="I2575" s="1"/>
    </row>
    <row r="2576" spans="1:9">
      <c r="A2576" s="3">
        <f ca="1">IFERROR(__xludf.DUMMYFUNCTION("""COMPUTED_VALUE"""),32940.6666666666)</f>
        <v>32940.666666666599</v>
      </c>
      <c r="B2576" s="1">
        <f ca="1">IFERROR(__xludf.DUMMYFUNCTION("""COMPUTED_VALUE"""),6.98)</f>
        <v>6.98</v>
      </c>
      <c r="C2576" s="1">
        <f ca="1">IFERROR(__xludf.DUMMYFUNCTION("""COMPUTED_VALUE"""),7)</f>
        <v>7</v>
      </c>
      <c r="D2576" s="1">
        <f ca="1">IFERROR(__xludf.DUMMYFUNCTION("""COMPUTED_VALUE"""),6.92)</f>
        <v>6.92</v>
      </c>
      <c r="E2576" s="1">
        <f ca="1">IFERROR(__xludf.DUMMYFUNCTION("""COMPUTED_VALUE"""),6.98)</f>
        <v>6.98</v>
      </c>
      <c r="F2576" s="1">
        <f ca="1">IFERROR(__xludf.DUMMYFUNCTION("""COMPUTED_VALUE"""),416200)</f>
        <v>416200</v>
      </c>
      <c r="I2576" s="1"/>
    </row>
    <row r="2577" spans="1:9">
      <c r="A2577" s="3">
        <f ca="1">IFERROR(__xludf.DUMMYFUNCTION("""COMPUTED_VALUE"""),32941.6666666666)</f>
        <v>32941.666666666599</v>
      </c>
      <c r="B2577" s="1">
        <f ca="1">IFERROR(__xludf.DUMMYFUNCTION("""COMPUTED_VALUE"""),6.95)</f>
        <v>6.95</v>
      </c>
      <c r="C2577" s="1">
        <f ca="1">IFERROR(__xludf.DUMMYFUNCTION("""COMPUTED_VALUE"""),6.97)</f>
        <v>6.97</v>
      </c>
      <c r="D2577" s="1">
        <f ca="1">IFERROR(__xludf.DUMMYFUNCTION("""COMPUTED_VALUE"""),6.91)</f>
        <v>6.91</v>
      </c>
      <c r="E2577" s="1">
        <f ca="1">IFERROR(__xludf.DUMMYFUNCTION("""COMPUTED_VALUE"""),6.95)</f>
        <v>6.95</v>
      </c>
      <c r="F2577" s="1">
        <f ca="1">IFERROR(__xludf.DUMMYFUNCTION("""COMPUTED_VALUE"""),385900)</f>
        <v>385900</v>
      </c>
      <c r="I2577" s="1"/>
    </row>
    <row r="2578" spans="1:9">
      <c r="A2578" s="3">
        <f ca="1">IFERROR(__xludf.DUMMYFUNCTION("""COMPUTED_VALUE"""),32944.6666666666)</f>
        <v>32944.666666666599</v>
      </c>
      <c r="B2578" s="1">
        <f ca="1">IFERROR(__xludf.DUMMYFUNCTION("""COMPUTED_VALUE"""),6.92)</f>
        <v>6.92</v>
      </c>
      <c r="C2578" s="1">
        <f ca="1">IFERROR(__xludf.DUMMYFUNCTION("""COMPUTED_VALUE"""),6.94)</f>
        <v>6.94</v>
      </c>
      <c r="D2578" s="1">
        <f ca="1">IFERROR(__xludf.DUMMYFUNCTION("""COMPUTED_VALUE"""),6.83)</f>
        <v>6.83</v>
      </c>
      <c r="E2578" s="1">
        <f ca="1">IFERROR(__xludf.DUMMYFUNCTION("""COMPUTED_VALUE"""),6.92)</f>
        <v>6.92</v>
      </c>
      <c r="F2578" s="1">
        <f ca="1">IFERROR(__xludf.DUMMYFUNCTION("""COMPUTED_VALUE"""),362400)</f>
        <v>362400</v>
      </c>
      <c r="I2578" s="1"/>
    </row>
    <row r="2579" spans="1:9">
      <c r="A2579" s="3">
        <f ca="1">IFERROR(__xludf.DUMMYFUNCTION("""COMPUTED_VALUE"""),32945.6666666666)</f>
        <v>32945.666666666599</v>
      </c>
      <c r="B2579" s="1">
        <f ca="1">IFERROR(__xludf.DUMMYFUNCTION("""COMPUTED_VALUE"""),6.8)</f>
        <v>6.8</v>
      </c>
      <c r="C2579" s="1">
        <f ca="1">IFERROR(__xludf.DUMMYFUNCTION("""COMPUTED_VALUE"""),6.92)</f>
        <v>6.92</v>
      </c>
      <c r="D2579" s="1">
        <f ca="1">IFERROR(__xludf.DUMMYFUNCTION("""COMPUTED_VALUE"""),6.78)</f>
        <v>6.78</v>
      </c>
      <c r="E2579" s="1">
        <f ca="1">IFERROR(__xludf.DUMMYFUNCTION("""COMPUTED_VALUE"""),6.8)</f>
        <v>6.8</v>
      </c>
      <c r="F2579" s="1">
        <f ca="1">IFERROR(__xludf.DUMMYFUNCTION("""COMPUTED_VALUE"""),404400)</f>
        <v>404400</v>
      </c>
      <c r="I2579" s="1"/>
    </row>
    <row r="2580" spans="1:9">
      <c r="A2580" s="3">
        <f ca="1">IFERROR(__xludf.DUMMYFUNCTION("""COMPUTED_VALUE"""),32946.6666666666)</f>
        <v>32946.666666666599</v>
      </c>
      <c r="B2580" s="1">
        <f ca="1">IFERROR(__xludf.DUMMYFUNCTION("""COMPUTED_VALUE"""),6.89)</f>
        <v>6.89</v>
      </c>
      <c r="C2580" s="1">
        <f ca="1">IFERROR(__xludf.DUMMYFUNCTION("""COMPUTED_VALUE"""),6.91)</f>
        <v>6.91</v>
      </c>
      <c r="D2580" s="1">
        <f ca="1">IFERROR(__xludf.DUMMYFUNCTION("""COMPUTED_VALUE"""),6.81)</f>
        <v>6.81</v>
      </c>
      <c r="E2580" s="1">
        <f ca="1">IFERROR(__xludf.DUMMYFUNCTION("""COMPUTED_VALUE"""),6.89)</f>
        <v>6.89</v>
      </c>
      <c r="F2580" s="1">
        <f ca="1">IFERROR(__xludf.DUMMYFUNCTION("""COMPUTED_VALUE"""),530200)</f>
        <v>530200</v>
      </c>
      <c r="I2580" s="1"/>
    </row>
    <row r="2581" spans="1:9">
      <c r="A2581" s="3">
        <f ca="1">IFERROR(__xludf.DUMMYFUNCTION("""COMPUTED_VALUE"""),32947.6666666666)</f>
        <v>32947.666666666599</v>
      </c>
      <c r="B2581" s="1">
        <f ca="1">IFERROR(__xludf.DUMMYFUNCTION("""COMPUTED_VALUE"""),7.11)</f>
        <v>7.11</v>
      </c>
      <c r="C2581" s="1">
        <f ca="1">IFERROR(__xludf.DUMMYFUNCTION("""COMPUTED_VALUE"""),7.16)</f>
        <v>7.16</v>
      </c>
      <c r="D2581" s="1">
        <f ca="1">IFERROR(__xludf.DUMMYFUNCTION("""COMPUTED_VALUE"""),6.88)</f>
        <v>6.88</v>
      </c>
      <c r="E2581" s="1">
        <f ca="1">IFERROR(__xludf.DUMMYFUNCTION("""COMPUTED_VALUE"""),7.11)</f>
        <v>7.11</v>
      </c>
      <c r="F2581" s="1">
        <f ca="1">IFERROR(__xludf.DUMMYFUNCTION("""COMPUTED_VALUE"""),1025800)</f>
        <v>1025800</v>
      </c>
      <c r="I2581" s="1"/>
    </row>
    <row r="2582" spans="1:9">
      <c r="A2582" s="3">
        <f ca="1">IFERROR(__xludf.DUMMYFUNCTION("""COMPUTED_VALUE"""),32948.6666666666)</f>
        <v>32948.666666666599</v>
      </c>
      <c r="B2582" s="1">
        <f ca="1">IFERROR(__xludf.DUMMYFUNCTION("""COMPUTED_VALUE"""),7.16)</f>
        <v>7.16</v>
      </c>
      <c r="C2582" s="1">
        <f ca="1">IFERROR(__xludf.DUMMYFUNCTION("""COMPUTED_VALUE"""),7.19)</f>
        <v>7.19</v>
      </c>
      <c r="D2582" s="1">
        <f ca="1">IFERROR(__xludf.DUMMYFUNCTION("""COMPUTED_VALUE"""),7.09)</f>
        <v>7.09</v>
      </c>
      <c r="E2582" s="1">
        <f ca="1">IFERROR(__xludf.DUMMYFUNCTION("""COMPUTED_VALUE"""),7.16)</f>
        <v>7.16</v>
      </c>
      <c r="F2582" s="1">
        <f ca="1">IFERROR(__xludf.DUMMYFUNCTION("""COMPUTED_VALUE"""),1696800)</f>
        <v>1696800</v>
      </c>
      <c r="I2582" s="1"/>
    </row>
    <row r="2583" spans="1:9">
      <c r="A2583" s="3">
        <f ca="1">IFERROR(__xludf.DUMMYFUNCTION("""COMPUTED_VALUE"""),32951.6666666666)</f>
        <v>32951.666666666599</v>
      </c>
      <c r="B2583" s="1">
        <f ca="1">IFERROR(__xludf.DUMMYFUNCTION("""COMPUTED_VALUE"""),7.13)</f>
        <v>7.13</v>
      </c>
      <c r="C2583" s="1">
        <f ca="1">IFERROR(__xludf.DUMMYFUNCTION("""COMPUTED_VALUE"""),7.16)</f>
        <v>7.16</v>
      </c>
      <c r="D2583" s="1">
        <f ca="1">IFERROR(__xludf.DUMMYFUNCTION("""COMPUTED_VALUE"""),7.08)</f>
        <v>7.08</v>
      </c>
      <c r="E2583" s="1">
        <f ca="1">IFERROR(__xludf.DUMMYFUNCTION("""COMPUTED_VALUE"""),7.13)</f>
        <v>7.13</v>
      </c>
      <c r="F2583" s="1">
        <f ca="1">IFERROR(__xludf.DUMMYFUNCTION("""COMPUTED_VALUE"""),513800)</f>
        <v>513800</v>
      </c>
      <c r="I2583" s="1"/>
    </row>
    <row r="2584" spans="1:9">
      <c r="A2584" s="3">
        <f ca="1">IFERROR(__xludf.DUMMYFUNCTION("""COMPUTED_VALUE"""),32952.6666666666)</f>
        <v>32952.666666666599</v>
      </c>
      <c r="B2584" s="1">
        <f ca="1">IFERROR(__xludf.DUMMYFUNCTION("""COMPUTED_VALUE"""),7.05)</f>
        <v>7.05</v>
      </c>
      <c r="C2584" s="1">
        <f ca="1">IFERROR(__xludf.DUMMYFUNCTION("""COMPUTED_VALUE"""),7.13)</f>
        <v>7.13</v>
      </c>
      <c r="D2584" s="1">
        <f ca="1">IFERROR(__xludf.DUMMYFUNCTION("""COMPUTED_VALUE"""),7.02)</f>
        <v>7.02</v>
      </c>
      <c r="E2584" s="1">
        <f ca="1">IFERROR(__xludf.DUMMYFUNCTION("""COMPUTED_VALUE"""),7.05)</f>
        <v>7.05</v>
      </c>
      <c r="F2584" s="1">
        <f ca="1">IFERROR(__xludf.DUMMYFUNCTION("""COMPUTED_VALUE"""),556600)</f>
        <v>556600</v>
      </c>
      <c r="I2584" s="1"/>
    </row>
    <row r="2585" spans="1:9">
      <c r="A2585" s="3">
        <f ca="1">IFERROR(__xludf.DUMMYFUNCTION("""COMPUTED_VALUE"""),32953.6666666666)</f>
        <v>32953.666666666599</v>
      </c>
      <c r="B2585" s="1">
        <f ca="1">IFERROR(__xludf.DUMMYFUNCTION("""COMPUTED_VALUE"""),6.98)</f>
        <v>6.98</v>
      </c>
      <c r="C2585" s="1">
        <f ca="1">IFERROR(__xludf.DUMMYFUNCTION("""COMPUTED_VALUE"""),7.09)</f>
        <v>7.09</v>
      </c>
      <c r="D2585" s="1">
        <f ca="1">IFERROR(__xludf.DUMMYFUNCTION("""COMPUTED_VALUE"""),6.98)</f>
        <v>6.98</v>
      </c>
      <c r="E2585" s="1">
        <f ca="1">IFERROR(__xludf.DUMMYFUNCTION("""COMPUTED_VALUE"""),6.98)</f>
        <v>6.98</v>
      </c>
      <c r="F2585" s="1">
        <f ca="1">IFERROR(__xludf.DUMMYFUNCTION("""COMPUTED_VALUE"""),280000)</f>
        <v>280000</v>
      </c>
      <c r="I2585" s="1"/>
    </row>
    <row r="2586" spans="1:9">
      <c r="A2586" s="3">
        <f ca="1">IFERROR(__xludf.DUMMYFUNCTION("""COMPUTED_VALUE"""),32954.6666666666)</f>
        <v>32954.666666666599</v>
      </c>
      <c r="B2586" s="1">
        <f ca="1">IFERROR(__xludf.DUMMYFUNCTION("""COMPUTED_VALUE"""),6.86)</f>
        <v>6.86</v>
      </c>
      <c r="C2586" s="1">
        <f ca="1">IFERROR(__xludf.DUMMYFUNCTION("""COMPUTED_VALUE"""),7.05)</f>
        <v>7.05</v>
      </c>
      <c r="D2586" s="1">
        <f ca="1">IFERROR(__xludf.DUMMYFUNCTION("""COMPUTED_VALUE"""),6.83)</f>
        <v>6.83</v>
      </c>
      <c r="E2586" s="1">
        <f ca="1">IFERROR(__xludf.DUMMYFUNCTION("""COMPUTED_VALUE"""),6.86)</f>
        <v>6.86</v>
      </c>
      <c r="F2586" s="1">
        <f ca="1">IFERROR(__xludf.DUMMYFUNCTION("""COMPUTED_VALUE"""),618200)</f>
        <v>618200</v>
      </c>
      <c r="I2586" s="1"/>
    </row>
    <row r="2587" spans="1:9">
      <c r="A2587" s="3">
        <f ca="1">IFERROR(__xludf.DUMMYFUNCTION("""COMPUTED_VALUE"""),32955.6666666666)</f>
        <v>32955.666666666599</v>
      </c>
      <c r="B2587" s="1">
        <f ca="1">IFERROR(__xludf.DUMMYFUNCTION("""COMPUTED_VALUE"""),6.97)</f>
        <v>6.97</v>
      </c>
      <c r="C2587" s="1">
        <f ca="1">IFERROR(__xludf.DUMMYFUNCTION("""COMPUTED_VALUE"""),6.98)</f>
        <v>6.98</v>
      </c>
      <c r="D2587" s="1">
        <f ca="1">IFERROR(__xludf.DUMMYFUNCTION("""COMPUTED_VALUE"""),6.88)</f>
        <v>6.88</v>
      </c>
      <c r="E2587" s="1">
        <f ca="1">IFERROR(__xludf.DUMMYFUNCTION("""COMPUTED_VALUE"""),6.97)</f>
        <v>6.97</v>
      </c>
      <c r="F2587" s="1">
        <f ca="1">IFERROR(__xludf.DUMMYFUNCTION("""COMPUTED_VALUE"""),392900)</f>
        <v>392900</v>
      </c>
      <c r="I2587" s="1"/>
    </row>
    <row r="2588" spans="1:9">
      <c r="A2588" s="3">
        <f ca="1">IFERROR(__xludf.DUMMYFUNCTION("""COMPUTED_VALUE"""),32958.6666666666)</f>
        <v>32958.666666666599</v>
      </c>
      <c r="B2588" s="1">
        <f ca="1">IFERROR(__xludf.DUMMYFUNCTION("""COMPUTED_VALUE"""),6.98)</f>
        <v>6.98</v>
      </c>
      <c r="C2588" s="1">
        <f ca="1">IFERROR(__xludf.DUMMYFUNCTION("""COMPUTED_VALUE"""),7.03)</f>
        <v>7.03</v>
      </c>
      <c r="D2588" s="1">
        <f ca="1">IFERROR(__xludf.DUMMYFUNCTION("""COMPUTED_VALUE"""),6.97)</f>
        <v>6.97</v>
      </c>
      <c r="E2588" s="1">
        <f ca="1">IFERROR(__xludf.DUMMYFUNCTION("""COMPUTED_VALUE"""),6.98)</f>
        <v>6.98</v>
      </c>
      <c r="F2588" s="1">
        <f ca="1">IFERROR(__xludf.DUMMYFUNCTION("""COMPUTED_VALUE"""),425500)</f>
        <v>425500</v>
      </c>
      <c r="I2588" s="1"/>
    </row>
    <row r="2589" spans="1:9">
      <c r="A2589" s="3">
        <f ca="1">IFERROR(__xludf.DUMMYFUNCTION("""COMPUTED_VALUE"""),32959.6666666666)</f>
        <v>32959.666666666599</v>
      </c>
      <c r="B2589" s="1">
        <f ca="1">IFERROR(__xludf.DUMMYFUNCTION("""COMPUTED_VALUE"""),7.14)</f>
        <v>7.14</v>
      </c>
      <c r="C2589" s="1">
        <f ca="1">IFERROR(__xludf.DUMMYFUNCTION("""COMPUTED_VALUE"""),7.19)</f>
        <v>7.19</v>
      </c>
      <c r="D2589" s="1">
        <f ca="1">IFERROR(__xludf.DUMMYFUNCTION("""COMPUTED_VALUE"""),6.94)</f>
        <v>6.94</v>
      </c>
      <c r="E2589" s="1">
        <f ca="1">IFERROR(__xludf.DUMMYFUNCTION("""COMPUTED_VALUE"""),7.14)</f>
        <v>7.14</v>
      </c>
      <c r="F2589" s="1">
        <f ca="1">IFERROR(__xludf.DUMMYFUNCTION("""COMPUTED_VALUE"""),449500)</f>
        <v>449500</v>
      </c>
      <c r="I2589" s="1"/>
    </row>
    <row r="2590" spans="1:9">
      <c r="A2590" s="3">
        <f ca="1">IFERROR(__xludf.DUMMYFUNCTION("""COMPUTED_VALUE"""),32960.6666666666)</f>
        <v>32960.666666666599</v>
      </c>
      <c r="B2590" s="1">
        <f ca="1">IFERROR(__xludf.DUMMYFUNCTION("""COMPUTED_VALUE"""),7.14)</f>
        <v>7.14</v>
      </c>
      <c r="C2590" s="1">
        <f ca="1">IFERROR(__xludf.DUMMYFUNCTION("""COMPUTED_VALUE"""),7.19)</f>
        <v>7.19</v>
      </c>
      <c r="D2590" s="1">
        <f ca="1">IFERROR(__xludf.DUMMYFUNCTION("""COMPUTED_VALUE"""),7.09)</f>
        <v>7.09</v>
      </c>
      <c r="E2590" s="1">
        <f ca="1">IFERROR(__xludf.DUMMYFUNCTION("""COMPUTED_VALUE"""),7.14)</f>
        <v>7.14</v>
      </c>
      <c r="F2590" s="1">
        <f ca="1">IFERROR(__xludf.DUMMYFUNCTION("""COMPUTED_VALUE"""),339500)</f>
        <v>339500</v>
      </c>
      <c r="I2590" s="1"/>
    </row>
    <row r="2591" spans="1:9">
      <c r="A2591" s="3">
        <f ca="1">IFERROR(__xludf.DUMMYFUNCTION("""COMPUTED_VALUE"""),32961.6666666666)</f>
        <v>32961.666666666599</v>
      </c>
      <c r="B2591" s="1">
        <f ca="1">IFERROR(__xludf.DUMMYFUNCTION("""COMPUTED_VALUE"""),7.08)</f>
        <v>7.08</v>
      </c>
      <c r="C2591" s="1">
        <f ca="1">IFERROR(__xludf.DUMMYFUNCTION("""COMPUTED_VALUE"""),7.16)</f>
        <v>7.16</v>
      </c>
      <c r="D2591" s="1">
        <f ca="1">IFERROR(__xludf.DUMMYFUNCTION("""COMPUTED_VALUE"""),7.06)</f>
        <v>7.06</v>
      </c>
      <c r="E2591" s="1">
        <f ca="1">IFERROR(__xludf.DUMMYFUNCTION("""COMPUTED_VALUE"""),7.08)</f>
        <v>7.08</v>
      </c>
      <c r="F2591" s="1">
        <f ca="1">IFERROR(__xludf.DUMMYFUNCTION("""COMPUTED_VALUE"""),508700)</f>
        <v>508700</v>
      </c>
      <c r="I2591" s="1"/>
    </row>
    <row r="2592" spans="1:9">
      <c r="A2592" s="3">
        <f ca="1">IFERROR(__xludf.DUMMYFUNCTION("""COMPUTED_VALUE"""),32962.6666666666)</f>
        <v>32962.666666666599</v>
      </c>
      <c r="B2592" s="1">
        <f ca="1">IFERROR(__xludf.DUMMYFUNCTION("""COMPUTED_VALUE"""),7.02)</f>
        <v>7.02</v>
      </c>
      <c r="C2592" s="1">
        <f ca="1">IFERROR(__xludf.DUMMYFUNCTION("""COMPUTED_VALUE"""),7.09)</f>
        <v>7.09</v>
      </c>
      <c r="D2592" s="1">
        <f ca="1">IFERROR(__xludf.DUMMYFUNCTION("""COMPUTED_VALUE"""),7)</f>
        <v>7</v>
      </c>
      <c r="E2592" s="1">
        <f ca="1">IFERROR(__xludf.DUMMYFUNCTION("""COMPUTED_VALUE"""),7.02)</f>
        <v>7.02</v>
      </c>
      <c r="F2592" s="1">
        <f ca="1">IFERROR(__xludf.DUMMYFUNCTION("""COMPUTED_VALUE"""),424100)</f>
        <v>424100</v>
      </c>
      <c r="I2592" s="1"/>
    </row>
    <row r="2593" spans="1:9">
      <c r="A2593" s="3">
        <f ca="1">IFERROR(__xludf.DUMMYFUNCTION("""COMPUTED_VALUE"""),32965.6666666666)</f>
        <v>32965.666666666599</v>
      </c>
      <c r="B2593" s="1">
        <f ca="1">IFERROR(__xludf.DUMMYFUNCTION("""COMPUTED_VALUE"""),7.02)</f>
        <v>7.02</v>
      </c>
      <c r="C2593" s="1">
        <f ca="1">IFERROR(__xludf.DUMMYFUNCTION("""COMPUTED_VALUE"""),7.03)</f>
        <v>7.03</v>
      </c>
      <c r="D2593" s="1">
        <f ca="1">IFERROR(__xludf.DUMMYFUNCTION("""COMPUTED_VALUE"""),6.94)</f>
        <v>6.94</v>
      </c>
      <c r="E2593" s="1">
        <f ca="1">IFERROR(__xludf.DUMMYFUNCTION("""COMPUTED_VALUE"""),7.02)</f>
        <v>7.02</v>
      </c>
      <c r="F2593" s="1">
        <f ca="1">IFERROR(__xludf.DUMMYFUNCTION("""COMPUTED_VALUE"""),401500)</f>
        <v>401500</v>
      </c>
      <c r="I2593" s="1"/>
    </row>
    <row r="2594" spans="1:9">
      <c r="A2594" s="3">
        <f ca="1">IFERROR(__xludf.DUMMYFUNCTION("""COMPUTED_VALUE"""),32966.6666666666)</f>
        <v>32966.666666666599</v>
      </c>
      <c r="B2594" s="1">
        <f ca="1">IFERROR(__xludf.DUMMYFUNCTION("""COMPUTED_VALUE"""),7.2)</f>
        <v>7.2</v>
      </c>
      <c r="C2594" s="1">
        <f ca="1">IFERROR(__xludf.DUMMYFUNCTION("""COMPUTED_VALUE"""),7.22)</f>
        <v>7.22</v>
      </c>
      <c r="D2594" s="1">
        <f ca="1">IFERROR(__xludf.DUMMYFUNCTION("""COMPUTED_VALUE"""),7.02)</f>
        <v>7.02</v>
      </c>
      <c r="E2594" s="1">
        <f ca="1">IFERROR(__xludf.DUMMYFUNCTION("""COMPUTED_VALUE"""),7.2)</f>
        <v>7.2</v>
      </c>
      <c r="F2594" s="1">
        <f ca="1">IFERROR(__xludf.DUMMYFUNCTION("""COMPUTED_VALUE"""),555100)</f>
        <v>555100</v>
      </c>
      <c r="I2594" s="1"/>
    </row>
    <row r="2595" spans="1:9">
      <c r="A2595" s="3">
        <f ca="1">IFERROR(__xludf.DUMMYFUNCTION("""COMPUTED_VALUE"""),32967.6666666666)</f>
        <v>32967.666666666599</v>
      </c>
      <c r="B2595" s="1">
        <f ca="1">IFERROR(__xludf.DUMMYFUNCTION("""COMPUTED_VALUE"""),7.09)</f>
        <v>7.09</v>
      </c>
      <c r="C2595" s="1">
        <f ca="1">IFERROR(__xludf.DUMMYFUNCTION("""COMPUTED_VALUE"""),7.3)</f>
        <v>7.3</v>
      </c>
      <c r="D2595" s="1">
        <f ca="1">IFERROR(__xludf.DUMMYFUNCTION("""COMPUTED_VALUE"""),7.06)</f>
        <v>7.06</v>
      </c>
      <c r="E2595" s="1">
        <f ca="1">IFERROR(__xludf.DUMMYFUNCTION("""COMPUTED_VALUE"""),7.09)</f>
        <v>7.09</v>
      </c>
      <c r="F2595" s="1">
        <f ca="1">IFERROR(__xludf.DUMMYFUNCTION("""COMPUTED_VALUE"""),638700)</f>
        <v>638700</v>
      </c>
      <c r="I2595" s="1"/>
    </row>
    <row r="2596" spans="1:9">
      <c r="A2596" s="3">
        <f ca="1">IFERROR(__xludf.DUMMYFUNCTION("""COMPUTED_VALUE"""),32968.6666666666)</f>
        <v>32968.666666666599</v>
      </c>
      <c r="B2596" s="1">
        <f ca="1">IFERROR(__xludf.DUMMYFUNCTION("""COMPUTED_VALUE"""),7.14)</f>
        <v>7.14</v>
      </c>
      <c r="C2596" s="1">
        <f ca="1">IFERROR(__xludf.DUMMYFUNCTION("""COMPUTED_VALUE"""),7.23)</f>
        <v>7.23</v>
      </c>
      <c r="D2596" s="1">
        <f ca="1">IFERROR(__xludf.DUMMYFUNCTION("""COMPUTED_VALUE"""),7.13)</f>
        <v>7.13</v>
      </c>
      <c r="E2596" s="1">
        <f ca="1">IFERROR(__xludf.DUMMYFUNCTION("""COMPUTED_VALUE"""),7.14)</f>
        <v>7.14</v>
      </c>
      <c r="F2596" s="1">
        <f ca="1">IFERROR(__xludf.DUMMYFUNCTION("""COMPUTED_VALUE"""),666000)</f>
        <v>666000</v>
      </c>
      <c r="I2596" s="1"/>
    </row>
    <row r="2597" spans="1:9">
      <c r="A2597" s="3">
        <f ca="1">IFERROR(__xludf.DUMMYFUNCTION("""COMPUTED_VALUE"""),32969.6666666666)</f>
        <v>32969.666666666599</v>
      </c>
      <c r="B2597" s="1">
        <f ca="1">IFERROR(__xludf.DUMMYFUNCTION("""COMPUTED_VALUE"""),7.14)</f>
        <v>7.14</v>
      </c>
      <c r="C2597" s="1">
        <f ca="1">IFERROR(__xludf.DUMMYFUNCTION("""COMPUTED_VALUE"""),7.19)</f>
        <v>7.19</v>
      </c>
      <c r="D2597" s="1">
        <f ca="1">IFERROR(__xludf.DUMMYFUNCTION("""COMPUTED_VALUE"""),7.02)</f>
        <v>7.02</v>
      </c>
      <c r="E2597" s="1">
        <f ca="1">IFERROR(__xludf.DUMMYFUNCTION("""COMPUTED_VALUE"""),7.14)</f>
        <v>7.14</v>
      </c>
      <c r="F2597" s="1">
        <f ca="1">IFERROR(__xludf.DUMMYFUNCTION("""COMPUTED_VALUE"""),375500)</f>
        <v>375500</v>
      </c>
      <c r="I2597" s="1"/>
    </row>
    <row r="2598" spans="1:9">
      <c r="A2598" s="3">
        <f ca="1">IFERROR(__xludf.DUMMYFUNCTION("""COMPUTED_VALUE"""),32972.6666666666)</f>
        <v>32972.666666666599</v>
      </c>
      <c r="B2598" s="1">
        <f ca="1">IFERROR(__xludf.DUMMYFUNCTION("""COMPUTED_VALUE"""),7.27)</f>
        <v>7.27</v>
      </c>
      <c r="C2598" s="1">
        <f ca="1">IFERROR(__xludf.DUMMYFUNCTION("""COMPUTED_VALUE"""),7.3)</f>
        <v>7.3</v>
      </c>
      <c r="D2598" s="1">
        <f ca="1">IFERROR(__xludf.DUMMYFUNCTION("""COMPUTED_VALUE"""),7.13)</f>
        <v>7.13</v>
      </c>
      <c r="E2598" s="1">
        <f ca="1">IFERROR(__xludf.DUMMYFUNCTION("""COMPUTED_VALUE"""),7.27)</f>
        <v>7.27</v>
      </c>
      <c r="F2598" s="1">
        <f ca="1">IFERROR(__xludf.DUMMYFUNCTION("""COMPUTED_VALUE"""),518000)</f>
        <v>518000</v>
      </c>
      <c r="I2598" s="1"/>
    </row>
    <row r="2599" spans="1:9">
      <c r="A2599" s="3">
        <f ca="1">IFERROR(__xludf.DUMMYFUNCTION("""COMPUTED_VALUE"""),32973.6666666666)</f>
        <v>32973.666666666599</v>
      </c>
      <c r="B2599" s="1">
        <f ca="1">IFERROR(__xludf.DUMMYFUNCTION("""COMPUTED_VALUE"""),7.27)</f>
        <v>7.27</v>
      </c>
      <c r="C2599" s="1">
        <f ca="1">IFERROR(__xludf.DUMMYFUNCTION("""COMPUTED_VALUE"""),7.3)</f>
        <v>7.3</v>
      </c>
      <c r="D2599" s="1">
        <f ca="1">IFERROR(__xludf.DUMMYFUNCTION("""COMPUTED_VALUE"""),7.17)</f>
        <v>7.17</v>
      </c>
      <c r="E2599" s="1">
        <f ca="1">IFERROR(__xludf.DUMMYFUNCTION("""COMPUTED_VALUE"""),7.27)</f>
        <v>7.27</v>
      </c>
      <c r="F2599" s="1">
        <f ca="1">IFERROR(__xludf.DUMMYFUNCTION("""COMPUTED_VALUE"""),386200)</f>
        <v>386200</v>
      </c>
      <c r="I2599" s="1"/>
    </row>
    <row r="2600" spans="1:9">
      <c r="A2600" s="3">
        <f ca="1">IFERROR(__xludf.DUMMYFUNCTION("""COMPUTED_VALUE"""),32974.6666666666)</f>
        <v>32974.666666666599</v>
      </c>
      <c r="B2600" s="1">
        <f ca="1">IFERROR(__xludf.DUMMYFUNCTION("""COMPUTED_VALUE"""),7.28)</f>
        <v>7.28</v>
      </c>
      <c r="C2600" s="1">
        <f ca="1">IFERROR(__xludf.DUMMYFUNCTION("""COMPUTED_VALUE"""),7.38)</f>
        <v>7.38</v>
      </c>
      <c r="D2600" s="1">
        <f ca="1">IFERROR(__xludf.DUMMYFUNCTION("""COMPUTED_VALUE"""),7.28)</f>
        <v>7.28</v>
      </c>
      <c r="E2600" s="1">
        <f ca="1">IFERROR(__xludf.DUMMYFUNCTION("""COMPUTED_VALUE"""),7.28)</f>
        <v>7.28</v>
      </c>
      <c r="F2600" s="1">
        <f ca="1">IFERROR(__xludf.DUMMYFUNCTION("""COMPUTED_VALUE"""),445700)</f>
        <v>445700</v>
      </c>
      <c r="I2600" s="1"/>
    </row>
    <row r="2601" spans="1:9">
      <c r="A2601" s="3">
        <f ca="1">IFERROR(__xludf.DUMMYFUNCTION("""COMPUTED_VALUE"""),32975.6666666666)</f>
        <v>32975.666666666599</v>
      </c>
      <c r="B2601" s="1">
        <f ca="1">IFERROR(__xludf.DUMMYFUNCTION("""COMPUTED_VALUE"""),7.33)</f>
        <v>7.33</v>
      </c>
      <c r="C2601" s="1">
        <f ca="1">IFERROR(__xludf.DUMMYFUNCTION("""COMPUTED_VALUE"""),7.33)</f>
        <v>7.33</v>
      </c>
      <c r="D2601" s="1">
        <f ca="1">IFERROR(__xludf.DUMMYFUNCTION("""COMPUTED_VALUE"""),7.17)</f>
        <v>7.17</v>
      </c>
      <c r="E2601" s="1">
        <f ca="1">IFERROR(__xludf.DUMMYFUNCTION("""COMPUTED_VALUE"""),7.33)</f>
        <v>7.33</v>
      </c>
      <c r="F2601" s="1">
        <f ca="1">IFERROR(__xludf.DUMMYFUNCTION("""COMPUTED_VALUE"""),950600)</f>
        <v>950600</v>
      </c>
      <c r="I2601" s="1"/>
    </row>
    <row r="2602" spans="1:9">
      <c r="A2602" s="3">
        <f ca="1">IFERROR(__xludf.DUMMYFUNCTION("""COMPUTED_VALUE"""),32979.6666666666)</f>
        <v>32979.666666666599</v>
      </c>
      <c r="B2602" s="1">
        <f ca="1">IFERROR(__xludf.DUMMYFUNCTION("""COMPUTED_VALUE"""),7.3)</f>
        <v>7.3</v>
      </c>
      <c r="C2602" s="1">
        <f ca="1">IFERROR(__xludf.DUMMYFUNCTION("""COMPUTED_VALUE"""),7.42)</f>
        <v>7.42</v>
      </c>
      <c r="D2602" s="1">
        <f ca="1">IFERROR(__xludf.DUMMYFUNCTION("""COMPUTED_VALUE"""),7.28)</f>
        <v>7.28</v>
      </c>
      <c r="E2602" s="1">
        <f ca="1">IFERROR(__xludf.DUMMYFUNCTION("""COMPUTED_VALUE"""),7.3)</f>
        <v>7.3</v>
      </c>
      <c r="F2602" s="1">
        <f ca="1">IFERROR(__xludf.DUMMYFUNCTION("""COMPUTED_VALUE"""),602800)</f>
        <v>602800</v>
      </c>
      <c r="I2602" s="1"/>
    </row>
    <row r="2603" spans="1:9">
      <c r="A2603" s="3">
        <f ca="1">IFERROR(__xludf.DUMMYFUNCTION("""COMPUTED_VALUE"""),32980.6666666666)</f>
        <v>32980.666666666599</v>
      </c>
      <c r="B2603" s="1">
        <f ca="1">IFERROR(__xludf.DUMMYFUNCTION("""COMPUTED_VALUE"""),7.39)</f>
        <v>7.39</v>
      </c>
      <c r="C2603" s="1">
        <f ca="1">IFERROR(__xludf.DUMMYFUNCTION("""COMPUTED_VALUE"""),7.42)</f>
        <v>7.42</v>
      </c>
      <c r="D2603" s="1">
        <f ca="1">IFERROR(__xludf.DUMMYFUNCTION("""COMPUTED_VALUE"""),7.23)</f>
        <v>7.23</v>
      </c>
      <c r="E2603" s="1">
        <f ca="1">IFERROR(__xludf.DUMMYFUNCTION("""COMPUTED_VALUE"""),7.39)</f>
        <v>7.39</v>
      </c>
      <c r="F2603" s="1">
        <f ca="1">IFERROR(__xludf.DUMMYFUNCTION("""COMPUTED_VALUE"""),505000)</f>
        <v>505000</v>
      </c>
      <c r="I2603" s="1"/>
    </row>
    <row r="2604" spans="1:9">
      <c r="A2604" s="3">
        <f ca="1">IFERROR(__xludf.DUMMYFUNCTION("""COMPUTED_VALUE"""),32981.6666666666)</f>
        <v>32981.666666666599</v>
      </c>
      <c r="B2604" s="1">
        <f ca="1">IFERROR(__xludf.DUMMYFUNCTION("""COMPUTED_VALUE"""),7.33)</f>
        <v>7.33</v>
      </c>
      <c r="C2604" s="1">
        <f ca="1">IFERROR(__xludf.DUMMYFUNCTION("""COMPUTED_VALUE"""),7.41)</f>
        <v>7.41</v>
      </c>
      <c r="D2604" s="1">
        <f ca="1">IFERROR(__xludf.DUMMYFUNCTION("""COMPUTED_VALUE"""),7.3)</f>
        <v>7.3</v>
      </c>
      <c r="E2604" s="1">
        <f ca="1">IFERROR(__xludf.DUMMYFUNCTION("""COMPUTED_VALUE"""),7.33)</f>
        <v>7.33</v>
      </c>
      <c r="F2604" s="1">
        <f ca="1">IFERROR(__xludf.DUMMYFUNCTION("""COMPUTED_VALUE"""),658300)</f>
        <v>658300</v>
      </c>
      <c r="I2604" s="1"/>
    </row>
    <row r="2605" spans="1:9">
      <c r="A2605" s="3">
        <f ca="1">IFERROR(__xludf.DUMMYFUNCTION("""COMPUTED_VALUE"""),32982.6666666666)</f>
        <v>32982.666666666599</v>
      </c>
      <c r="B2605" s="1">
        <f ca="1">IFERROR(__xludf.DUMMYFUNCTION("""COMPUTED_VALUE"""),7.27)</f>
        <v>7.27</v>
      </c>
      <c r="C2605" s="1">
        <f ca="1">IFERROR(__xludf.DUMMYFUNCTION("""COMPUTED_VALUE"""),7.33)</f>
        <v>7.33</v>
      </c>
      <c r="D2605" s="1">
        <f ca="1">IFERROR(__xludf.DUMMYFUNCTION("""COMPUTED_VALUE"""),7.19)</f>
        <v>7.19</v>
      </c>
      <c r="E2605" s="1">
        <f ca="1">IFERROR(__xludf.DUMMYFUNCTION("""COMPUTED_VALUE"""),7.27)</f>
        <v>7.27</v>
      </c>
      <c r="F2605" s="1">
        <f ca="1">IFERROR(__xludf.DUMMYFUNCTION("""COMPUTED_VALUE"""),584500)</f>
        <v>584500</v>
      </c>
      <c r="I2605" s="1"/>
    </row>
    <row r="2606" spans="1:9">
      <c r="A2606" s="3">
        <f ca="1">IFERROR(__xludf.DUMMYFUNCTION("""COMPUTED_VALUE"""),32983.6666666666)</f>
        <v>32983.666666666599</v>
      </c>
      <c r="B2606" s="1">
        <f ca="1">IFERROR(__xludf.DUMMYFUNCTION("""COMPUTED_VALUE"""),7.28)</f>
        <v>7.28</v>
      </c>
      <c r="C2606" s="1">
        <f ca="1">IFERROR(__xludf.DUMMYFUNCTION("""COMPUTED_VALUE"""),7.31)</f>
        <v>7.31</v>
      </c>
      <c r="D2606" s="1">
        <f ca="1">IFERROR(__xludf.DUMMYFUNCTION("""COMPUTED_VALUE"""),7.22)</f>
        <v>7.22</v>
      </c>
      <c r="E2606" s="1">
        <f ca="1">IFERROR(__xludf.DUMMYFUNCTION("""COMPUTED_VALUE"""),7.28)</f>
        <v>7.28</v>
      </c>
      <c r="F2606" s="1">
        <f ca="1">IFERROR(__xludf.DUMMYFUNCTION("""COMPUTED_VALUE"""),1022100)</f>
        <v>1022100</v>
      </c>
      <c r="I2606" s="1"/>
    </row>
    <row r="2607" spans="1:9">
      <c r="A2607" s="3">
        <f ca="1">IFERROR(__xludf.DUMMYFUNCTION("""COMPUTED_VALUE"""),32986.6666666666)</f>
        <v>32986.666666666599</v>
      </c>
      <c r="B2607" s="1">
        <f ca="1">IFERROR(__xludf.DUMMYFUNCTION("""COMPUTED_VALUE"""),7.14)</f>
        <v>7.14</v>
      </c>
      <c r="C2607" s="1">
        <f ca="1">IFERROR(__xludf.DUMMYFUNCTION("""COMPUTED_VALUE"""),7.28)</f>
        <v>7.28</v>
      </c>
      <c r="D2607" s="1">
        <f ca="1">IFERROR(__xludf.DUMMYFUNCTION("""COMPUTED_VALUE"""),7.13)</f>
        <v>7.13</v>
      </c>
      <c r="E2607" s="1">
        <f ca="1">IFERROR(__xludf.DUMMYFUNCTION("""COMPUTED_VALUE"""),7.14)</f>
        <v>7.14</v>
      </c>
      <c r="F2607" s="1">
        <f ca="1">IFERROR(__xludf.DUMMYFUNCTION("""COMPUTED_VALUE"""),504000)</f>
        <v>504000</v>
      </c>
      <c r="I2607" s="1"/>
    </row>
    <row r="2608" spans="1:9">
      <c r="A2608" s="3">
        <f ca="1">IFERROR(__xludf.DUMMYFUNCTION("""COMPUTED_VALUE"""),32987.6666666666)</f>
        <v>32987.666666666599</v>
      </c>
      <c r="B2608" s="1">
        <f ca="1">IFERROR(__xludf.DUMMYFUNCTION("""COMPUTED_VALUE"""),7.08)</f>
        <v>7.08</v>
      </c>
      <c r="C2608" s="1">
        <f ca="1">IFERROR(__xludf.DUMMYFUNCTION("""COMPUTED_VALUE"""),7.2)</f>
        <v>7.2</v>
      </c>
      <c r="D2608" s="1">
        <f ca="1">IFERROR(__xludf.DUMMYFUNCTION("""COMPUTED_VALUE"""),7.05)</f>
        <v>7.05</v>
      </c>
      <c r="E2608" s="1">
        <f ca="1">IFERROR(__xludf.DUMMYFUNCTION("""COMPUTED_VALUE"""),7.08)</f>
        <v>7.08</v>
      </c>
      <c r="F2608" s="1">
        <f ca="1">IFERROR(__xludf.DUMMYFUNCTION("""COMPUTED_VALUE"""),549400)</f>
        <v>549400</v>
      </c>
      <c r="I2608" s="1"/>
    </row>
    <row r="2609" spans="1:9">
      <c r="A2609" s="3">
        <f ca="1">IFERROR(__xludf.DUMMYFUNCTION("""COMPUTED_VALUE"""),32988.6666666666)</f>
        <v>32988.666666666599</v>
      </c>
      <c r="B2609" s="1">
        <f ca="1">IFERROR(__xludf.DUMMYFUNCTION("""COMPUTED_VALUE"""),7.06)</f>
        <v>7.06</v>
      </c>
      <c r="C2609" s="1">
        <f ca="1">IFERROR(__xludf.DUMMYFUNCTION("""COMPUTED_VALUE"""),7.14)</f>
        <v>7.14</v>
      </c>
      <c r="D2609" s="1">
        <f ca="1">IFERROR(__xludf.DUMMYFUNCTION("""COMPUTED_VALUE"""),7.03)</f>
        <v>7.03</v>
      </c>
      <c r="E2609" s="1">
        <f ca="1">IFERROR(__xludf.DUMMYFUNCTION("""COMPUTED_VALUE"""),7.06)</f>
        <v>7.06</v>
      </c>
      <c r="F2609" s="1">
        <f ca="1">IFERROR(__xludf.DUMMYFUNCTION("""COMPUTED_VALUE"""),657200)</f>
        <v>657200</v>
      </c>
      <c r="I2609" s="1"/>
    </row>
    <row r="2610" spans="1:9">
      <c r="A2610" s="3">
        <f ca="1">IFERROR(__xludf.DUMMYFUNCTION("""COMPUTED_VALUE"""),32989.6666666666)</f>
        <v>32989.666666666599</v>
      </c>
      <c r="B2610" s="1">
        <f ca="1">IFERROR(__xludf.DUMMYFUNCTION("""COMPUTED_VALUE"""),7.14)</f>
        <v>7.14</v>
      </c>
      <c r="C2610" s="1">
        <f ca="1">IFERROR(__xludf.DUMMYFUNCTION("""COMPUTED_VALUE"""),7.16)</f>
        <v>7.16</v>
      </c>
      <c r="D2610" s="1">
        <f ca="1">IFERROR(__xludf.DUMMYFUNCTION("""COMPUTED_VALUE"""),7.03)</f>
        <v>7.03</v>
      </c>
      <c r="E2610" s="1">
        <f ca="1">IFERROR(__xludf.DUMMYFUNCTION("""COMPUTED_VALUE"""),7.14)</f>
        <v>7.14</v>
      </c>
      <c r="F2610" s="1">
        <f ca="1">IFERROR(__xludf.DUMMYFUNCTION("""COMPUTED_VALUE"""),589000)</f>
        <v>589000</v>
      </c>
      <c r="I2610" s="1"/>
    </row>
    <row r="2611" spans="1:9">
      <c r="A2611" s="3">
        <f ca="1">IFERROR(__xludf.DUMMYFUNCTION("""COMPUTED_VALUE"""),32990.6666666666)</f>
        <v>32990.666666666599</v>
      </c>
      <c r="B2611" s="1">
        <f ca="1">IFERROR(__xludf.DUMMYFUNCTION("""COMPUTED_VALUE"""),7.05)</f>
        <v>7.05</v>
      </c>
      <c r="C2611" s="1">
        <f ca="1">IFERROR(__xludf.DUMMYFUNCTION("""COMPUTED_VALUE"""),7.19)</f>
        <v>7.19</v>
      </c>
      <c r="D2611" s="1">
        <f ca="1">IFERROR(__xludf.DUMMYFUNCTION("""COMPUTED_VALUE"""),7)</f>
        <v>7</v>
      </c>
      <c r="E2611" s="1">
        <f ca="1">IFERROR(__xludf.DUMMYFUNCTION("""COMPUTED_VALUE"""),7.05)</f>
        <v>7.05</v>
      </c>
      <c r="F2611" s="1">
        <f ca="1">IFERROR(__xludf.DUMMYFUNCTION("""COMPUTED_VALUE"""),539000)</f>
        <v>539000</v>
      </c>
      <c r="I2611" s="1"/>
    </row>
    <row r="2612" spans="1:9">
      <c r="A2612" s="3">
        <f ca="1">IFERROR(__xludf.DUMMYFUNCTION("""COMPUTED_VALUE"""),32993.6666666666)</f>
        <v>32993.666666666599</v>
      </c>
      <c r="B2612" s="1">
        <f ca="1">IFERROR(__xludf.DUMMYFUNCTION("""COMPUTED_VALUE"""),7.08)</f>
        <v>7.08</v>
      </c>
      <c r="C2612" s="1">
        <f ca="1">IFERROR(__xludf.DUMMYFUNCTION("""COMPUTED_VALUE"""),7.08)</f>
        <v>7.08</v>
      </c>
      <c r="D2612" s="1">
        <f ca="1">IFERROR(__xludf.DUMMYFUNCTION("""COMPUTED_VALUE"""),6.95)</f>
        <v>6.95</v>
      </c>
      <c r="E2612" s="1">
        <f ca="1">IFERROR(__xludf.DUMMYFUNCTION("""COMPUTED_VALUE"""),7.08)</f>
        <v>7.08</v>
      </c>
      <c r="F2612" s="1">
        <f ca="1">IFERROR(__xludf.DUMMYFUNCTION("""COMPUTED_VALUE"""),639900)</f>
        <v>639900</v>
      </c>
      <c r="I2612" s="1"/>
    </row>
    <row r="2613" spans="1:9">
      <c r="A2613" s="3">
        <f ca="1">IFERROR(__xludf.DUMMYFUNCTION("""COMPUTED_VALUE"""),32994.6666666666)</f>
        <v>32994.666666666599</v>
      </c>
      <c r="B2613" s="1">
        <f ca="1">IFERROR(__xludf.DUMMYFUNCTION("""COMPUTED_VALUE"""),7.16)</f>
        <v>7.16</v>
      </c>
      <c r="C2613" s="1">
        <f ca="1">IFERROR(__xludf.DUMMYFUNCTION("""COMPUTED_VALUE"""),7.2)</f>
        <v>7.2</v>
      </c>
      <c r="D2613" s="1">
        <f ca="1">IFERROR(__xludf.DUMMYFUNCTION("""COMPUTED_VALUE"""),7.09)</f>
        <v>7.09</v>
      </c>
      <c r="E2613" s="1">
        <f ca="1">IFERROR(__xludf.DUMMYFUNCTION("""COMPUTED_VALUE"""),7.16)</f>
        <v>7.16</v>
      </c>
      <c r="F2613" s="1">
        <f ca="1">IFERROR(__xludf.DUMMYFUNCTION("""COMPUTED_VALUE"""),561400)</f>
        <v>561400</v>
      </c>
      <c r="I2613" s="1"/>
    </row>
    <row r="2614" spans="1:9">
      <c r="A2614" s="3">
        <f ca="1">IFERROR(__xludf.DUMMYFUNCTION("""COMPUTED_VALUE"""),32995.6666666666)</f>
        <v>32995.666666666599</v>
      </c>
      <c r="B2614" s="1">
        <f ca="1">IFERROR(__xludf.DUMMYFUNCTION("""COMPUTED_VALUE"""),7.28)</f>
        <v>7.28</v>
      </c>
      <c r="C2614" s="1">
        <f ca="1">IFERROR(__xludf.DUMMYFUNCTION("""COMPUTED_VALUE"""),7.28)</f>
        <v>7.28</v>
      </c>
      <c r="D2614" s="1">
        <f ca="1">IFERROR(__xludf.DUMMYFUNCTION("""COMPUTED_VALUE"""),7.13)</f>
        <v>7.13</v>
      </c>
      <c r="E2614" s="1">
        <f ca="1">IFERROR(__xludf.DUMMYFUNCTION("""COMPUTED_VALUE"""),7.28)</f>
        <v>7.28</v>
      </c>
      <c r="F2614" s="1">
        <f ca="1">IFERROR(__xludf.DUMMYFUNCTION("""COMPUTED_VALUE"""),557500)</f>
        <v>557500</v>
      </c>
      <c r="I2614" s="1"/>
    </row>
    <row r="2615" spans="1:9">
      <c r="A2615" s="3">
        <f ca="1">IFERROR(__xludf.DUMMYFUNCTION("""COMPUTED_VALUE"""),32996.6666666666)</f>
        <v>32996.666666666599</v>
      </c>
      <c r="B2615" s="1">
        <f ca="1">IFERROR(__xludf.DUMMYFUNCTION("""COMPUTED_VALUE"""),7.25)</f>
        <v>7.25</v>
      </c>
      <c r="C2615" s="1">
        <f ca="1">IFERROR(__xludf.DUMMYFUNCTION("""COMPUTED_VALUE"""),7.34)</f>
        <v>7.34</v>
      </c>
      <c r="D2615" s="1">
        <f ca="1">IFERROR(__xludf.DUMMYFUNCTION("""COMPUTED_VALUE"""),7.23)</f>
        <v>7.23</v>
      </c>
      <c r="E2615" s="1">
        <f ca="1">IFERROR(__xludf.DUMMYFUNCTION("""COMPUTED_VALUE"""),7.25)</f>
        <v>7.25</v>
      </c>
      <c r="F2615" s="1">
        <f ca="1">IFERROR(__xludf.DUMMYFUNCTION("""COMPUTED_VALUE"""),641300)</f>
        <v>641300</v>
      </c>
      <c r="I2615" s="1"/>
    </row>
    <row r="2616" spans="1:9">
      <c r="A2616" s="3">
        <f ca="1">IFERROR(__xludf.DUMMYFUNCTION("""COMPUTED_VALUE"""),32997.6666666666)</f>
        <v>32997.666666666599</v>
      </c>
      <c r="B2616" s="1">
        <f ca="1">IFERROR(__xludf.DUMMYFUNCTION("""COMPUTED_VALUE"""),7.38)</f>
        <v>7.38</v>
      </c>
      <c r="C2616" s="1">
        <f ca="1">IFERROR(__xludf.DUMMYFUNCTION("""COMPUTED_VALUE"""),7.39)</f>
        <v>7.39</v>
      </c>
      <c r="D2616" s="1">
        <f ca="1">IFERROR(__xludf.DUMMYFUNCTION("""COMPUTED_VALUE"""),7.27)</f>
        <v>7.27</v>
      </c>
      <c r="E2616" s="1">
        <f ca="1">IFERROR(__xludf.DUMMYFUNCTION("""COMPUTED_VALUE"""),7.38)</f>
        <v>7.38</v>
      </c>
      <c r="F2616" s="1">
        <f ca="1">IFERROR(__xludf.DUMMYFUNCTION("""COMPUTED_VALUE"""),591400)</f>
        <v>591400</v>
      </c>
      <c r="I2616" s="1"/>
    </row>
    <row r="2617" spans="1:9">
      <c r="A2617" s="3">
        <f ca="1">IFERROR(__xludf.DUMMYFUNCTION("""COMPUTED_VALUE"""),33000.6666666666)</f>
        <v>33000.666666666599</v>
      </c>
      <c r="B2617" s="1">
        <f ca="1">IFERROR(__xludf.DUMMYFUNCTION("""COMPUTED_VALUE"""),7.42)</f>
        <v>7.42</v>
      </c>
      <c r="C2617" s="1">
        <f ca="1">IFERROR(__xludf.DUMMYFUNCTION("""COMPUTED_VALUE"""),7.44)</f>
        <v>7.44</v>
      </c>
      <c r="D2617" s="1">
        <f ca="1">IFERROR(__xludf.DUMMYFUNCTION("""COMPUTED_VALUE"""),7.34)</f>
        <v>7.34</v>
      </c>
      <c r="E2617" s="1">
        <f ca="1">IFERROR(__xludf.DUMMYFUNCTION("""COMPUTED_VALUE"""),7.42)</f>
        <v>7.42</v>
      </c>
      <c r="F2617" s="1">
        <f ca="1">IFERROR(__xludf.DUMMYFUNCTION("""COMPUTED_VALUE"""),420000)</f>
        <v>420000</v>
      </c>
      <c r="I2617" s="1"/>
    </row>
    <row r="2618" spans="1:9">
      <c r="A2618" s="3">
        <f ca="1">IFERROR(__xludf.DUMMYFUNCTION("""COMPUTED_VALUE"""),33001.6666666666)</f>
        <v>33001.666666666599</v>
      </c>
      <c r="B2618" s="1">
        <f ca="1">IFERROR(__xludf.DUMMYFUNCTION("""COMPUTED_VALUE"""),7.41)</f>
        <v>7.41</v>
      </c>
      <c r="C2618" s="1">
        <f ca="1">IFERROR(__xludf.DUMMYFUNCTION("""COMPUTED_VALUE"""),7.44)</f>
        <v>7.44</v>
      </c>
      <c r="D2618" s="1">
        <f ca="1">IFERROR(__xludf.DUMMYFUNCTION("""COMPUTED_VALUE"""),7.38)</f>
        <v>7.38</v>
      </c>
      <c r="E2618" s="1">
        <f ca="1">IFERROR(__xludf.DUMMYFUNCTION("""COMPUTED_VALUE"""),7.41)</f>
        <v>7.41</v>
      </c>
      <c r="F2618" s="1">
        <f ca="1">IFERROR(__xludf.DUMMYFUNCTION("""COMPUTED_VALUE"""),484400)</f>
        <v>484400</v>
      </c>
      <c r="I2618" s="1"/>
    </row>
    <row r="2619" spans="1:9">
      <c r="A2619" s="3">
        <f ca="1">IFERROR(__xludf.DUMMYFUNCTION("""COMPUTED_VALUE"""),33002.6666666666)</f>
        <v>33002.666666666599</v>
      </c>
      <c r="B2619" s="1">
        <f ca="1">IFERROR(__xludf.DUMMYFUNCTION("""COMPUTED_VALUE"""),7.3)</f>
        <v>7.3</v>
      </c>
      <c r="C2619" s="1">
        <f ca="1">IFERROR(__xludf.DUMMYFUNCTION("""COMPUTED_VALUE"""),7.42)</f>
        <v>7.42</v>
      </c>
      <c r="D2619" s="1">
        <f ca="1">IFERROR(__xludf.DUMMYFUNCTION("""COMPUTED_VALUE"""),7.28)</f>
        <v>7.28</v>
      </c>
      <c r="E2619" s="1">
        <f ca="1">IFERROR(__xludf.DUMMYFUNCTION("""COMPUTED_VALUE"""),7.3)</f>
        <v>7.3</v>
      </c>
      <c r="F2619" s="1">
        <f ca="1">IFERROR(__xludf.DUMMYFUNCTION("""COMPUTED_VALUE"""),868300)</f>
        <v>868300</v>
      </c>
      <c r="I2619" s="1"/>
    </row>
    <row r="2620" spans="1:9">
      <c r="A2620" s="3">
        <f ca="1">IFERROR(__xludf.DUMMYFUNCTION("""COMPUTED_VALUE"""),33003.6666666666)</f>
        <v>33003.666666666599</v>
      </c>
      <c r="B2620" s="1">
        <f ca="1">IFERROR(__xludf.DUMMYFUNCTION("""COMPUTED_VALUE"""),7.34)</f>
        <v>7.34</v>
      </c>
      <c r="C2620" s="1">
        <f ca="1">IFERROR(__xludf.DUMMYFUNCTION("""COMPUTED_VALUE"""),7.39)</f>
        <v>7.39</v>
      </c>
      <c r="D2620" s="1">
        <f ca="1">IFERROR(__xludf.DUMMYFUNCTION("""COMPUTED_VALUE"""),7.28)</f>
        <v>7.28</v>
      </c>
      <c r="E2620" s="1">
        <f ca="1">IFERROR(__xludf.DUMMYFUNCTION("""COMPUTED_VALUE"""),7.34)</f>
        <v>7.34</v>
      </c>
      <c r="F2620" s="1">
        <f ca="1">IFERROR(__xludf.DUMMYFUNCTION("""COMPUTED_VALUE"""),661200)</f>
        <v>661200</v>
      </c>
      <c r="I2620" s="1"/>
    </row>
    <row r="2621" spans="1:9">
      <c r="A2621" s="3">
        <f ca="1">IFERROR(__xludf.DUMMYFUNCTION("""COMPUTED_VALUE"""),33004.6666666666)</f>
        <v>33004.666666666599</v>
      </c>
      <c r="B2621" s="1">
        <f ca="1">IFERROR(__xludf.DUMMYFUNCTION("""COMPUTED_VALUE"""),7.5)</f>
        <v>7.5</v>
      </c>
      <c r="C2621" s="1">
        <f ca="1">IFERROR(__xludf.DUMMYFUNCTION("""COMPUTED_VALUE"""),7.53)</f>
        <v>7.53</v>
      </c>
      <c r="D2621" s="1">
        <f ca="1">IFERROR(__xludf.DUMMYFUNCTION("""COMPUTED_VALUE"""),7.34)</f>
        <v>7.34</v>
      </c>
      <c r="E2621" s="1">
        <f ca="1">IFERROR(__xludf.DUMMYFUNCTION("""COMPUTED_VALUE"""),7.5)</f>
        <v>7.5</v>
      </c>
      <c r="F2621" s="1">
        <f ca="1">IFERROR(__xludf.DUMMYFUNCTION("""COMPUTED_VALUE"""),1393100)</f>
        <v>1393100</v>
      </c>
      <c r="I2621" s="1"/>
    </row>
    <row r="2622" spans="1:9">
      <c r="A2622" s="3">
        <f ca="1">IFERROR(__xludf.DUMMYFUNCTION("""COMPUTED_VALUE"""),33007.6666666666)</f>
        <v>33007.666666666599</v>
      </c>
      <c r="B2622" s="1">
        <f ca="1">IFERROR(__xludf.DUMMYFUNCTION("""COMPUTED_VALUE"""),7.58)</f>
        <v>7.58</v>
      </c>
      <c r="C2622" s="1">
        <f ca="1">IFERROR(__xludf.DUMMYFUNCTION("""COMPUTED_VALUE"""),7.66)</f>
        <v>7.66</v>
      </c>
      <c r="D2622" s="1">
        <f ca="1">IFERROR(__xludf.DUMMYFUNCTION("""COMPUTED_VALUE"""),7.5)</f>
        <v>7.5</v>
      </c>
      <c r="E2622" s="1">
        <f ca="1">IFERROR(__xludf.DUMMYFUNCTION("""COMPUTED_VALUE"""),7.58)</f>
        <v>7.58</v>
      </c>
      <c r="F2622" s="1">
        <f ca="1">IFERROR(__xludf.DUMMYFUNCTION("""COMPUTED_VALUE"""),1340800)</f>
        <v>1340800</v>
      </c>
      <c r="I2622" s="1"/>
    </row>
    <row r="2623" spans="1:9">
      <c r="A2623" s="3">
        <f ca="1">IFERROR(__xludf.DUMMYFUNCTION("""COMPUTED_VALUE"""),33008.6666666666)</f>
        <v>33008.666666666599</v>
      </c>
      <c r="B2623" s="1">
        <f ca="1">IFERROR(__xludf.DUMMYFUNCTION("""COMPUTED_VALUE"""),7.63)</f>
        <v>7.63</v>
      </c>
      <c r="C2623" s="1">
        <f ca="1">IFERROR(__xludf.DUMMYFUNCTION("""COMPUTED_VALUE"""),7.64)</f>
        <v>7.64</v>
      </c>
      <c r="D2623" s="1">
        <f ca="1">IFERROR(__xludf.DUMMYFUNCTION("""COMPUTED_VALUE"""),7.53)</f>
        <v>7.53</v>
      </c>
      <c r="E2623" s="1">
        <f ca="1">IFERROR(__xludf.DUMMYFUNCTION("""COMPUTED_VALUE"""),7.63)</f>
        <v>7.63</v>
      </c>
      <c r="F2623" s="1">
        <f ca="1">IFERROR(__xludf.DUMMYFUNCTION("""COMPUTED_VALUE"""),571100)</f>
        <v>571100</v>
      </c>
      <c r="I2623" s="1"/>
    </row>
    <row r="2624" spans="1:9">
      <c r="A2624" s="3">
        <f ca="1">IFERROR(__xludf.DUMMYFUNCTION("""COMPUTED_VALUE"""),33009.6666666666)</f>
        <v>33009.666666666599</v>
      </c>
      <c r="B2624" s="1">
        <f ca="1">IFERROR(__xludf.DUMMYFUNCTION("""COMPUTED_VALUE"""),7.61)</f>
        <v>7.61</v>
      </c>
      <c r="C2624" s="1">
        <f ca="1">IFERROR(__xludf.DUMMYFUNCTION("""COMPUTED_VALUE"""),7.66)</f>
        <v>7.66</v>
      </c>
      <c r="D2624" s="1">
        <f ca="1">IFERROR(__xludf.DUMMYFUNCTION("""COMPUTED_VALUE"""),7.52)</f>
        <v>7.52</v>
      </c>
      <c r="E2624" s="1">
        <f ca="1">IFERROR(__xludf.DUMMYFUNCTION("""COMPUTED_VALUE"""),7.61)</f>
        <v>7.61</v>
      </c>
      <c r="F2624" s="1">
        <f ca="1">IFERROR(__xludf.DUMMYFUNCTION("""COMPUTED_VALUE"""),728600)</f>
        <v>728600</v>
      </c>
      <c r="I2624" s="1"/>
    </row>
    <row r="2625" spans="1:9">
      <c r="A2625" s="3">
        <f ca="1">IFERROR(__xludf.DUMMYFUNCTION("""COMPUTED_VALUE"""),33010.6666666666)</f>
        <v>33010.666666666599</v>
      </c>
      <c r="B2625" s="1">
        <f ca="1">IFERROR(__xludf.DUMMYFUNCTION("""COMPUTED_VALUE"""),7.66)</f>
        <v>7.66</v>
      </c>
      <c r="C2625" s="1">
        <f ca="1">IFERROR(__xludf.DUMMYFUNCTION("""COMPUTED_VALUE"""),7.69)</f>
        <v>7.69</v>
      </c>
      <c r="D2625" s="1">
        <f ca="1">IFERROR(__xludf.DUMMYFUNCTION("""COMPUTED_VALUE"""),7.59)</f>
        <v>7.59</v>
      </c>
      <c r="E2625" s="1">
        <f ca="1">IFERROR(__xludf.DUMMYFUNCTION("""COMPUTED_VALUE"""),7.66)</f>
        <v>7.66</v>
      </c>
      <c r="F2625" s="1">
        <f ca="1">IFERROR(__xludf.DUMMYFUNCTION("""COMPUTED_VALUE"""),647200)</f>
        <v>647200</v>
      </c>
      <c r="I2625" s="1"/>
    </row>
    <row r="2626" spans="1:9">
      <c r="A2626" s="3">
        <f ca="1">IFERROR(__xludf.DUMMYFUNCTION("""COMPUTED_VALUE"""),33011.6666666666)</f>
        <v>33011.666666666599</v>
      </c>
      <c r="B2626" s="1">
        <f ca="1">IFERROR(__xludf.DUMMYFUNCTION("""COMPUTED_VALUE"""),7.59)</f>
        <v>7.59</v>
      </c>
      <c r="C2626" s="1">
        <f ca="1">IFERROR(__xludf.DUMMYFUNCTION("""COMPUTED_VALUE"""),7.66)</f>
        <v>7.66</v>
      </c>
      <c r="D2626" s="1">
        <f ca="1">IFERROR(__xludf.DUMMYFUNCTION("""COMPUTED_VALUE"""),7.55)</f>
        <v>7.55</v>
      </c>
      <c r="E2626" s="1">
        <f ca="1">IFERROR(__xludf.DUMMYFUNCTION("""COMPUTED_VALUE"""),7.59)</f>
        <v>7.59</v>
      </c>
      <c r="F2626" s="1">
        <f ca="1">IFERROR(__xludf.DUMMYFUNCTION("""COMPUTED_VALUE"""),972300)</f>
        <v>972300</v>
      </c>
      <c r="I2626" s="1"/>
    </row>
    <row r="2627" spans="1:9">
      <c r="A2627" s="3">
        <f ca="1">IFERROR(__xludf.DUMMYFUNCTION("""COMPUTED_VALUE"""),33014.6666666666)</f>
        <v>33014.666666666599</v>
      </c>
      <c r="B2627" s="1">
        <f ca="1">IFERROR(__xludf.DUMMYFUNCTION("""COMPUTED_VALUE"""),7.72)</f>
        <v>7.72</v>
      </c>
      <c r="C2627" s="1">
        <f ca="1">IFERROR(__xludf.DUMMYFUNCTION("""COMPUTED_VALUE"""),7.73)</f>
        <v>7.73</v>
      </c>
      <c r="D2627" s="1">
        <f ca="1">IFERROR(__xludf.DUMMYFUNCTION("""COMPUTED_VALUE"""),7.56)</f>
        <v>7.56</v>
      </c>
      <c r="E2627" s="1">
        <f ca="1">IFERROR(__xludf.DUMMYFUNCTION("""COMPUTED_VALUE"""),7.72)</f>
        <v>7.72</v>
      </c>
      <c r="F2627" s="1">
        <f ca="1">IFERROR(__xludf.DUMMYFUNCTION("""COMPUTED_VALUE"""),656600)</f>
        <v>656600</v>
      </c>
      <c r="I2627" s="1"/>
    </row>
    <row r="2628" spans="1:9">
      <c r="A2628" s="3">
        <f ca="1">IFERROR(__xludf.DUMMYFUNCTION("""COMPUTED_VALUE"""),33015.6666666666)</f>
        <v>33015.666666666599</v>
      </c>
      <c r="B2628" s="1">
        <f ca="1">IFERROR(__xludf.DUMMYFUNCTION("""COMPUTED_VALUE"""),7.77)</f>
        <v>7.77</v>
      </c>
      <c r="C2628" s="1">
        <f ca="1">IFERROR(__xludf.DUMMYFUNCTION("""COMPUTED_VALUE"""),7.83)</f>
        <v>7.83</v>
      </c>
      <c r="D2628" s="1">
        <f ca="1">IFERROR(__xludf.DUMMYFUNCTION("""COMPUTED_VALUE"""),7.66)</f>
        <v>7.66</v>
      </c>
      <c r="E2628" s="1">
        <f ca="1">IFERROR(__xludf.DUMMYFUNCTION("""COMPUTED_VALUE"""),7.77)</f>
        <v>7.77</v>
      </c>
      <c r="F2628" s="1">
        <f ca="1">IFERROR(__xludf.DUMMYFUNCTION("""COMPUTED_VALUE"""),1006000)</f>
        <v>1006000</v>
      </c>
      <c r="I2628" s="1"/>
    </row>
    <row r="2629" spans="1:9">
      <c r="A2629" s="3">
        <f ca="1">IFERROR(__xludf.DUMMYFUNCTION("""COMPUTED_VALUE"""),33016.6666666666)</f>
        <v>33016.666666666599</v>
      </c>
      <c r="B2629" s="1">
        <f ca="1">IFERROR(__xludf.DUMMYFUNCTION("""COMPUTED_VALUE"""),7.78)</f>
        <v>7.78</v>
      </c>
      <c r="C2629" s="1">
        <f ca="1">IFERROR(__xludf.DUMMYFUNCTION("""COMPUTED_VALUE"""),7.8)</f>
        <v>7.8</v>
      </c>
      <c r="D2629" s="1">
        <f ca="1">IFERROR(__xludf.DUMMYFUNCTION("""COMPUTED_VALUE"""),7.7)</f>
        <v>7.7</v>
      </c>
      <c r="E2629" s="1">
        <f ca="1">IFERROR(__xludf.DUMMYFUNCTION("""COMPUTED_VALUE"""),7.78)</f>
        <v>7.78</v>
      </c>
      <c r="F2629" s="1">
        <f ca="1">IFERROR(__xludf.DUMMYFUNCTION("""COMPUTED_VALUE"""),571000)</f>
        <v>571000</v>
      </c>
      <c r="I2629" s="1"/>
    </row>
    <row r="2630" spans="1:9">
      <c r="A2630" s="3">
        <f ca="1">IFERROR(__xludf.DUMMYFUNCTION("""COMPUTED_VALUE"""),33017.6666666666)</f>
        <v>33017.666666666599</v>
      </c>
      <c r="B2630" s="1">
        <f ca="1">IFERROR(__xludf.DUMMYFUNCTION("""COMPUTED_VALUE"""),7.94)</f>
        <v>7.94</v>
      </c>
      <c r="C2630" s="1">
        <f ca="1">IFERROR(__xludf.DUMMYFUNCTION("""COMPUTED_VALUE"""),7.94)</f>
        <v>7.94</v>
      </c>
      <c r="D2630" s="1">
        <f ca="1">IFERROR(__xludf.DUMMYFUNCTION("""COMPUTED_VALUE"""),7.75)</f>
        <v>7.75</v>
      </c>
      <c r="E2630" s="1">
        <f ca="1">IFERROR(__xludf.DUMMYFUNCTION("""COMPUTED_VALUE"""),7.94)</f>
        <v>7.94</v>
      </c>
      <c r="F2630" s="1">
        <f ca="1">IFERROR(__xludf.DUMMYFUNCTION("""COMPUTED_VALUE"""),948300)</f>
        <v>948300</v>
      </c>
      <c r="I2630" s="1"/>
    </row>
    <row r="2631" spans="1:9">
      <c r="A2631" s="3">
        <f ca="1">IFERROR(__xludf.DUMMYFUNCTION("""COMPUTED_VALUE"""),33018.6666666666)</f>
        <v>33018.666666666599</v>
      </c>
      <c r="B2631" s="1">
        <f ca="1">IFERROR(__xludf.DUMMYFUNCTION("""COMPUTED_VALUE"""),7.83)</f>
        <v>7.83</v>
      </c>
      <c r="C2631" s="1">
        <f ca="1">IFERROR(__xludf.DUMMYFUNCTION("""COMPUTED_VALUE"""),7.89)</f>
        <v>7.89</v>
      </c>
      <c r="D2631" s="1">
        <f ca="1">IFERROR(__xludf.DUMMYFUNCTION("""COMPUTED_VALUE"""),7.81)</f>
        <v>7.81</v>
      </c>
      <c r="E2631" s="1">
        <f ca="1">IFERROR(__xludf.DUMMYFUNCTION("""COMPUTED_VALUE"""),7.83)</f>
        <v>7.83</v>
      </c>
      <c r="F2631" s="1">
        <f ca="1">IFERROR(__xludf.DUMMYFUNCTION("""COMPUTED_VALUE"""),517200)</f>
        <v>517200</v>
      </c>
      <c r="I2631" s="1"/>
    </row>
    <row r="2632" spans="1:9">
      <c r="A2632" s="3">
        <f ca="1">IFERROR(__xludf.DUMMYFUNCTION("""COMPUTED_VALUE"""),33022.6666666666)</f>
        <v>33022.666666666599</v>
      </c>
      <c r="B2632" s="1">
        <f ca="1">IFERROR(__xludf.DUMMYFUNCTION("""COMPUTED_VALUE"""),7.97)</f>
        <v>7.97</v>
      </c>
      <c r="C2632" s="1">
        <f ca="1">IFERROR(__xludf.DUMMYFUNCTION("""COMPUTED_VALUE"""),7.98)</f>
        <v>7.98</v>
      </c>
      <c r="D2632" s="1">
        <f ca="1">IFERROR(__xludf.DUMMYFUNCTION("""COMPUTED_VALUE"""),7.84)</f>
        <v>7.84</v>
      </c>
      <c r="E2632" s="1">
        <f ca="1">IFERROR(__xludf.DUMMYFUNCTION("""COMPUTED_VALUE"""),7.97)</f>
        <v>7.97</v>
      </c>
      <c r="F2632" s="1">
        <f ca="1">IFERROR(__xludf.DUMMYFUNCTION("""COMPUTED_VALUE"""),512700)</f>
        <v>512700</v>
      </c>
      <c r="I2632" s="1"/>
    </row>
    <row r="2633" spans="1:9">
      <c r="A2633" s="3">
        <f ca="1">IFERROR(__xludf.DUMMYFUNCTION("""COMPUTED_VALUE"""),33023.6666666666)</f>
        <v>33023.666666666599</v>
      </c>
      <c r="B2633" s="1">
        <f ca="1">IFERROR(__xludf.DUMMYFUNCTION("""COMPUTED_VALUE"""),8.02)</f>
        <v>8.02</v>
      </c>
      <c r="C2633" s="1">
        <f ca="1">IFERROR(__xludf.DUMMYFUNCTION("""COMPUTED_VALUE"""),8.05)</f>
        <v>8.0500000000000007</v>
      </c>
      <c r="D2633" s="1">
        <f ca="1">IFERROR(__xludf.DUMMYFUNCTION("""COMPUTED_VALUE"""),7.94)</f>
        <v>7.94</v>
      </c>
      <c r="E2633" s="1">
        <f ca="1">IFERROR(__xludf.DUMMYFUNCTION("""COMPUTED_VALUE"""),8.02)</f>
        <v>8.02</v>
      </c>
      <c r="F2633" s="1">
        <f ca="1">IFERROR(__xludf.DUMMYFUNCTION("""COMPUTED_VALUE"""),670400)</f>
        <v>670400</v>
      </c>
      <c r="I2633" s="1"/>
    </row>
    <row r="2634" spans="1:9">
      <c r="A2634" s="3">
        <f ca="1">IFERROR(__xludf.DUMMYFUNCTION("""COMPUTED_VALUE"""),33024.6666666666)</f>
        <v>33024.666666666599</v>
      </c>
      <c r="B2634" s="1">
        <f ca="1">IFERROR(__xludf.DUMMYFUNCTION("""COMPUTED_VALUE"""),7.98)</f>
        <v>7.98</v>
      </c>
      <c r="C2634" s="1">
        <f ca="1">IFERROR(__xludf.DUMMYFUNCTION("""COMPUTED_VALUE"""),8.02)</f>
        <v>8.02</v>
      </c>
      <c r="D2634" s="1">
        <f ca="1">IFERROR(__xludf.DUMMYFUNCTION("""COMPUTED_VALUE"""),7.97)</f>
        <v>7.97</v>
      </c>
      <c r="E2634" s="1">
        <f ca="1">IFERROR(__xludf.DUMMYFUNCTION("""COMPUTED_VALUE"""),7.98)</f>
        <v>7.98</v>
      </c>
      <c r="F2634" s="1">
        <f ca="1">IFERROR(__xludf.DUMMYFUNCTION("""COMPUTED_VALUE"""),539600)</f>
        <v>539600</v>
      </c>
      <c r="I2634" s="1"/>
    </row>
    <row r="2635" spans="1:9">
      <c r="A2635" s="3">
        <f ca="1">IFERROR(__xludf.DUMMYFUNCTION("""COMPUTED_VALUE"""),33025.6666666666)</f>
        <v>33025.666666666599</v>
      </c>
      <c r="B2635" s="1">
        <f ca="1">IFERROR(__xludf.DUMMYFUNCTION("""COMPUTED_VALUE"""),8.03)</f>
        <v>8.0299999999999994</v>
      </c>
      <c r="C2635" s="1">
        <f ca="1">IFERROR(__xludf.DUMMYFUNCTION("""COMPUTED_VALUE"""),8.06)</f>
        <v>8.06</v>
      </c>
      <c r="D2635" s="1">
        <f ca="1">IFERROR(__xludf.DUMMYFUNCTION("""COMPUTED_VALUE"""),7.97)</f>
        <v>7.97</v>
      </c>
      <c r="E2635" s="1">
        <f ca="1">IFERROR(__xludf.DUMMYFUNCTION("""COMPUTED_VALUE"""),8.03)</f>
        <v>8.0299999999999994</v>
      </c>
      <c r="F2635" s="1">
        <f ca="1">IFERROR(__xludf.DUMMYFUNCTION("""COMPUTED_VALUE"""),484300)</f>
        <v>484300</v>
      </c>
      <c r="I2635" s="1"/>
    </row>
    <row r="2636" spans="1:9">
      <c r="A2636" s="3">
        <f ca="1">IFERROR(__xludf.DUMMYFUNCTION("""COMPUTED_VALUE"""),33028.6666666666)</f>
        <v>33028.666666666599</v>
      </c>
      <c r="B2636" s="1">
        <f ca="1">IFERROR(__xludf.DUMMYFUNCTION("""COMPUTED_VALUE"""),8.14)</f>
        <v>8.14</v>
      </c>
      <c r="C2636" s="1">
        <f ca="1">IFERROR(__xludf.DUMMYFUNCTION("""COMPUTED_VALUE"""),8.16)</f>
        <v>8.16</v>
      </c>
      <c r="D2636" s="1">
        <f ca="1">IFERROR(__xludf.DUMMYFUNCTION("""COMPUTED_VALUE"""),7.97)</f>
        <v>7.97</v>
      </c>
      <c r="E2636" s="1">
        <f ca="1">IFERROR(__xludf.DUMMYFUNCTION("""COMPUTED_VALUE"""),8.14)</f>
        <v>8.14</v>
      </c>
      <c r="F2636" s="1">
        <f ca="1">IFERROR(__xludf.DUMMYFUNCTION("""COMPUTED_VALUE"""),582800)</f>
        <v>582800</v>
      </c>
      <c r="I2636" s="1"/>
    </row>
    <row r="2637" spans="1:9">
      <c r="A2637" s="3">
        <f ca="1">IFERROR(__xludf.DUMMYFUNCTION("""COMPUTED_VALUE"""),33029.6666666666)</f>
        <v>33029.666666666599</v>
      </c>
      <c r="B2637" s="1">
        <f ca="1">IFERROR(__xludf.DUMMYFUNCTION("""COMPUTED_VALUE"""),8.16)</f>
        <v>8.16</v>
      </c>
      <c r="C2637" s="1">
        <f ca="1">IFERROR(__xludf.DUMMYFUNCTION("""COMPUTED_VALUE"""),8.22)</f>
        <v>8.2200000000000006</v>
      </c>
      <c r="D2637" s="1">
        <f ca="1">IFERROR(__xludf.DUMMYFUNCTION("""COMPUTED_VALUE"""),8.14)</f>
        <v>8.14</v>
      </c>
      <c r="E2637" s="1">
        <f ca="1">IFERROR(__xludf.DUMMYFUNCTION("""COMPUTED_VALUE"""),8.16)</f>
        <v>8.16</v>
      </c>
      <c r="F2637" s="1">
        <f ca="1">IFERROR(__xludf.DUMMYFUNCTION("""COMPUTED_VALUE"""),929100)</f>
        <v>929100</v>
      </c>
      <c r="I2637" s="1"/>
    </row>
    <row r="2638" spans="1:9">
      <c r="A2638" s="3">
        <f ca="1">IFERROR(__xludf.DUMMYFUNCTION("""COMPUTED_VALUE"""),33030.6666666666)</f>
        <v>33030.666666666599</v>
      </c>
      <c r="B2638" s="1">
        <f ca="1">IFERROR(__xludf.DUMMYFUNCTION("""COMPUTED_VALUE"""),8.08)</f>
        <v>8.08</v>
      </c>
      <c r="C2638" s="1">
        <f ca="1">IFERROR(__xludf.DUMMYFUNCTION("""COMPUTED_VALUE"""),8.14)</f>
        <v>8.14</v>
      </c>
      <c r="D2638" s="1">
        <f ca="1">IFERROR(__xludf.DUMMYFUNCTION("""COMPUTED_VALUE"""),8.03)</f>
        <v>8.0299999999999994</v>
      </c>
      <c r="E2638" s="1">
        <f ca="1">IFERROR(__xludf.DUMMYFUNCTION("""COMPUTED_VALUE"""),8.08)</f>
        <v>8.08</v>
      </c>
      <c r="F2638" s="1">
        <f ca="1">IFERROR(__xludf.DUMMYFUNCTION("""COMPUTED_VALUE"""),636300)</f>
        <v>636300</v>
      </c>
      <c r="I2638" s="1"/>
    </row>
    <row r="2639" spans="1:9">
      <c r="A2639" s="3">
        <f ca="1">IFERROR(__xludf.DUMMYFUNCTION("""COMPUTED_VALUE"""),33031.6666666666)</f>
        <v>33031.666666666599</v>
      </c>
      <c r="B2639" s="1">
        <f ca="1">IFERROR(__xludf.DUMMYFUNCTION("""COMPUTED_VALUE"""),8.03)</f>
        <v>8.0299999999999994</v>
      </c>
      <c r="C2639" s="1">
        <f ca="1">IFERROR(__xludf.DUMMYFUNCTION("""COMPUTED_VALUE"""),8.09)</f>
        <v>8.09</v>
      </c>
      <c r="D2639" s="1">
        <f ca="1">IFERROR(__xludf.DUMMYFUNCTION("""COMPUTED_VALUE"""),8)</f>
        <v>8</v>
      </c>
      <c r="E2639" s="1">
        <f ca="1">IFERROR(__xludf.DUMMYFUNCTION("""COMPUTED_VALUE"""),8.03)</f>
        <v>8.0299999999999994</v>
      </c>
      <c r="F2639" s="1">
        <f ca="1">IFERROR(__xludf.DUMMYFUNCTION("""COMPUTED_VALUE"""),512900)</f>
        <v>512900</v>
      </c>
      <c r="I2639" s="1"/>
    </row>
    <row r="2640" spans="1:9">
      <c r="A2640" s="3">
        <f ca="1">IFERROR(__xludf.DUMMYFUNCTION("""COMPUTED_VALUE"""),33032.6666666666)</f>
        <v>33032.666666666599</v>
      </c>
      <c r="B2640" s="1">
        <f ca="1">IFERROR(__xludf.DUMMYFUNCTION("""COMPUTED_VALUE"""),7.88)</f>
        <v>7.88</v>
      </c>
      <c r="C2640" s="1">
        <f ca="1">IFERROR(__xludf.DUMMYFUNCTION("""COMPUTED_VALUE"""),8.05)</f>
        <v>8.0500000000000007</v>
      </c>
      <c r="D2640" s="1">
        <f ca="1">IFERROR(__xludf.DUMMYFUNCTION("""COMPUTED_VALUE"""),7.86)</f>
        <v>7.86</v>
      </c>
      <c r="E2640" s="1">
        <f ca="1">IFERROR(__xludf.DUMMYFUNCTION("""COMPUTED_VALUE"""),7.88)</f>
        <v>7.88</v>
      </c>
      <c r="F2640" s="1">
        <f ca="1">IFERROR(__xludf.DUMMYFUNCTION("""COMPUTED_VALUE"""),399100)</f>
        <v>399100</v>
      </c>
      <c r="I2640" s="1"/>
    </row>
    <row r="2641" spans="1:9">
      <c r="A2641" s="3">
        <f ca="1">IFERROR(__xludf.DUMMYFUNCTION("""COMPUTED_VALUE"""),33035.6666666666)</f>
        <v>33035.666666666599</v>
      </c>
      <c r="B2641" s="1">
        <f ca="1">IFERROR(__xludf.DUMMYFUNCTION("""COMPUTED_VALUE"""),8)</f>
        <v>8</v>
      </c>
      <c r="C2641" s="1">
        <f ca="1">IFERROR(__xludf.DUMMYFUNCTION("""COMPUTED_VALUE"""),8)</f>
        <v>8</v>
      </c>
      <c r="D2641" s="1">
        <f ca="1">IFERROR(__xludf.DUMMYFUNCTION("""COMPUTED_VALUE"""),7.89)</f>
        <v>7.89</v>
      </c>
      <c r="E2641" s="1">
        <f ca="1">IFERROR(__xludf.DUMMYFUNCTION("""COMPUTED_VALUE"""),8)</f>
        <v>8</v>
      </c>
      <c r="F2641" s="1">
        <f ca="1">IFERROR(__xludf.DUMMYFUNCTION("""COMPUTED_VALUE"""),582800)</f>
        <v>582800</v>
      </c>
      <c r="I2641" s="1"/>
    </row>
    <row r="2642" spans="1:9">
      <c r="A2642" s="3">
        <f ca="1">IFERROR(__xludf.DUMMYFUNCTION("""COMPUTED_VALUE"""),33036.6666666666)</f>
        <v>33036.666666666599</v>
      </c>
      <c r="B2642" s="1">
        <f ca="1">IFERROR(__xludf.DUMMYFUNCTION("""COMPUTED_VALUE"""),8.13)</f>
        <v>8.1300000000000008</v>
      </c>
      <c r="C2642" s="1">
        <f ca="1">IFERROR(__xludf.DUMMYFUNCTION("""COMPUTED_VALUE"""),8.13)</f>
        <v>8.1300000000000008</v>
      </c>
      <c r="D2642" s="1">
        <f ca="1">IFERROR(__xludf.DUMMYFUNCTION("""COMPUTED_VALUE"""),7.92)</f>
        <v>7.92</v>
      </c>
      <c r="E2642" s="1">
        <f ca="1">IFERROR(__xludf.DUMMYFUNCTION("""COMPUTED_VALUE"""),8.13)</f>
        <v>8.1300000000000008</v>
      </c>
      <c r="F2642" s="1">
        <f ca="1">IFERROR(__xludf.DUMMYFUNCTION("""COMPUTED_VALUE"""),784600)</f>
        <v>784600</v>
      </c>
      <c r="I2642" s="1"/>
    </row>
    <row r="2643" spans="1:9">
      <c r="A2643" s="3">
        <f ca="1">IFERROR(__xludf.DUMMYFUNCTION("""COMPUTED_VALUE"""),33037.6666666666)</f>
        <v>33037.666666666599</v>
      </c>
      <c r="B2643" s="1">
        <f ca="1">IFERROR(__xludf.DUMMYFUNCTION("""COMPUTED_VALUE"""),8.09)</f>
        <v>8.09</v>
      </c>
      <c r="C2643" s="1">
        <f ca="1">IFERROR(__xludf.DUMMYFUNCTION("""COMPUTED_VALUE"""),8.16)</f>
        <v>8.16</v>
      </c>
      <c r="D2643" s="1">
        <f ca="1">IFERROR(__xludf.DUMMYFUNCTION("""COMPUTED_VALUE"""),8.05)</f>
        <v>8.0500000000000007</v>
      </c>
      <c r="E2643" s="1">
        <f ca="1">IFERROR(__xludf.DUMMYFUNCTION("""COMPUTED_VALUE"""),8.09)</f>
        <v>8.09</v>
      </c>
      <c r="F2643" s="1">
        <f ca="1">IFERROR(__xludf.DUMMYFUNCTION("""COMPUTED_VALUE"""),529000)</f>
        <v>529000</v>
      </c>
      <c r="I2643" s="1"/>
    </row>
    <row r="2644" spans="1:9">
      <c r="A2644" s="3">
        <f ca="1">IFERROR(__xludf.DUMMYFUNCTION("""COMPUTED_VALUE"""),33038.6666666666)</f>
        <v>33038.666666666599</v>
      </c>
      <c r="B2644" s="1">
        <f ca="1">IFERROR(__xludf.DUMMYFUNCTION("""COMPUTED_VALUE"""),7.98)</f>
        <v>7.98</v>
      </c>
      <c r="C2644" s="1">
        <f ca="1">IFERROR(__xludf.DUMMYFUNCTION("""COMPUTED_VALUE"""),8.06)</f>
        <v>8.06</v>
      </c>
      <c r="D2644" s="1">
        <f ca="1">IFERROR(__xludf.DUMMYFUNCTION("""COMPUTED_VALUE"""),7.98)</f>
        <v>7.98</v>
      </c>
      <c r="E2644" s="1">
        <f ca="1">IFERROR(__xludf.DUMMYFUNCTION("""COMPUTED_VALUE"""),7.98)</f>
        <v>7.98</v>
      </c>
      <c r="F2644" s="1">
        <f ca="1">IFERROR(__xludf.DUMMYFUNCTION("""COMPUTED_VALUE"""),423200)</f>
        <v>423200</v>
      </c>
      <c r="I2644" s="1"/>
    </row>
    <row r="2645" spans="1:9">
      <c r="A2645" s="3">
        <f ca="1">IFERROR(__xludf.DUMMYFUNCTION("""COMPUTED_VALUE"""),33039.6666666666)</f>
        <v>33039.666666666599</v>
      </c>
      <c r="B2645" s="1">
        <f ca="1">IFERROR(__xludf.DUMMYFUNCTION("""COMPUTED_VALUE"""),8.05)</f>
        <v>8.0500000000000007</v>
      </c>
      <c r="C2645" s="1">
        <f ca="1">IFERROR(__xludf.DUMMYFUNCTION("""COMPUTED_VALUE"""),8.05)</f>
        <v>8.0500000000000007</v>
      </c>
      <c r="D2645" s="1">
        <f ca="1">IFERROR(__xludf.DUMMYFUNCTION("""COMPUTED_VALUE"""),7.92)</f>
        <v>7.92</v>
      </c>
      <c r="E2645" s="1">
        <f ca="1">IFERROR(__xludf.DUMMYFUNCTION("""COMPUTED_VALUE"""),8.05)</f>
        <v>8.0500000000000007</v>
      </c>
      <c r="F2645" s="1">
        <f ca="1">IFERROR(__xludf.DUMMYFUNCTION("""COMPUTED_VALUE"""),1376200)</f>
        <v>1376200</v>
      </c>
      <c r="I2645" s="1"/>
    </row>
    <row r="2646" spans="1:9">
      <c r="A2646" s="3">
        <f ca="1">IFERROR(__xludf.DUMMYFUNCTION("""COMPUTED_VALUE"""),33042.6666666666)</f>
        <v>33042.666666666599</v>
      </c>
      <c r="B2646" s="1">
        <f ca="1">IFERROR(__xludf.DUMMYFUNCTION("""COMPUTED_VALUE"""),7.92)</f>
        <v>7.92</v>
      </c>
      <c r="C2646" s="1">
        <f ca="1">IFERROR(__xludf.DUMMYFUNCTION("""COMPUTED_VALUE"""),8.02)</f>
        <v>8.02</v>
      </c>
      <c r="D2646" s="1">
        <f ca="1">IFERROR(__xludf.DUMMYFUNCTION("""COMPUTED_VALUE"""),7.91)</f>
        <v>7.91</v>
      </c>
      <c r="E2646" s="1">
        <f ca="1">IFERROR(__xludf.DUMMYFUNCTION("""COMPUTED_VALUE"""),7.92)</f>
        <v>7.92</v>
      </c>
      <c r="F2646" s="1">
        <f ca="1">IFERROR(__xludf.DUMMYFUNCTION("""COMPUTED_VALUE"""),483100)</f>
        <v>483100</v>
      </c>
      <c r="I2646" s="1"/>
    </row>
    <row r="2647" spans="1:9">
      <c r="A2647" s="3">
        <f ca="1">IFERROR(__xludf.DUMMYFUNCTION("""COMPUTED_VALUE"""),33043.6666666666)</f>
        <v>33043.666666666599</v>
      </c>
      <c r="B2647" s="1">
        <f ca="1">IFERROR(__xludf.DUMMYFUNCTION("""COMPUTED_VALUE"""),7.97)</f>
        <v>7.97</v>
      </c>
      <c r="C2647" s="1">
        <f ca="1">IFERROR(__xludf.DUMMYFUNCTION("""COMPUTED_VALUE"""),7.98)</f>
        <v>7.98</v>
      </c>
      <c r="D2647" s="1">
        <f ca="1">IFERROR(__xludf.DUMMYFUNCTION("""COMPUTED_VALUE"""),7.91)</f>
        <v>7.91</v>
      </c>
      <c r="E2647" s="1">
        <f ca="1">IFERROR(__xludf.DUMMYFUNCTION("""COMPUTED_VALUE"""),7.97)</f>
        <v>7.97</v>
      </c>
      <c r="F2647" s="1">
        <f ca="1">IFERROR(__xludf.DUMMYFUNCTION("""COMPUTED_VALUE"""),526100)</f>
        <v>526100</v>
      </c>
      <c r="I2647" s="1"/>
    </row>
    <row r="2648" spans="1:9">
      <c r="A2648" s="3">
        <f ca="1">IFERROR(__xludf.DUMMYFUNCTION("""COMPUTED_VALUE"""),33044.6666666666)</f>
        <v>33044.666666666599</v>
      </c>
      <c r="B2648" s="1">
        <f ca="1">IFERROR(__xludf.DUMMYFUNCTION("""COMPUTED_VALUE"""),8.08)</f>
        <v>8.08</v>
      </c>
      <c r="C2648" s="1">
        <f ca="1">IFERROR(__xludf.DUMMYFUNCTION("""COMPUTED_VALUE"""),8.14)</f>
        <v>8.14</v>
      </c>
      <c r="D2648" s="1">
        <f ca="1">IFERROR(__xludf.DUMMYFUNCTION("""COMPUTED_VALUE"""),7.98)</f>
        <v>7.98</v>
      </c>
      <c r="E2648" s="1">
        <f ca="1">IFERROR(__xludf.DUMMYFUNCTION("""COMPUTED_VALUE"""),8.08)</f>
        <v>8.08</v>
      </c>
      <c r="F2648" s="1">
        <f ca="1">IFERROR(__xludf.DUMMYFUNCTION("""COMPUTED_VALUE"""),744500)</f>
        <v>744500</v>
      </c>
      <c r="I2648" s="1"/>
    </row>
    <row r="2649" spans="1:9">
      <c r="A2649" s="3">
        <f ca="1">IFERROR(__xludf.DUMMYFUNCTION("""COMPUTED_VALUE"""),33045.6666666666)</f>
        <v>33045.666666666599</v>
      </c>
      <c r="B2649" s="1">
        <f ca="1">IFERROR(__xludf.DUMMYFUNCTION("""COMPUTED_VALUE"""),8.33)</f>
        <v>8.33</v>
      </c>
      <c r="C2649" s="1">
        <f ca="1">IFERROR(__xludf.DUMMYFUNCTION("""COMPUTED_VALUE"""),8.39)</f>
        <v>8.39</v>
      </c>
      <c r="D2649" s="1">
        <f ca="1">IFERROR(__xludf.DUMMYFUNCTION("""COMPUTED_VALUE"""),8.13)</f>
        <v>8.1300000000000008</v>
      </c>
      <c r="E2649" s="1">
        <f ca="1">IFERROR(__xludf.DUMMYFUNCTION("""COMPUTED_VALUE"""),8.33)</f>
        <v>8.33</v>
      </c>
      <c r="F2649" s="1">
        <f ca="1">IFERROR(__xludf.DUMMYFUNCTION("""COMPUTED_VALUE"""),984600)</f>
        <v>984600</v>
      </c>
      <c r="I2649" s="1"/>
    </row>
    <row r="2650" spans="1:9">
      <c r="A2650" s="3">
        <f ca="1">IFERROR(__xludf.DUMMYFUNCTION("""COMPUTED_VALUE"""),33046.6666666666)</f>
        <v>33046.666666666599</v>
      </c>
      <c r="B2650" s="1">
        <f ca="1">IFERROR(__xludf.DUMMYFUNCTION("""COMPUTED_VALUE"""),8.17)</f>
        <v>8.17</v>
      </c>
      <c r="C2650" s="1">
        <f ca="1">IFERROR(__xludf.DUMMYFUNCTION("""COMPUTED_VALUE"""),8.41)</f>
        <v>8.41</v>
      </c>
      <c r="D2650" s="1">
        <f ca="1">IFERROR(__xludf.DUMMYFUNCTION("""COMPUTED_VALUE"""),8.17)</f>
        <v>8.17</v>
      </c>
      <c r="E2650" s="1">
        <f ca="1">IFERROR(__xludf.DUMMYFUNCTION("""COMPUTED_VALUE"""),8.17)</f>
        <v>8.17</v>
      </c>
      <c r="F2650" s="1">
        <f ca="1">IFERROR(__xludf.DUMMYFUNCTION("""COMPUTED_VALUE"""),649600)</f>
        <v>649600</v>
      </c>
      <c r="I2650" s="1"/>
    </row>
    <row r="2651" spans="1:9">
      <c r="A2651" s="3">
        <f ca="1">IFERROR(__xludf.DUMMYFUNCTION("""COMPUTED_VALUE"""),33049.6666666666)</f>
        <v>33049.666666666599</v>
      </c>
      <c r="B2651" s="1">
        <f ca="1">IFERROR(__xludf.DUMMYFUNCTION("""COMPUTED_VALUE"""),8.09)</f>
        <v>8.09</v>
      </c>
      <c r="C2651" s="1">
        <f ca="1">IFERROR(__xludf.DUMMYFUNCTION("""COMPUTED_VALUE"""),8.25)</f>
        <v>8.25</v>
      </c>
      <c r="D2651" s="1">
        <f ca="1">IFERROR(__xludf.DUMMYFUNCTION("""COMPUTED_VALUE"""),8.06)</f>
        <v>8.06</v>
      </c>
      <c r="E2651" s="1">
        <f ca="1">IFERROR(__xludf.DUMMYFUNCTION("""COMPUTED_VALUE"""),8.09)</f>
        <v>8.09</v>
      </c>
      <c r="F2651" s="1">
        <f ca="1">IFERROR(__xludf.DUMMYFUNCTION("""COMPUTED_VALUE"""),448900)</f>
        <v>448900</v>
      </c>
      <c r="I2651" s="1"/>
    </row>
    <row r="2652" spans="1:9">
      <c r="A2652" s="3">
        <f ca="1">IFERROR(__xludf.DUMMYFUNCTION("""COMPUTED_VALUE"""),33050.6666666666)</f>
        <v>33050.666666666599</v>
      </c>
      <c r="B2652" s="1">
        <f ca="1">IFERROR(__xludf.DUMMYFUNCTION("""COMPUTED_VALUE"""),8.11)</f>
        <v>8.11</v>
      </c>
      <c r="C2652" s="1">
        <f ca="1">IFERROR(__xludf.DUMMYFUNCTION("""COMPUTED_VALUE"""),8.23)</f>
        <v>8.23</v>
      </c>
      <c r="D2652" s="1">
        <f ca="1">IFERROR(__xludf.DUMMYFUNCTION("""COMPUTED_VALUE"""),8.11)</f>
        <v>8.11</v>
      </c>
      <c r="E2652" s="1">
        <f ca="1">IFERROR(__xludf.DUMMYFUNCTION("""COMPUTED_VALUE"""),8.11)</f>
        <v>8.11</v>
      </c>
      <c r="F2652" s="1">
        <f ca="1">IFERROR(__xludf.DUMMYFUNCTION("""COMPUTED_VALUE"""),627200)</f>
        <v>627200</v>
      </c>
      <c r="I2652" s="1"/>
    </row>
    <row r="2653" spans="1:9">
      <c r="A2653" s="3">
        <f ca="1">IFERROR(__xludf.DUMMYFUNCTION("""COMPUTED_VALUE"""),33051.6666666666)</f>
        <v>33051.666666666599</v>
      </c>
      <c r="B2653" s="1">
        <f ca="1">IFERROR(__xludf.DUMMYFUNCTION("""COMPUTED_VALUE"""),8.33)</f>
        <v>8.33</v>
      </c>
      <c r="C2653" s="1">
        <f ca="1">IFERROR(__xludf.DUMMYFUNCTION("""COMPUTED_VALUE"""),8.34)</f>
        <v>8.34</v>
      </c>
      <c r="D2653" s="1">
        <f ca="1">IFERROR(__xludf.DUMMYFUNCTION("""COMPUTED_VALUE"""),8.14)</f>
        <v>8.14</v>
      </c>
      <c r="E2653" s="1">
        <f ca="1">IFERROR(__xludf.DUMMYFUNCTION("""COMPUTED_VALUE"""),8.33)</f>
        <v>8.33</v>
      </c>
      <c r="F2653" s="1">
        <f ca="1">IFERROR(__xludf.DUMMYFUNCTION("""COMPUTED_VALUE"""),617900)</f>
        <v>617900</v>
      </c>
      <c r="I2653" s="1"/>
    </row>
    <row r="2654" spans="1:9">
      <c r="A2654" s="3">
        <f ca="1">IFERROR(__xludf.DUMMYFUNCTION("""COMPUTED_VALUE"""),33052.6666666666)</f>
        <v>33052.666666666599</v>
      </c>
      <c r="B2654" s="1">
        <f ca="1">IFERROR(__xludf.DUMMYFUNCTION("""COMPUTED_VALUE"""),8.48)</f>
        <v>8.48</v>
      </c>
      <c r="C2654" s="1">
        <f ca="1">IFERROR(__xludf.DUMMYFUNCTION("""COMPUTED_VALUE"""),8.52)</f>
        <v>8.52</v>
      </c>
      <c r="D2654" s="1">
        <f ca="1">IFERROR(__xludf.DUMMYFUNCTION("""COMPUTED_VALUE"""),8.34)</f>
        <v>8.34</v>
      </c>
      <c r="E2654" s="1">
        <f ca="1">IFERROR(__xludf.DUMMYFUNCTION("""COMPUTED_VALUE"""),8.48)</f>
        <v>8.48</v>
      </c>
      <c r="F2654" s="1">
        <f ca="1">IFERROR(__xludf.DUMMYFUNCTION("""COMPUTED_VALUE"""),626600)</f>
        <v>626600</v>
      </c>
      <c r="I2654" s="1"/>
    </row>
    <row r="2655" spans="1:9">
      <c r="A2655" s="3">
        <f ca="1">IFERROR(__xludf.DUMMYFUNCTION("""COMPUTED_VALUE"""),33053.6666666666)</f>
        <v>33053.666666666599</v>
      </c>
      <c r="B2655" s="1">
        <f ca="1">IFERROR(__xludf.DUMMYFUNCTION("""COMPUTED_VALUE"""),8.47)</f>
        <v>8.4700000000000006</v>
      </c>
      <c r="C2655" s="1">
        <f ca="1">IFERROR(__xludf.DUMMYFUNCTION("""COMPUTED_VALUE"""),8.53)</f>
        <v>8.5299999999999994</v>
      </c>
      <c r="D2655" s="1">
        <f ca="1">IFERROR(__xludf.DUMMYFUNCTION("""COMPUTED_VALUE"""),8.39)</f>
        <v>8.39</v>
      </c>
      <c r="E2655" s="1">
        <f ca="1">IFERROR(__xludf.DUMMYFUNCTION("""COMPUTED_VALUE"""),8.47)</f>
        <v>8.4700000000000006</v>
      </c>
      <c r="F2655" s="1">
        <f ca="1">IFERROR(__xludf.DUMMYFUNCTION("""COMPUTED_VALUE"""),605900)</f>
        <v>605900</v>
      </c>
      <c r="I2655" s="1"/>
    </row>
    <row r="2656" spans="1:9">
      <c r="A2656" s="3">
        <f ca="1">IFERROR(__xludf.DUMMYFUNCTION("""COMPUTED_VALUE"""),33056.6666666666)</f>
        <v>33056.666666666599</v>
      </c>
      <c r="B2656" s="1">
        <f ca="1">IFERROR(__xludf.DUMMYFUNCTION("""COMPUTED_VALUE"""),8.7)</f>
        <v>8.6999999999999993</v>
      </c>
      <c r="C2656" s="1">
        <f ca="1">IFERROR(__xludf.DUMMYFUNCTION("""COMPUTED_VALUE"""),8.7)</f>
        <v>8.6999999999999993</v>
      </c>
      <c r="D2656" s="1">
        <f ca="1">IFERROR(__xludf.DUMMYFUNCTION("""COMPUTED_VALUE"""),8.44)</f>
        <v>8.44</v>
      </c>
      <c r="E2656" s="1">
        <f ca="1">IFERROR(__xludf.DUMMYFUNCTION("""COMPUTED_VALUE"""),8.7)</f>
        <v>8.6999999999999993</v>
      </c>
      <c r="F2656" s="1">
        <f ca="1">IFERROR(__xludf.DUMMYFUNCTION("""COMPUTED_VALUE"""),409500)</f>
        <v>409500</v>
      </c>
      <c r="I2656" s="1"/>
    </row>
    <row r="2657" spans="1:9">
      <c r="A2657" s="3">
        <f ca="1">IFERROR(__xludf.DUMMYFUNCTION("""COMPUTED_VALUE"""),33057.6666666666)</f>
        <v>33057.666666666599</v>
      </c>
      <c r="B2657" s="1">
        <f ca="1">IFERROR(__xludf.DUMMYFUNCTION("""COMPUTED_VALUE"""),8.66)</f>
        <v>8.66</v>
      </c>
      <c r="C2657" s="1">
        <f ca="1">IFERROR(__xludf.DUMMYFUNCTION("""COMPUTED_VALUE"""),8.73)</f>
        <v>8.73</v>
      </c>
      <c r="D2657" s="1">
        <f ca="1">IFERROR(__xludf.DUMMYFUNCTION("""COMPUTED_VALUE"""),8.66)</f>
        <v>8.66</v>
      </c>
      <c r="E2657" s="1">
        <f ca="1">IFERROR(__xludf.DUMMYFUNCTION("""COMPUTED_VALUE"""),8.66)</f>
        <v>8.66</v>
      </c>
      <c r="F2657" s="1">
        <f ca="1">IFERROR(__xludf.DUMMYFUNCTION("""COMPUTED_VALUE"""),509800)</f>
        <v>509800</v>
      </c>
      <c r="I2657" s="1"/>
    </row>
    <row r="2658" spans="1:9">
      <c r="A2658" s="3">
        <f ca="1">IFERROR(__xludf.DUMMYFUNCTION("""COMPUTED_VALUE"""),33059.6666666666)</f>
        <v>33059.666666666599</v>
      </c>
      <c r="B2658" s="1">
        <f ca="1">IFERROR(__xludf.DUMMYFUNCTION("""COMPUTED_VALUE"""),8.55)</f>
        <v>8.5500000000000007</v>
      </c>
      <c r="C2658" s="1">
        <f ca="1">IFERROR(__xludf.DUMMYFUNCTION("""COMPUTED_VALUE"""),8.67)</f>
        <v>8.67</v>
      </c>
      <c r="D2658" s="1">
        <f ca="1">IFERROR(__xludf.DUMMYFUNCTION("""COMPUTED_VALUE"""),8.48)</f>
        <v>8.48</v>
      </c>
      <c r="E2658" s="1">
        <f ca="1">IFERROR(__xludf.DUMMYFUNCTION("""COMPUTED_VALUE"""),8.55)</f>
        <v>8.5500000000000007</v>
      </c>
      <c r="F2658" s="1">
        <f ca="1">IFERROR(__xludf.DUMMYFUNCTION("""COMPUTED_VALUE"""),431000)</f>
        <v>431000</v>
      </c>
      <c r="I2658" s="1"/>
    </row>
    <row r="2659" spans="1:9">
      <c r="A2659" s="3">
        <f ca="1">IFERROR(__xludf.DUMMYFUNCTION("""COMPUTED_VALUE"""),33060.6666666666)</f>
        <v>33060.666666666599</v>
      </c>
      <c r="B2659" s="1">
        <f ca="1">IFERROR(__xludf.DUMMYFUNCTION("""COMPUTED_VALUE"""),8.61)</f>
        <v>8.61</v>
      </c>
      <c r="C2659" s="1">
        <f ca="1">IFERROR(__xludf.DUMMYFUNCTION("""COMPUTED_VALUE"""),8.66)</f>
        <v>8.66</v>
      </c>
      <c r="D2659" s="1">
        <f ca="1">IFERROR(__xludf.DUMMYFUNCTION("""COMPUTED_VALUE"""),8.48)</f>
        <v>8.48</v>
      </c>
      <c r="E2659" s="1">
        <f ca="1">IFERROR(__xludf.DUMMYFUNCTION("""COMPUTED_VALUE"""),8.61)</f>
        <v>8.61</v>
      </c>
      <c r="F2659" s="1">
        <f ca="1">IFERROR(__xludf.DUMMYFUNCTION("""COMPUTED_VALUE"""),400400)</f>
        <v>400400</v>
      </c>
      <c r="I2659" s="1"/>
    </row>
    <row r="2660" spans="1:9">
      <c r="A2660" s="3">
        <f ca="1">IFERROR(__xludf.DUMMYFUNCTION("""COMPUTED_VALUE"""),33063.6666666666)</f>
        <v>33063.666666666599</v>
      </c>
      <c r="B2660" s="1">
        <f ca="1">IFERROR(__xludf.DUMMYFUNCTION("""COMPUTED_VALUE"""),8.55)</f>
        <v>8.5500000000000007</v>
      </c>
      <c r="C2660" s="1">
        <f ca="1">IFERROR(__xludf.DUMMYFUNCTION("""COMPUTED_VALUE"""),8.63)</f>
        <v>8.6300000000000008</v>
      </c>
      <c r="D2660" s="1">
        <f ca="1">IFERROR(__xludf.DUMMYFUNCTION("""COMPUTED_VALUE"""),8.53)</f>
        <v>8.5299999999999994</v>
      </c>
      <c r="E2660" s="1">
        <f ca="1">IFERROR(__xludf.DUMMYFUNCTION("""COMPUTED_VALUE"""),8.55)</f>
        <v>8.5500000000000007</v>
      </c>
      <c r="F2660" s="1">
        <f ca="1">IFERROR(__xludf.DUMMYFUNCTION("""COMPUTED_VALUE"""),543500)</f>
        <v>543500</v>
      </c>
      <c r="I2660" s="1"/>
    </row>
    <row r="2661" spans="1:9">
      <c r="A2661" s="3">
        <f ca="1">IFERROR(__xludf.DUMMYFUNCTION("""COMPUTED_VALUE"""),33064.6666666666)</f>
        <v>33064.666666666599</v>
      </c>
      <c r="B2661" s="1">
        <f ca="1">IFERROR(__xludf.DUMMYFUNCTION("""COMPUTED_VALUE"""),8.5)</f>
        <v>8.5</v>
      </c>
      <c r="C2661" s="1">
        <f ca="1">IFERROR(__xludf.DUMMYFUNCTION("""COMPUTED_VALUE"""),8.56)</f>
        <v>8.56</v>
      </c>
      <c r="D2661" s="1">
        <f ca="1">IFERROR(__xludf.DUMMYFUNCTION("""COMPUTED_VALUE"""),8.47)</f>
        <v>8.4700000000000006</v>
      </c>
      <c r="E2661" s="1">
        <f ca="1">IFERROR(__xludf.DUMMYFUNCTION("""COMPUTED_VALUE"""),8.5)</f>
        <v>8.5</v>
      </c>
      <c r="F2661" s="1">
        <f ca="1">IFERROR(__xludf.DUMMYFUNCTION("""COMPUTED_VALUE"""),334300)</f>
        <v>334300</v>
      </c>
      <c r="I2661" s="1"/>
    </row>
    <row r="2662" spans="1:9">
      <c r="A2662" s="3">
        <f ca="1">IFERROR(__xludf.DUMMYFUNCTION("""COMPUTED_VALUE"""),33065.6666666666)</f>
        <v>33065.666666666599</v>
      </c>
      <c r="B2662" s="1">
        <f ca="1">IFERROR(__xludf.DUMMYFUNCTION("""COMPUTED_VALUE"""),8.7)</f>
        <v>8.6999999999999993</v>
      </c>
      <c r="C2662" s="1">
        <f ca="1">IFERROR(__xludf.DUMMYFUNCTION("""COMPUTED_VALUE"""),8.78)</f>
        <v>8.7799999999999994</v>
      </c>
      <c r="D2662" s="1">
        <f ca="1">IFERROR(__xludf.DUMMYFUNCTION("""COMPUTED_VALUE"""),8.53)</f>
        <v>8.5299999999999994</v>
      </c>
      <c r="E2662" s="1">
        <f ca="1">IFERROR(__xludf.DUMMYFUNCTION("""COMPUTED_VALUE"""),8.7)</f>
        <v>8.6999999999999993</v>
      </c>
      <c r="F2662" s="1">
        <f ca="1">IFERROR(__xludf.DUMMYFUNCTION("""COMPUTED_VALUE"""),601000)</f>
        <v>601000</v>
      </c>
      <c r="I2662" s="1"/>
    </row>
    <row r="2663" spans="1:9">
      <c r="A2663" s="3">
        <f ca="1">IFERROR(__xludf.DUMMYFUNCTION("""COMPUTED_VALUE"""),33066.6666666666)</f>
        <v>33066.666666666599</v>
      </c>
      <c r="B2663" s="1">
        <f ca="1">IFERROR(__xludf.DUMMYFUNCTION("""COMPUTED_VALUE"""),8.86)</f>
        <v>8.86</v>
      </c>
      <c r="C2663" s="1">
        <f ca="1">IFERROR(__xludf.DUMMYFUNCTION("""COMPUTED_VALUE"""),8.86)</f>
        <v>8.86</v>
      </c>
      <c r="D2663" s="1">
        <f ca="1">IFERROR(__xludf.DUMMYFUNCTION("""COMPUTED_VALUE"""),8.69)</f>
        <v>8.69</v>
      </c>
      <c r="E2663" s="1">
        <f ca="1">IFERROR(__xludf.DUMMYFUNCTION("""COMPUTED_VALUE"""),8.86)</f>
        <v>8.86</v>
      </c>
      <c r="F2663" s="1">
        <f ca="1">IFERROR(__xludf.DUMMYFUNCTION("""COMPUTED_VALUE"""),727900)</f>
        <v>727900</v>
      </c>
      <c r="I2663" s="1"/>
    </row>
    <row r="2664" spans="1:9">
      <c r="A2664" s="3">
        <f ca="1">IFERROR(__xludf.DUMMYFUNCTION("""COMPUTED_VALUE"""),33067.6666666666)</f>
        <v>33067.666666666599</v>
      </c>
      <c r="B2664" s="1">
        <f ca="1">IFERROR(__xludf.DUMMYFUNCTION("""COMPUTED_VALUE"""),8.81)</f>
        <v>8.81</v>
      </c>
      <c r="C2664" s="1">
        <f ca="1">IFERROR(__xludf.DUMMYFUNCTION("""COMPUTED_VALUE"""),8.98)</f>
        <v>8.98</v>
      </c>
      <c r="D2664" s="1">
        <f ca="1">IFERROR(__xludf.DUMMYFUNCTION("""COMPUTED_VALUE"""),8.81)</f>
        <v>8.81</v>
      </c>
      <c r="E2664" s="1">
        <f ca="1">IFERROR(__xludf.DUMMYFUNCTION("""COMPUTED_VALUE"""),8.81)</f>
        <v>8.81</v>
      </c>
      <c r="F2664" s="1">
        <f ca="1">IFERROR(__xludf.DUMMYFUNCTION("""COMPUTED_VALUE"""),711200)</f>
        <v>711200</v>
      </c>
      <c r="I2664" s="1"/>
    </row>
    <row r="2665" spans="1:9">
      <c r="A2665" s="3">
        <f ca="1">IFERROR(__xludf.DUMMYFUNCTION("""COMPUTED_VALUE"""),33070.6666666666)</f>
        <v>33070.666666666599</v>
      </c>
      <c r="B2665" s="1">
        <f ca="1">IFERROR(__xludf.DUMMYFUNCTION("""COMPUTED_VALUE"""),8.86)</f>
        <v>8.86</v>
      </c>
      <c r="C2665" s="1">
        <f ca="1">IFERROR(__xludf.DUMMYFUNCTION("""COMPUTED_VALUE"""),8.94)</f>
        <v>8.94</v>
      </c>
      <c r="D2665" s="1">
        <f ca="1">IFERROR(__xludf.DUMMYFUNCTION("""COMPUTED_VALUE"""),8.83)</f>
        <v>8.83</v>
      </c>
      <c r="E2665" s="1">
        <f ca="1">IFERROR(__xludf.DUMMYFUNCTION("""COMPUTED_VALUE"""),8.86)</f>
        <v>8.86</v>
      </c>
      <c r="F2665" s="1">
        <f ca="1">IFERROR(__xludf.DUMMYFUNCTION("""COMPUTED_VALUE"""),602900)</f>
        <v>602900</v>
      </c>
      <c r="I2665" s="1"/>
    </row>
    <row r="2666" spans="1:9">
      <c r="A2666" s="3">
        <f ca="1">IFERROR(__xludf.DUMMYFUNCTION("""COMPUTED_VALUE"""),33071.6666666666)</f>
        <v>33071.666666666599</v>
      </c>
      <c r="B2666" s="1">
        <f ca="1">IFERROR(__xludf.DUMMYFUNCTION("""COMPUTED_VALUE"""),8.89)</f>
        <v>8.89</v>
      </c>
      <c r="C2666" s="1">
        <f ca="1">IFERROR(__xludf.DUMMYFUNCTION("""COMPUTED_VALUE"""),8.92)</f>
        <v>8.92</v>
      </c>
      <c r="D2666" s="1">
        <f ca="1">IFERROR(__xludf.DUMMYFUNCTION("""COMPUTED_VALUE"""),8.77)</f>
        <v>8.77</v>
      </c>
      <c r="E2666" s="1">
        <f ca="1">IFERROR(__xludf.DUMMYFUNCTION("""COMPUTED_VALUE"""),8.89)</f>
        <v>8.89</v>
      </c>
      <c r="F2666" s="1">
        <f ca="1">IFERROR(__xludf.DUMMYFUNCTION("""COMPUTED_VALUE"""),595900)</f>
        <v>595900</v>
      </c>
      <c r="I2666" s="1"/>
    </row>
    <row r="2667" spans="1:9">
      <c r="A2667" s="3">
        <f ca="1">IFERROR(__xludf.DUMMYFUNCTION("""COMPUTED_VALUE"""),33072.6666666666)</f>
        <v>33072.666666666599</v>
      </c>
      <c r="B2667" s="1">
        <f ca="1">IFERROR(__xludf.DUMMYFUNCTION("""COMPUTED_VALUE"""),8.92)</f>
        <v>8.92</v>
      </c>
      <c r="C2667" s="1">
        <f ca="1">IFERROR(__xludf.DUMMYFUNCTION("""COMPUTED_VALUE"""),8.97)</f>
        <v>8.9700000000000006</v>
      </c>
      <c r="D2667" s="1">
        <f ca="1">IFERROR(__xludf.DUMMYFUNCTION("""COMPUTED_VALUE"""),8.84)</f>
        <v>8.84</v>
      </c>
      <c r="E2667" s="1">
        <f ca="1">IFERROR(__xludf.DUMMYFUNCTION("""COMPUTED_VALUE"""),8.92)</f>
        <v>8.92</v>
      </c>
      <c r="F2667" s="1">
        <f ca="1">IFERROR(__xludf.DUMMYFUNCTION("""COMPUTED_VALUE"""),683900)</f>
        <v>683900</v>
      </c>
      <c r="I2667" s="1"/>
    </row>
    <row r="2668" spans="1:9">
      <c r="A2668" s="3">
        <f ca="1">IFERROR(__xludf.DUMMYFUNCTION("""COMPUTED_VALUE"""),33073.6666666666)</f>
        <v>33073.666666666599</v>
      </c>
      <c r="B2668" s="1">
        <f ca="1">IFERROR(__xludf.DUMMYFUNCTION("""COMPUTED_VALUE"""),9.09)</f>
        <v>9.09</v>
      </c>
      <c r="C2668" s="1">
        <f ca="1">IFERROR(__xludf.DUMMYFUNCTION("""COMPUTED_VALUE"""),9.09)</f>
        <v>9.09</v>
      </c>
      <c r="D2668" s="1">
        <f ca="1">IFERROR(__xludf.DUMMYFUNCTION("""COMPUTED_VALUE"""),8.88)</f>
        <v>8.8800000000000008</v>
      </c>
      <c r="E2668" s="1">
        <f ca="1">IFERROR(__xludf.DUMMYFUNCTION("""COMPUTED_VALUE"""),9.09)</f>
        <v>9.09</v>
      </c>
      <c r="F2668" s="1">
        <f ca="1">IFERROR(__xludf.DUMMYFUNCTION("""COMPUTED_VALUE"""),717400)</f>
        <v>717400</v>
      </c>
      <c r="I2668" s="1"/>
    </row>
    <row r="2669" spans="1:9">
      <c r="A2669" s="3">
        <f ca="1">IFERROR(__xludf.DUMMYFUNCTION("""COMPUTED_VALUE"""),33074.6666666666)</f>
        <v>33074.666666666599</v>
      </c>
      <c r="B2669" s="1">
        <f ca="1">IFERROR(__xludf.DUMMYFUNCTION("""COMPUTED_VALUE"""),9.13)</f>
        <v>9.1300000000000008</v>
      </c>
      <c r="C2669" s="1">
        <f ca="1">IFERROR(__xludf.DUMMYFUNCTION("""COMPUTED_VALUE"""),9.27)</f>
        <v>9.27</v>
      </c>
      <c r="D2669" s="1">
        <f ca="1">IFERROR(__xludf.DUMMYFUNCTION("""COMPUTED_VALUE"""),9.06)</f>
        <v>9.06</v>
      </c>
      <c r="E2669" s="1">
        <f ca="1">IFERROR(__xludf.DUMMYFUNCTION("""COMPUTED_VALUE"""),9.13)</f>
        <v>9.1300000000000008</v>
      </c>
      <c r="F2669" s="1">
        <f ca="1">IFERROR(__xludf.DUMMYFUNCTION("""COMPUTED_VALUE"""),1219400)</f>
        <v>1219400</v>
      </c>
      <c r="I2669" s="1"/>
    </row>
    <row r="2670" spans="1:9">
      <c r="A2670" s="3">
        <f ca="1">IFERROR(__xludf.DUMMYFUNCTION("""COMPUTED_VALUE"""),33077.6666666666)</f>
        <v>33077.666666666599</v>
      </c>
      <c r="B2670" s="1">
        <f ca="1">IFERROR(__xludf.DUMMYFUNCTION("""COMPUTED_VALUE"""),8.88)</f>
        <v>8.8800000000000008</v>
      </c>
      <c r="C2670" s="1">
        <f ca="1">IFERROR(__xludf.DUMMYFUNCTION("""COMPUTED_VALUE"""),9.03)</f>
        <v>9.0299999999999994</v>
      </c>
      <c r="D2670" s="1">
        <f ca="1">IFERROR(__xludf.DUMMYFUNCTION("""COMPUTED_VALUE"""),8.66)</f>
        <v>8.66</v>
      </c>
      <c r="E2670" s="1">
        <f ca="1">IFERROR(__xludf.DUMMYFUNCTION("""COMPUTED_VALUE"""),8.88)</f>
        <v>8.8800000000000008</v>
      </c>
      <c r="F2670" s="1">
        <f ca="1">IFERROR(__xludf.DUMMYFUNCTION("""COMPUTED_VALUE"""),1298600)</f>
        <v>1298600</v>
      </c>
      <c r="I2670" s="1"/>
    </row>
    <row r="2671" spans="1:9">
      <c r="A2671" s="3">
        <f ca="1">IFERROR(__xludf.DUMMYFUNCTION("""COMPUTED_VALUE"""),33078.6666666666)</f>
        <v>33078.666666666599</v>
      </c>
      <c r="B2671" s="1">
        <f ca="1">IFERROR(__xludf.DUMMYFUNCTION("""COMPUTED_VALUE"""),9)</f>
        <v>9</v>
      </c>
      <c r="C2671" s="1">
        <f ca="1">IFERROR(__xludf.DUMMYFUNCTION("""COMPUTED_VALUE"""),9)</f>
        <v>9</v>
      </c>
      <c r="D2671" s="1">
        <f ca="1">IFERROR(__xludf.DUMMYFUNCTION("""COMPUTED_VALUE"""),8.81)</f>
        <v>8.81</v>
      </c>
      <c r="E2671" s="1">
        <f ca="1">IFERROR(__xludf.DUMMYFUNCTION("""COMPUTED_VALUE"""),9)</f>
        <v>9</v>
      </c>
      <c r="F2671" s="1">
        <f ca="1">IFERROR(__xludf.DUMMYFUNCTION("""COMPUTED_VALUE"""),1107700)</f>
        <v>1107700</v>
      </c>
      <c r="I2671" s="1"/>
    </row>
    <row r="2672" spans="1:9">
      <c r="A2672" s="3">
        <f ca="1">IFERROR(__xludf.DUMMYFUNCTION("""COMPUTED_VALUE"""),33079.6666666666)</f>
        <v>33079.666666666599</v>
      </c>
      <c r="B2672" s="1">
        <f ca="1">IFERROR(__xludf.DUMMYFUNCTION("""COMPUTED_VALUE"""),9.16)</f>
        <v>9.16</v>
      </c>
      <c r="C2672" s="1">
        <f ca="1">IFERROR(__xludf.DUMMYFUNCTION("""COMPUTED_VALUE"""),9.19)</f>
        <v>9.19</v>
      </c>
      <c r="D2672" s="1">
        <f ca="1">IFERROR(__xludf.DUMMYFUNCTION("""COMPUTED_VALUE"""),9)</f>
        <v>9</v>
      </c>
      <c r="E2672" s="1">
        <f ca="1">IFERROR(__xludf.DUMMYFUNCTION("""COMPUTED_VALUE"""),9.16)</f>
        <v>9.16</v>
      </c>
      <c r="F2672" s="1">
        <f ca="1">IFERROR(__xludf.DUMMYFUNCTION("""COMPUTED_VALUE"""),799100)</f>
        <v>799100</v>
      </c>
      <c r="I2672" s="1"/>
    </row>
    <row r="2673" spans="1:9">
      <c r="A2673" s="3">
        <f ca="1">IFERROR(__xludf.DUMMYFUNCTION("""COMPUTED_VALUE"""),33080.6666666666)</f>
        <v>33080.666666666599</v>
      </c>
      <c r="B2673" s="1">
        <f ca="1">IFERROR(__xludf.DUMMYFUNCTION("""COMPUTED_VALUE"""),9.17)</f>
        <v>9.17</v>
      </c>
      <c r="C2673" s="1">
        <f ca="1">IFERROR(__xludf.DUMMYFUNCTION("""COMPUTED_VALUE"""),9.23)</f>
        <v>9.23</v>
      </c>
      <c r="D2673" s="1">
        <f ca="1">IFERROR(__xludf.DUMMYFUNCTION("""COMPUTED_VALUE"""),9.11)</f>
        <v>9.11</v>
      </c>
      <c r="E2673" s="1">
        <f ca="1">IFERROR(__xludf.DUMMYFUNCTION("""COMPUTED_VALUE"""),9.17)</f>
        <v>9.17</v>
      </c>
      <c r="F2673" s="1">
        <f ca="1">IFERROR(__xludf.DUMMYFUNCTION("""COMPUTED_VALUE"""),765900)</f>
        <v>765900</v>
      </c>
      <c r="I2673" s="1"/>
    </row>
    <row r="2674" spans="1:9">
      <c r="A2674" s="3">
        <f ca="1">IFERROR(__xludf.DUMMYFUNCTION("""COMPUTED_VALUE"""),33081.6666666666)</f>
        <v>33081.666666666599</v>
      </c>
      <c r="B2674" s="1">
        <f ca="1">IFERROR(__xludf.DUMMYFUNCTION("""COMPUTED_VALUE"""),9.05)</f>
        <v>9.0500000000000007</v>
      </c>
      <c r="C2674" s="1">
        <f ca="1">IFERROR(__xludf.DUMMYFUNCTION("""COMPUTED_VALUE"""),9.17)</f>
        <v>9.17</v>
      </c>
      <c r="D2674" s="1">
        <f ca="1">IFERROR(__xludf.DUMMYFUNCTION("""COMPUTED_VALUE"""),9.02)</f>
        <v>9.02</v>
      </c>
      <c r="E2674" s="1">
        <f ca="1">IFERROR(__xludf.DUMMYFUNCTION("""COMPUTED_VALUE"""),9.05)</f>
        <v>9.0500000000000007</v>
      </c>
      <c r="F2674" s="1">
        <f ca="1">IFERROR(__xludf.DUMMYFUNCTION("""COMPUTED_VALUE"""),477700)</f>
        <v>477700</v>
      </c>
      <c r="I2674" s="1"/>
    </row>
    <row r="2675" spans="1:9">
      <c r="A2675" s="3">
        <f ca="1">IFERROR(__xludf.DUMMYFUNCTION("""COMPUTED_VALUE"""),33084.6666666666)</f>
        <v>33084.666666666599</v>
      </c>
      <c r="B2675" s="1">
        <f ca="1">IFERROR(__xludf.DUMMYFUNCTION("""COMPUTED_VALUE"""),8.95)</f>
        <v>8.9499999999999993</v>
      </c>
      <c r="C2675" s="1">
        <f ca="1">IFERROR(__xludf.DUMMYFUNCTION("""COMPUTED_VALUE"""),9.02)</f>
        <v>9.02</v>
      </c>
      <c r="D2675" s="1">
        <f ca="1">IFERROR(__xludf.DUMMYFUNCTION("""COMPUTED_VALUE"""),8.83)</f>
        <v>8.83</v>
      </c>
      <c r="E2675" s="1">
        <f ca="1">IFERROR(__xludf.DUMMYFUNCTION("""COMPUTED_VALUE"""),8.95)</f>
        <v>8.9499999999999993</v>
      </c>
      <c r="F2675" s="1">
        <f ca="1">IFERROR(__xludf.DUMMYFUNCTION("""COMPUTED_VALUE"""),827500)</f>
        <v>827500</v>
      </c>
      <c r="I2675" s="1"/>
    </row>
    <row r="2676" spans="1:9">
      <c r="A2676" s="3">
        <f ca="1">IFERROR(__xludf.DUMMYFUNCTION("""COMPUTED_VALUE"""),33085.6666666666)</f>
        <v>33085.666666666599</v>
      </c>
      <c r="B2676" s="1">
        <f ca="1">IFERROR(__xludf.DUMMYFUNCTION("""COMPUTED_VALUE"""),8.83)</f>
        <v>8.83</v>
      </c>
      <c r="C2676" s="1">
        <f ca="1">IFERROR(__xludf.DUMMYFUNCTION("""COMPUTED_VALUE"""),8.97)</f>
        <v>8.9700000000000006</v>
      </c>
      <c r="D2676" s="1">
        <f ca="1">IFERROR(__xludf.DUMMYFUNCTION("""COMPUTED_VALUE"""),8.8)</f>
        <v>8.8000000000000007</v>
      </c>
      <c r="E2676" s="1">
        <f ca="1">IFERROR(__xludf.DUMMYFUNCTION("""COMPUTED_VALUE"""),8.83)</f>
        <v>8.83</v>
      </c>
      <c r="F2676" s="1">
        <f ca="1">IFERROR(__xludf.DUMMYFUNCTION("""COMPUTED_VALUE"""),737700)</f>
        <v>737700</v>
      </c>
      <c r="I2676" s="1"/>
    </row>
    <row r="2677" spans="1:9">
      <c r="A2677" s="3">
        <f ca="1">IFERROR(__xludf.DUMMYFUNCTION("""COMPUTED_VALUE"""),33086.6666666666)</f>
        <v>33086.666666666599</v>
      </c>
      <c r="B2677" s="1">
        <f ca="1">IFERROR(__xludf.DUMMYFUNCTION("""COMPUTED_VALUE"""),8.81)</f>
        <v>8.81</v>
      </c>
      <c r="C2677" s="1">
        <f ca="1">IFERROR(__xludf.DUMMYFUNCTION("""COMPUTED_VALUE"""),8.84)</f>
        <v>8.84</v>
      </c>
      <c r="D2677" s="1">
        <f ca="1">IFERROR(__xludf.DUMMYFUNCTION("""COMPUTED_VALUE"""),8.73)</f>
        <v>8.73</v>
      </c>
      <c r="E2677" s="1">
        <f ca="1">IFERROR(__xludf.DUMMYFUNCTION("""COMPUTED_VALUE"""),8.81)</f>
        <v>8.81</v>
      </c>
      <c r="F2677" s="1">
        <f ca="1">IFERROR(__xludf.DUMMYFUNCTION("""COMPUTED_VALUE"""),648200)</f>
        <v>648200</v>
      </c>
      <c r="I2677" s="1"/>
    </row>
    <row r="2678" spans="1:9">
      <c r="A2678" s="3">
        <f ca="1">IFERROR(__xludf.DUMMYFUNCTION("""COMPUTED_VALUE"""),33087.6666666666)</f>
        <v>33087.666666666599</v>
      </c>
      <c r="B2678" s="1">
        <f ca="1">IFERROR(__xludf.DUMMYFUNCTION("""COMPUTED_VALUE"""),8.59)</f>
        <v>8.59</v>
      </c>
      <c r="C2678" s="1">
        <f ca="1">IFERROR(__xludf.DUMMYFUNCTION("""COMPUTED_VALUE"""),8.69)</f>
        <v>8.69</v>
      </c>
      <c r="D2678" s="1">
        <f ca="1">IFERROR(__xludf.DUMMYFUNCTION("""COMPUTED_VALUE"""),8.56)</f>
        <v>8.56</v>
      </c>
      <c r="E2678" s="1">
        <f ca="1">IFERROR(__xludf.DUMMYFUNCTION("""COMPUTED_VALUE"""),8.59)</f>
        <v>8.59</v>
      </c>
      <c r="F2678" s="1">
        <f ca="1">IFERROR(__xludf.DUMMYFUNCTION("""COMPUTED_VALUE"""),1055200)</f>
        <v>1055200</v>
      </c>
      <c r="I2678" s="1"/>
    </row>
    <row r="2679" spans="1:9">
      <c r="A2679" s="3">
        <f ca="1">IFERROR(__xludf.DUMMYFUNCTION("""COMPUTED_VALUE"""),33088.6666666666)</f>
        <v>33088.666666666599</v>
      </c>
      <c r="B2679" s="1">
        <f ca="1">IFERROR(__xludf.DUMMYFUNCTION("""COMPUTED_VALUE"""),8.41)</f>
        <v>8.41</v>
      </c>
      <c r="C2679" s="1">
        <f ca="1">IFERROR(__xludf.DUMMYFUNCTION("""COMPUTED_VALUE"""),8.53)</f>
        <v>8.5299999999999994</v>
      </c>
      <c r="D2679" s="1">
        <f ca="1">IFERROR(__xludf.DUMMYFUNCTION("""COMPUTED_VALUE"""),8.05)</f>
        <v>8.0500000000000007</v>
      </c>
      <c r="E2679" s="1">
        <f ca="1">IFERROR(__xludf.DUMMYFUNCTION("""COMPUTED_VALUE"""),8.41)</f>
        <v>8.41</v>
      </c>
      <c r="F2679" s="1">
        <f ca="1">IFERROR(__xludf.DUMMYFUNCTION("""COMPUTED_VALUE"""),1772600)</f>
        <v>1772600</v>
      </c>
      <c r="I2679" s="1"/>
    </row>
    <row r="2680" spans="1:9">
      <c r="A2680" s="3">
        <f ca="1">IFERROR(__xludf.DUMMYFUNCTION("""COMPUTED_VALUE"""),33091.6666666666)</f>
        <v>33091.666666666599</v>
      </c>
      <c r="B2680" s="1">
        <f ca="1">IFERROR(__xludf.DUMMYFUNCTION("""COMPUTED_VALUE"""),8)</f>
        <v>8</v>
      </c>
      <c r="C2680" s="1">
        <f ca="1">IFERROR(__xludf.DUMMYFUNCTION("""COMPUTED_VALUE"""),8.11)</f>
        <v>8.11</v>
      </c>
      <c r="D2680" s="1">
        <f ca="1">IFERROR(__xludf.DUMMYFUNCTION("""COMPUTED_VALUE"""),7.88)</f>
        <v>7.88</v>
      </c>
      <c r="E2680" s="1">
        <f ca="1">IFERROR(__xludf.DUMMYFUNCTION("""COMPUTED_VALUE"""),8)</f>
        <v>8</v>
      </c>
      <c r="F2680" s="1">
        <f ca="1">IFERROR(__xludf.DUMMYFUNCTION("""COMPUTED_VALUE"""),1343800)</f>
        <v>1343800</v>
      </c>
      <c r="I2680" s="1"/>
    </row>
    <row r="2681" spans="1:9">
      <c r="A2681" s="3">
        <f ca="1">IFERROR(__xludf.DUMMYFUNCTION("""COMPUTED_VALUE"""),33092.6666666666)</f>
        <v>33092.666666666599</v>
      </c>
      <c r="B2681" s="1">
        <f ca="1">IFERROR(__xludf.DUMMYFUNCTION("""COMPUTED_VALUE"""),8.16)</f>
        <v>8.16</v>
      </c>
      <c r="C2681" s="1">
        <f ca="1">IFERROR(__xludf.DUMMYFUNCTION("""COMPUTED_VALUE"""),8.22)</f>
        <v>8.2200000000000006</v>
      </c>
      <c r="D2681" s="1">
        <f ca="1">IFERROR(__xludf.DUMMYFUNCTION("""COMPUTED_VALUE"""),8.05)</f>
        <v>8.0500000000000007</v>
      </c>
      <c r="E2681" s="1">
        <f ca="1">IFERROR(__xludf.DUMMYFUNCTION("""COMPUTED_VALUE"""),8.16)</f>
        <v>8.16</v>
      </c>
      <c r="F2681" s="1">
        <f ca="1">IFERROR(__xludf.DUMMYFUNCTION("""COMPUTED_VALUE"""),1225400)</f>
        <v>1225400</v>
      </c>
      <c r="I2681" s="1"/>
    </row>
    <row r="2682" spans="1:9">
      <c r="A2682" s="3">
        <f ca="1">IFERROR(__xludf.DUMMYFUNCTION("""COMPUTED_VALUE"""),33093.6666666666)</f>
        <v>33093.666666666599</v>
      </c>
      <c r="B2682" s="1">
        <f ca="1">IFERROR(__xludf.DUMMYFUNCTION("""COMPUTED_VALUE"""),8.39)</f>
        <v>8.39</v>
      </c>
      <c r="C2682" s="1">
        <f ca="1">IFERROR(__xludf.DUMMYFUNCTION("""COMPUTED_VALUE"""),8.48)</f>
        <v>8.48</v>
      </c>
      <c r="D2682" s="1">
        <f ca="1">IFERROR(__xludf.DUMMYFUNCTION("""COMPUTED_VALUE"""),8.17)</f>
        <v>8.17</v>
      </c>
      <c r="E2682" s="1">
        <f ca="1">IFERROR(__xludf.DUMMYFUNCTION("""COMPUTED_VALUE"""),8.39)</f>
        <v>8.39</v>
      </c>
      <c r="F2682" s="1">
        <f ca="1">IFERROR(__xludf.DUMMYFUNCTION("""COMPUTED_VALUE"""),1155900)</f>
        <v>1155900</v>
      </c>
      <c r="I2682" s="1"/>
    </row>
    <row r="2683" spans="1:9">
      <c r="A2683" s="3">
        <f ca="1">IFERROR(__xludf.DUMMYFUNCTION("""COMPUTED_VALUE"""),33094.6666666666)</f>
        <v>33094.666666666599</v>
      </c>
      <c r="B2683" s="1">
        <f ca="1">IFERROR(__xludf.DUMMYFUNCTION("""COMPUTED_VALUE"""),8.36)</f>
        <v>8.36</v>
      </c>
      <c r="C2683" s="1">
        <f ca="1">IFERROR(__xludf.DUMMYFUNCTION("""COMPUTED_VALUE"""),8.45)</f>
        <v>8.4499999999999993</v>
      </c>
      <c r="D2683" s="1">
        <f ca="1">IFERROR(__xludf.DUMMYFUNCTION("""COMPUTED_VALUE"""),8.33)</f>
        <v>8.33</v>
      </c>
      <c r="E2683" s="1">
        <f ca="1">IFERROR(__xludf.DUMMYFUNCTION("""COMPUTED_VALUE"""),8.36)</f>
        <v>8.36</v>
      </c>
      <c r="F2683" s="1">
        <f ca="1">IFERROR(__xludf.DUMMYFUNCTION("""COMPUTED_VALUE"""),689500)</f>
        <v>689500</v>
      </c>
      <c r="I2683" s="1"/>
    </row>
    <row r="2684" spans="1:9">
      <c r="A2684" s="3">
        <f ca="1">IFERROR(__xludf.DUMMYFUNCTION("""COMPUTED_VALUE"""),33095.6666666666)</f>
        <v>33095.666666666599</v>
      </c>
      <c r="B2684" s="1">
        <f ca="1">IFERROR(__xludf.DUMMYFUNCTION("""COMPUTED_VALUE"""),8.27)</f>
        <v>8.27</v>
      </c>
      <c r="C2684" s="1">
        <f ca="1">IFERROR(__xludf.DUMMYFUNCTION("""COMPUTED_VALUE"""),8.44)</f>
        <v>8.44</v>
      </c>
      <c r="D2684" s="1">
        <f ca="1">IFERROR(__xludf.DUMMYFUNCTION("""COMPUTED_VALUE"""),8.13)</f>
        <v>8.1300000000000008</v>
      </c>
      <c r="E2684" s="1">
        <f ca="1">IFERROR(__xludf.DUMMYFUNCTION("""COMPUTED_VALUE"""),8.27)</f>
        <v>8.27</v>
      </c>
      <c r="F2684" s="1">
        <f ca="1">IFERROR(__xludf.DUMMYFUNCTION("""COMPUTED_VALUE"""),597100)</f>
        <v>597100</v>
      </c>
      <c r="I2684" s="1"/>
    </row>
    <row r="2685" spans="1:9">
      <c r="A2685" s="3">
        <f ca="1">IFERROR(__xludf.DUMMYFUNCTION("""COMPUTED_VALUE"""),33098.6666666666)</f>
        <v>33098.666666666599</v>
      </c>
      <c r="B2685" s="1">
        <f ca="1">IFERROR(__xludf.DUMMYFUNCTION("""COMPUTED_VALUE"""),8.42)</f>
        <v>8.42</v>
      </c>
      <c r="C2685" s="1">
        <f ca="1">IFERROR(__xludf.DUMMYFUNCTION("""COMPUTED_VALUE"""),8.42)</f>
        <v>8.42</v>
      </c>
      <c r="D2685" s="1">
        <f ca="1">IFERROR(__xludf.DUMMYFUNCTION("""COMPUTED_VALUE"""),8.16)</f>
        <v>8.16</v>
      </c>
      <c r="E2685" s="1">
        <f ca="1">IFERROR(__xludf.DUMMYFUNCTION("""COMPUTED_VALUE"""),8.42)</f>
        <v>8.42</v>
      </c>
      <c r="F2685" s="1">
        <f ca="1">IFERROR(__xludf.DUMMYFUNCTION("""COMPUTED_VALUE"""),621200)</f>
        <v>621200</v>
      </c>
      <c r="I2685" s="1"/>
    </row>
    <row r="2686" spans="1:9">
      <c r="A2686" s="3">
        <f ca="1">IFERROR(__xludf.DUMMYFUNCTION("""COMPUTED_VALUE"""),33099.6666666666)</f>
        <v>33099.666666666599</v>
      </c>
      <c r="B2686" s="1">
        <f ca="1">IFERROR(__xludf.DUMMYFUNCTION("""COMPUTED_VALUE"""),8.45)</f>
        <v>8.4499999999999993</v>
      </c>
      <c r="C2686" s="1">
        <f ca="1">IFERROR(__xludf.DUMMYFUNCTION("""COMPUTED_VALUE"""),8.52)</f>
        <v>8.52</v>
      </c>
      <c r="D2686" s="1">
        <f ca="1">IFERROR(__xludf.DUMMYFUNCTION("""COMPUTED_VALUE"""),8.33)</f>
        <v>8.33</v>
      </c>
      <c r="E2686" s="1">
        <f ca="1">IFERROR(__xludf.DUMMYFUNCTION("""COMPUTED_VALUE"""),8.45)</f>
        <v>8.4499999999999993</v>
      </c>
      <c r="F2686" s="1">
        <f ca="1">IFERROR(__xludf.DUMMYFUNCTION("""COMPUTED_VALUE"""),1111400)</f>
        <v>1111400</v>
      </c>
      <c r="I2686" s="1"/>
    </row>
    <row r="2687" spans="1:9">
      <c r="A2687" s="3">
        <f ca="1">IFERROR(__xludf.DUMMYFUNCTION("""COMPUTED_VALUE"""),33100.6666666666)</f>
        <v>33100.666666666599</v>
      </c>
      <c r="B2687" s="1">
        <f ca="1">IFERROR(__xludf.DUMMYFUNCTION("""COMPUTED_VALUE"""),8.55)</f>
        <v>8.5500000000000007</v>
      </c>
      <c r="C2687" s="1">
        <f ca="1">IFERROR(__xludf.DUMMYFUNCTION("""COMPUTED_VALUE"""),8.67)</f>
        <v>8.67</v>
      </c>
      <c r="D2687" s="1">
        <f ca="1">IFERROR(__xludf.DUMMYFUNCTION("""COMPUTED_VALUE"""),8.52)</f>
        <v>8.52</v>
      </c>
      <c r="E2687" s="1">
        <f ca="1">IFERROR(__xludf.DUMMYFUNCTION("""COMPUTED_VALUE"""),8.55)</f>
        <v>8.5500000000000007</v>
      </c>
      <c r="F2687" s="1">
        <f ca="1">IFERROR(__xludf.DUMMYFUNCTION("""COMPUTED_VALUE"""),928900)</f>
        <v>928900</v>
      </c>
      <c r="I2687" s="1"/>
    </row>
    <row r="2688" spans="1:9">
      <c r="A2688" s="3">
        <f ca="1">IFERROR(__xludf.DUMMYFUNCTION("""COMPUTED_VALUE"""),33101.6666666666)</f>
        <v>33101.666666666599</v>
      </c>
      <c r="B2688" s="1">
        <f ca="1">IFERROR(__xludf.DUMMYFUNCTION("""COMPUTED_VALUE"""),8.36)</f>
        <v>8.36</v>
      </c>
      <c r="C2688" s="1">
        <f ca="1">IFERROR(__xludf.DUMMYFUNCTION("""COMPUTED_VALUE"""),8.52)</f>
        <v>8.52</v>
      </c>
      <c r="D2688" s="1">
        <f ca="1">IFERROR(__xludf.DUMMYFUNCTION("""COMPUTED_VALUE"""),8.36)</f>
        <v>8.36</v>
      </c>
      <c r="E2688" s="1">
        <f ca="1">IFERROR(__xludf.DUMMYFUNCTION("""COMPUTED_VALUE"""),8.36)</f>
        <v>8.36</v>
      </c>
      <c r="F2688" s="1">
        <f ca="1">IFERROR(__xludf.DUMMYFUNCTION("""COMPUTED_VALUE"""),910700)</f>
        <v>910700</v>
      </c>
      <c r="I2688" s="1"/>
    </row>
    <row r="2689" spans="1:9">
      <c r="A2689" s="3">
        <f ca="1">IFERROR(__xludf.DUMMYFUNCTION("""COMPUTED_VALUE"""),33102.6666666666)</f>
        <v>33102.666666666599</v>
      </c>
      <c r="B2689" s="1">
        <f ca="1">IFERROR(__xludf.DUMMYFUNCTION("""COMPUTED_VALUE"""),8.23)</f>
        <v>8.23</v>
      </c>
      <c r="C2689" s="1">
        <f ca="1">IFERROR(__xludf.DUMMYFUNCTION("""COMPUTED_VALUE"""),8.38)</f>
        <v>8.3800000000000008</v>
      </c>
      <c r="D2689" s="1">
        <f ca="1">IFERROR(__xludf.DUMMYFUNCTION("""COMPUTED_VALUE"""),8.02)</f>
        <v>8.02</v>
      </c>
      <c r="E2689" s="1">
        <f ca="1">IFERROR(__xludf.DUMMYFUNCTION("""COMPUTED_VALUE"""),8.23)</f>
        <v>8.23</v>
      </c>
      <c r="F2689" s="1">
        <f ca="1">IFERROR(__xludf.DUMMYFUNCTION("""COMPUTED_VALUE"""),1557400)</f>
        <v>1557400</v>
      </c>
      <c r="I2689" s="1"/>
    </row>
    <row r="2690" spans="1:9">
      <c r="A2690" s="3">
        <f ca="1">IFERROR(__xludf.DUMMYFUNCTION("""COMPUTED_VALUE"""),33105.6666666666)</f>
        <v>33105.666666666599</v>
      </c>
      <c r="B2690" s="1">
        <f ca="1">IFERROR(__xludf.DUMMYFUNCTION("""COMPUTED_VALUE"""),8.13)</f>
        <v>8.1300000000000008</v>
      </c>
      <c r="C2690" s="1">
        <f ca="1">IFERROR(__xludf.DUMMYFUNCTION("""COMPUTED_VALUE"""),8.31)</f>
        <v>8.31</v>
      </c>
      <c r="D2690" s="1">
        <f ca="1">IFERROR(__xludf.DUMMYFUNCTION("""COMPUTED_VALUE"""),8.11)</f>
        <v>8.11</v>
      </c>
      <c r="E2690" s="1">
        <f ca="1">IFERROR(__xludf.DUMMYFUNCTION("""COMPUTED_VALUE"""),8.13)</f>
        <v>8.1300000000000008</v>
      </c>
      <c r="F2690" s="1">
        <f ca="1">IFERROR(__xludf.DUMMYFUNCTION("""COMPUTED_VALUE"""),404500)</f>
        <v>404500</v>
      </c>
      <c r="I2690" s="1"/>
    </row>
    <row r="2691" spans="1:9">
      <c r="A2691" s="3">
        <f ca="1">IFERROR(__xludf.DUMMYFUNCTION("""COMPUTED_VALUE"""),33106.6666666666)</f>
        <v>33106.666666666599</v>
      </c>
      <c r="B2691" s="1">
        <f ca="1">IFERROR(__xludf.DUMMYFUNCTION("""COMPUTED_VALUE"""),7.98)</f>
        <v>7.98</v>
      </c>
      <c r="C2691" s="1">
        <f ca="1">IFERROR(__xludf.DUMMYFUNCTION("""COMPUTED_VALUE"""),8.09)</f>
        <v>8.09</v>
      </c>
      <c r="D2691" s="1">
        <f ca="1">IFERROR(__xludf.DUMMYFUNCTION("""COMPUTED_VALUE"""),7.78)</f>
        <v>7.78</v>
      </c>
      <c r="E2691" s="1">
        <f ca="1">IFERROR(__xludf.DUMMYFUNCTION("""COMPUTED_VALUE"""),7.98)</f>
        <v>7.98</v>
      </c>
      <c r="F2691" s="1">
        <f ca="1">IFERROR(__xludf.DUMMYFUNCTION("""COMPUTED_VALUE"""),1219700)</f>
        <v>1219700</v>
      </c>
      <c r="I2691" s="1"/>
    </row>
    <row r="2692" spans="1:9">
      <c r="A2692" s="3">
        <f ca="1">IFERROR(__xludf.DUMMYFUNCTION("""COMPUTED_VALUE"""),33107.6666666666)</f>
        <v>33107.666666666599</v>
      </c>
      <c r="B2692" s="1">
        <f ca="1">IFERROR(__xludf.DUMMYFUNCTION("""COMPUTED_VALUE"""),7.84)</f>
        <v>7.84</v>
      </c>
      <c r="C2692" s="1">
        <f ca="1">IFERROR(__xludf.DUMMYFUNCTION("""COMPUTED_VALUE"""),8.13)</f>
        <v>8.1300000000000008</v>
      </c>
      <c r="D2692" s="1">
        <f ca="1">IFERROR(__xludf.DUMMYFUNCTION("""COMPUTED_VALUE"""),7.8)</f>
        <v>7.8</v>
      </c>
      <c r="E2692" s="1">
        <f ca="1">IFERROR(__xludf.DUMMYFUNCTION("""COMPUTED_VALUE"""),7.84)</f>
        <v>7.84</v>
      </c>
      <c r="F2692" s="1">
        <f ca="1">IFERROR(__xludf.DUMMYFUNCTION("""COMPUTED_VALUE"""),769700)</f>
        <v>769700</v>
      </c>
      <c r="I2692" s="1"/>
    </row>
    <row r="2693" spans="1:9">
      <c r="A2693" s="3">
        <f ca="1">IFERROR(__xludf.DUMMYFUNCTION("""COMPUTED_VALUE"""),33108.6666666666)</f>
        <v>33108.666666666599</v>
      </c>
      <c r="B2693" s="1">
        <f ca="1">IFERROR(__xludf.DUMMYFUNCTION("""COMPUTED_VALUE"""),7.61)</f>
        <v>7.61</v>
      </c>
      <c r="C2693" s="1">
        <f ca="1">IFERROR(__xludf.DUMMYFUNCTION("""COMPUTED_VALUE"""),7.72)</f>
        <v>7.72</v>
      </c>
      <c r="D2693" s="1">
        <f ca="1">IFERROR(__xludf.DUMMYFUNCTION("""COMPUTED_VALUE"""),7.5)</f>
        <v>7.5</v>
      </c>
      <c r="E2693" s="1">
        <f ca="1">IFERROR(__xludf.DUMMYFUNCTION("""COMPUTED_VALUE"""),7.61)</f>
        <v>7.61</v>
      </c>
      <c r="F2693" s="1">
        <f ca="1">IFERROR(__xludf.DUMMYFUNCTION("""COMPUTED_VALUE"""),1431900)</f>
        <v>1431900</v>
      </c>
      <c r="I2693" s="1"/>
    </row>
    <row r="2694" spans="1:9">
      <c r="A2694" s="3">
        <f ca="1">IFERROR(__xludf.DUMMYFUNCTION("""COMPUTED_VALUE"""),33109.6666666666)</f>
        <v>33109.666666666599</v>
      </c>
      <c r="B2694" s="1">
        <f ca="1">IFERROR(__xludf.DUMMYFUNCTION("""COMPUTED_VALUE"""),7.75)</f>
        <v>7.75</v>
      </c>
      <c r="C2694" s="1">
        <f ca="1">IFERROR(__xludf.DUMMYFUNCTION("""COMPUTED_VALUE"""),7.81)</f>
        <v>7.81</v>
      </c>
      <c r="D2694" s="1">
        <f ca="1">IFERROR(__xludf.DUMMYFUNCTION("""COMPUTED_VALUE"""),7.59)</f>
        <v>7.59</v>
      </c>
      <c r="E2694" s="1">
        <f ca="1">IFERROR(__xludf.DUMMYFUNCTION("""COMPUTED_VALUE"""),7.75)</f>
        <v>7.75</v>
      </c>
      <c r="F2694" s="1">
        <f ca="1">IFERROR(__xludf.DUMMYFUNCTION("""COMPUTED_VALUE"""),815100)</f>
        <v>815100</v>
      </c>
      <c r="I2694" s="1"/>
    </row>
    <row r="2695" spans="1:9">
      <c r="A2695" s="3">
        <f ca="1">IFERROR(__xludf.DUMMYFUNCTION("""COMPUTED_VALUE"""),33112.6666666666)</f>
        <v>33112.666666666599</v>
      </c>
      <c r="B2695" s="1">
        <f ca="1">IFERROR(__xludf.DUMMYFUNCTION("""COMPUTED_VALUE"""),8.08)</f>
        <v>8.08</v>
      </c>
      <c r="C2695" s="1">
        <f ca="1">IFERROR(__xludf.DUMMYFUNCTION("""COMPUTED_VALUE"""),8.13)</f>
        <v>8.1300000000000008</v>
      </c>
      <c r="D2695" s="1">
        <f ca="1">IFERROR(__xludf.DUMMYFUNCTION("""COMPUTED_VALUE"""),8)</f>
        <v>8</v>
      </c>
      <c r="E2695" s="1">
        <f ca="1">IFERROR(__xludf.DUMMYFUNCTION("""COMPUTED_VALUE"""),8.08)</f>
        <v>8.08</v>
      </c>
      <c r="F2695" s="1">
        <f ca="1">IFERROR(__xludf.DUMMYFUNCTION("""COMPUTED_VALUE"""),726400)</f>
        <v>726400</v>
      </c>
      <c r="I2695" s="1"/>
    </row>
    <row r="2696" spans="1:9">
      <c r="A2696" s="3">
        <f ca="1">IFERROR(__xludf.DUMMYFUNCTION("""COMPUTED_VALUE"""),33113.6666666666)</f>
        <v>33113.666666666599</v>
      </c>
      <c r="B2696" s="1">
        <f ca="1">IFERROR(__xludf.DUMMYFUNCTION("""COMPUTED_VALUE"""),8.09)</f>
        <v>8.09</v>
      </c>
      <c r="C2696" s="1">
        <f ca="1">IFERROR(__xludf.DUMMYFUNCTION("""COMPUTED_VALUE"""),8.2)</f>
        <v>8.1999999999999993</v>
      </c>
      <c r="D2696" s="1">
        <f ca="1">IFERROR(__xludf.DUMMYFUNCTION("""COMPUTED_VALUE"""),8.03)</f>
        <v>8.0299999999999994</v>
      </c>
      <c r="E2696" s="1">
        <f ca="1">IFERROR(__xludf.DUMMYFUNCTION("""COMPUTED_VALUE"""),8.09)</f>
        <v>8.09</v>
      </c>
      <c r="F2696" s="1">
        <f ca="1">IFERROR(__xludf.DUMMYFUNCTION("""COMPUTED_VALUE"""),498800)</f>
        <v>498800</v>
      </c>
      <c r="I2696" s="1"/>
    </row>
    <row r="2697" spans="1:9">
      <c r="A2697" s="3">
        <f ca="1">IFERROR(__xludf.DUMMYFUNCTION("""COMPUTED_VALUE"""),33114.6666666666)</f>
        <v>33114.666666666599</v>
      </c>
      <c r="B2697" s="1">
        <f ca="1">IFERROR(__xludf.DUMMYFUNCTION("""COMPUTED_VALUE"""),8.25)</f>
        <v>8.25</v>
      </c>
      <c r="C2697" s="1">
        <f ca="1">IFERROR(__xludf.DUMMYFUNCTION("""COMPUTED_VALUE"""),8.31)</f>
        <v>8.31</v>
      </c>
      <c r="D2697" s="1">
        <f ca="1">IFERROR(__xludf.DUMMYFUNCTION("""COMPUTED_VALUE"""),8.03)</f>
        <v>8.0299999999999994</v>
      </c>
      <c r="E2697" s="1">
        <f ca="1">IFERROR(__xludf.DUMMYFUNCTION("""COMPUTED_VALUE"""),8.25)</f>
        <v>8.25</v>
      </c>
      <c r="F2697" s="1">
        <f ca="1">IFERROR(__xludf.DUMMYFUNCTION("""COMPUTED_VALUE"""),593400)</f>
        <v>593400</v>
      </c>
      <c r="I2697" s="1"/>
    </row>
    <row r="2698" spans="1:9">
      <c r="A2698" s="3">
        <f ca="1">IFERROR(__xludf.DUMMYFUNCTION("""COMPUTED_VALUE"""),33115.6666666666)</f>
        <v>33115.666666666599</v>
      </c>
      <c r="B2698" s="1">
        <f ca="1">IFERROR(__xludf.DUMMYFUNCTION("""COMPUTED_VALUE"""),8.14)</f>
        <v>8.14</v>
      </c>
      <c r="C2698" s="1">
        <f ca="1">IFERROR(__xludf.DUMMYFUNCTION("""COMPUTED_VALUE"""),8.3)</f>
        <v>8.3000000000000007</v>
      </c>
      <c r="D2698" s="1">
        <f ca="1">IFERROR(__xludf.DUMMYFUNCTION("""COMPUTED_VALUE"""),8.11)</f>
        <v>8.11</v>
      </c>
      <c r="E2698" s="1">
        <f ca="1">IFERROR(__xludf.DUMMYFUNCTION("""COMPUTED_VALUE"""),8.14)</f>
        <v>8.14</v>
      </c>
      <c r="F2698" s="1">
        <f ca="1">IFERROR(__xludf.DUMMYFUNCTION("""COMPUTED_VALUE"""),613500)</f>
        <v>613500</v>
      </c>
      <c r="I2698" s="1"/>
    </row>
    <row r="2699" spans="1:9">
      <c r="A2699" s="3">
        <f ca="1">IFERROR(__xludf.DUMMYFUNCTION("""COMPUTED_VALUE"""),33116.6666666666)</f>
        <v>33116.666666666599</v>
      </c>
      <c r="B2699" s="1">
        <f ca="1">IFERROR(__xludf.DUMMYFUNCTION("""COMPUTED_VALUE"""),8.2)</f>
        <v>8.1999999999999993</v>
      </c>
      <c r="C2699" s="1">
        <f ca="1">IFERROR(__xludf.DUMMYFUNCTION("""COMPUTED_VALUE"""),8.2)</f>
        <v>8.1999999999999993</v>
      </c>
      <c r="D2699" s="1">
        <f ca="1">IFERROR(__xludf.DUMMYFUNCTION("""COMPUTED_VALUE"""),8.06)</f>
        <v>8.06</v>
      </c>
      <c r="E2699" s="1">
        <f ca="1">IFERROR(__xludf.DUMMYFUNCTION("""COMPUTED_VALUE"""),8.2)</f>
        <v>8.1999999999999993</v>
      </c>
      <c r="F2699" s="1">
        <f ca="1">IFERROR(__xludf.DUMMYFUNCTION("""COMPUTED_VALUE"""),362500)</f>
        <v>362500</v>
      </c>
      <c r="I2699" s="1"/>
    </row>
    <row r="2700" spans="1:9">
      <c r="A2700" s="3">
        <f ca="1">IFERROR(__xludf.DUMMYFUNCTION("""COMPUTED_VALUE"""),33120.6666666666)</f>
        <v>33120.666666666599</v>
      </c>
      <c r="B2700" s="1">
        <f ca="1">IFERROR(__xludf.DUMMYFUNCTION("""COMPUTED_VALUE"""),8.27)</f>
        <v>8.27</v>
      </c>
      <c r="C2700" s="1">
        <f ca="1">IFERROR(__xludf.DUMMYFUNCTION("""COMPUTED_VALUE"""),8.27)</f>
        <v>8.27</v>
      </c>
      <c r="D2700" s="1">
        <f ca="1">IFERROR(__xludf.DUMMYFUNCTION("""COMPUTED_VALUE"""),8.06)</f>
        <v>8.06</v>
      </c>
      <c r="E2700" s="1">
        <f ca="1">IFERROR(__xludf.DUMMYFUNCTION("""COMPUTED_VALUE"""),8.27)</f>
        <v>8.27</v>
      </c>
      <c r="F2700" s="1">
        <f ca="1">IFERROR(__xludf.DUMMYFUNCTION("""COMPUTED_VALUE"""),544600)</f>
        <v>544600</v>
      </c>
      <c r="I2700" s="1"/>
    </row>
    <row r="2701" spans="1:9">
      <c r="A2701" s="3">
        <f ca="1">IFERROR(__xludf.DUMMYFUNCTION("""COMPUTED_VALUE"""),33121.6666666666)</f>
        <v>33121.666666666599</v>
      </c>
      <c r="B2701" s="1">
        <f ca="1">IFERROR(__xludf.DUMMYFUNCTION("""COMPUTED_VALUE"""),8.27)</f>
        <v>8.27</v>
      </c>
      <c r="C2701" s="1">
        <f ca="1">IFERROR(__xludf.DUMMYFUNCTION("""COMPUTED_VALUE"""),8.34)</f>
        <v>8.34</v>
      </c>
      <c r="D2701" s="1">
        <f ca="1">IFERROR(__xludf.DUMMYFUNCTION("""COMPUTED_VALUE"""),8.22)</f>
        <v>8.2200000000000006</v>
      </c>
      <c r="E2701" s="1">
        <f ca="1">IFERROR(__xludf.DUMMYFUNCTION("""COMPUTED_VALUE"""),8.27)</f>
        <v>8.27</v>
      </c>
      <c r="F2701" s="1">
        <f ca="1">IFERROR(__xludf.DUMMYFUNCTION("""COMPUTED_VALUE"""),922900)</f>
        <v>922900</v>
      </c>
      <c r="I2701" s="1"/>
    </row>
    <row r="2702" spans="1:9">
      <c r="A2702" s="3">
        <f ca="1">IFERROR(__xludf.DUMMYFUNCTION("""COMPUTED_VALUE"""),33122.6666666666)</f>
        <v>33122.666666666599</v>
      </c>
      <c r="B2702" s="1">
        <f ca="1">IFERROR(__xludf.DUMMYFUNCTION("""COMPUTED_VALUE"""),8.09)</f>
        <v>8.09</v>
      </c>
      <c r="C2702" s="1">
        <f ca="1">IFERROR(__xludf.DUMMYFUNCTION("""COMPUTED_VALUE"""),8.22)</f>
        <v>8.2200000000000006</v>
      </c>
      <c r="D2702" s="1">
        <f ca="1">IFERROR(__xludf.DUMMYFUNCTION("""COMPUTED_VALUE"""),8)</f>
        <v>8</v>
      </c>
      <c r="E2702" s="1">
        <f ca="1">IFERROR(__xludf.DUMMYFUNCTION("""COMPUTED_VALUE"""),8.09)</f>
        <v>8.09</v>
      </c>
      <c r="F2702" s="1">
        <f ca="1">IFERROR(__xludf.DUMMYFUNCTION("""COMPUTED_VALUE"""),751300)</f>
        <v>751300</v>
      </c>
      <c r="I2702" s="1"/>
    </row>
    <row r="2703" spans="1:9">
      <c r="A2703" s="3">
        <f ca="1">IFERROR(__xludf.DUMMYFUNCTION("""COMPUTED_VALUE"""),33123.6666666666)</f>
        <v>33123.666666666599</v>
      </c>
      <c r="B2703" s="1">
        <f ca="1">IFERROR(__xludf.DUMMYFUNCTION("""COMPUTED_VALUE"""),8.2)</f>
        <v>8.1999999999999993</v>
      </c>
      <c r="C2703" s="1">
        <f ca="1">IFERROR(__xludf.DUMMYFUNCTION("""COMPUTED_VALUE"""),8.2)</f>
        <v>8.1999999999999993</v>
      </c>
      <c r="D2703" s="1">
        <f ca="1">IFERROR(__xludf.DUMMYFUNCTION("""COMPUTED_VALUE"""),8.06)</f>
        <v>8.06</v>
      </c>
      <c r="E2703" s="1">
        <f ca="1">IFERROR(__xludf.DUMMYFUNCTION("""COMPUTED_VALUE"""),8.2)</f>
        <v>8.1999999999999993</v>
      </c>
      <c r="F2703" s="1">
        <f ca="1">IFERROR(__xludf.DUMMYFUNCTION("""COMPUTED_VALUE"""),695800)</f>
        <v>695800</v>
      </c>
      <c r="I2703" s="1"/>
    </row>
    <row r="2704" spans="1:9">
      <c r="A2704" s="3">
        <f ca="1">IFERROR(__xludf.DUMMYFUNCTION("""COMPUTED_VALUE"""),33126.6666666666)</f>
        <v>33126.666666666599</v>
      </c>
      <c r="B2704" s="1">
        <f ca="1">IFERROR(__xludf.DUMMYFUNCTION("""COMPUTED_VALUE"""),8.16)</f>
        <v>8.16</v>
      </c>
      <c r="C2704" s="1">
        <f ca="1">IFERROR(__xludf.DUMMYFUNCTION("""COMPUTED_VALUE"""),8.27)</f>
        <v>8.27</v>
      </c>
      <c r="D2704" s="1">
        <f ca="1">IFERROR(__xludf.DUMMYFUNCTION("""COMPUTED_VALUE"""),8.09)</f>
        <v>8.09</v>
      </c>
      <c r="E2704" s="1">
        <f ca="1">IFERROR(__xludf.DUMMYFUNCTION("""COMPUTED_VALUE"""),8.16)</f>
        <v>8.16</v>
      </c>
      <c r="F2704" s="1">
        <f ca="1">IFERROR(__xludf.DUMMYFUNCTION("""COMPUTED_VALUE"""),655300)</f>
        <v>655300</v>
      </c>
      <c r="I2704" s="1"/>
    </row>
    <row r="2705" spans="1:9">
      <c r="A2705" s="3">
        <f ca="1">IFERROR(__xludf.DUMMYFUNCTION("""COMPUTED_VALUE"""),33127.6666666666)</f>
        <v>33127.666666666599</v>
      </c>
      <c r="B2705" s="1">
        <f ca="1">IFERROR(__xludf.DUMMYFUNCTION("""COMPUTED_VALUE"""),8.13)</f>
        <v>8.1300000000000008</v>
      </c>
      <c r="C2705" s="1">
        <f ca="1">IFERROR(__xludf.DUMMYFUNCTION("""COMPUTED_VALUE"""),8.19)</f>
        <v>8.19</v>
      </c>
      <c r="D2705" s="1">
        <f ca="1">IFERROR(__xludf.DUMMYFUNCTION("""COMPUTED_VALUE"""),8.09)</f>
        <v>8.09</v>
      </c>
      <c r="E2705" s="1">
        <f ca="1">IFERROR(__xludf.DUMMYFUNCTION("""COMPUTED_VALUE"""),8.13)</f>
        <v>8.1300000000000008</v>
      </c>
      <c r="F2705" s="1">
        <f ca="1">IFERROR(__xludf.DUMMYFUNCTION("""COMPUTED_VALUE"""),436900)</f>
        <v>436900</v>
      </c>
      <c r="I2705" s="1"/>
    </row>
    <row r="2706" spans="1:9">
      <c r="A2706" s="3">
        <f ca="1">IFERROR(__xludf.DUMMYFUNCTION("""COMPUTED_VALUE"""),33128.6666666666)</f>
        <v>33128.666666666599</v>
      </c>
      <c r="B2706" s="1">
        <f ca="1">IFERROR(__xludf.DUMMYFUNCTION("""COMPUTED_VALUE"""),8.13)</f>
        <v>8.1300000000000008</v>
      </c>
      <c r="C2706" s="1">
        <f ca="1">IFERROR(__xludf.DUMMYFUNCTION("""COMPUTED_VALUE"""),8.17)</f>
        <v>8.17</v>
      </c>
      <c r="D2706" s="1">
        <f ca="1">IFERROR(__xludf.DUMMYFUNCTION("""COMPUTED_VALUE"""),8.09)</f>
        <v>8.09</v>
      </c>
      <c r="E2706" s="1">
        <f ca="1">IFERROR(__xludf.DUMMYFUNCTION("""COMPUTED_VALUE"""),8.13)</f>
        <v>8.1300000000000008</v>
      </c>
      <c r="F2706" s="1">
        <f ca="1">IFERROR(__xludf.DUMMYFUNCTION("""COMPUTED_VALUE"""),436000)</f>
        <v>436000</v>
      </c>
      <c r="I2706" s="1"/>
    </row>
    <row r="2707" spans="1:9">
      <c r="A2707" s="3">
        <f ca="1">IFERROR(__xludf.DUMMYFUNCTION("""COMPUTED_VALUE"""),33129.6666666666)</f>
        <v>33129.666666666599</v>
      </c>
      <c r="B2707" s="1">
        <f ca="1">IFERROR(__xludf.DUMMYFUNCTION("""COMPUTED_VALUE"""),7.95)</f>
        <v>7.95</v>
      </c>
      <c r="C2707" s="1">
        <f ca="1">IFERROR(__xludf.DUMMYFUNCTION("""COMPUTED_VALUE"""),8.11)</f>
        <v>8.11</v>
      </c>
      <c r="D2707" s="1">
        <f ca="1">IFERROR(__xludf.DUMMYFUNCTION("""COMPUTED_VALUE"""),7.92)</f>
        <v>7.92</v>
      </c>
      <c r="E2707" s="1">
        <f ca="1">IFERROR(__xludf.DUMMYFUNCTION("""COMPUTED_VALUE"""),7.95)</f>
        <v>7.95</v>
      </c>
      <c r="F2707" s="1">
        <f ca="1">IFERROR(__xludf.DUMMYFUNCTION("""COMPUTED_VALUE"""),447000)</f>
        <v>447000</v>
      </c>
      <c r="I2707" s="1"/>
    </row>
    <row r="2708" spans="1:9">
      <c r="A2708" s="3">
        <f ca="1">IFERROR(__xludf.DUMMYFUNCTION("""COMPUTED_VALUE"""),33130.6666666666)</f>
        <v>33130.666666666599</v>
      </c>
      <c r="B2708" s="1">
        <f ca="1">IFERROR(__xludf.DUMMYFUNCTION("""COMPUTED_VALUE"""),7.97)</f>
        <v>7.97</v>
      </c>
      <c r="C2708" s="1">
        <f ca="1">IFERROR(__xludf.DUMMYFUNCTION("""COMPUTED_VALUE"""),7.97)</f>
        <v>7.97</v>
      </c>
      <c r="D2708" s="1">
        <f ca="1">IFERROR(__xludf.DUMMYFUNCTION("""COMPUTED_VALUE"""),7.88)</f>
        <v>7.88</v>
      </c>
      <c r="E2708" s="1">
        <f ca="1">IFERROR(__xludf.DUMMYFUNCTION("""COMPUTED_VALUE"""),7.97)</f>
        <v>7.97</v>
      </c>
      <c r="F2708" s="1">
        <f ca="1">IFERROR(__xludf.DUMMYFUNCTION("""COMPUTED_VALUE"""),559100)</f>
        <v>559100</v>
      </c>
      <c r="I2708" s="1"/>
    </row>
    <row r="2709" spans="1:9">
      <c r="A2709" s="3">
        <f ca="1">IFERROR(__xludf.DUMMYFUNCTION("""COMPUTED_VALUE"""),33133.6666666666)</f>
        <v>33133.666666666599</v>
      </c>
      <c r="B2709" s="1">
        <f ca="1">IFERROR(__xludf.DUMMYFUNCTION("""COMPUTED_VALUE"""),8.02)</f>
        <v>8.02</v>
      </c>
      <c r="C2709" s="1">
        <f ca="1">IFERROR(__xludf.DUMMYFUNCTION("""COMPUTED_VALUE"""),8.08)</f>
        <v>8.08</v>
      </c>
      <c r="D2709" s="1">
        <f ca="1">IFERROR(__xludf.DUMMYFUNCTION("""COMPUTED_VALUE"""),7.91)</f>
        <v>7.91</v>
      </c>
      <c r="E2709" s="1">
        <f ca="1">IFERROR(__xludf.DUMMYFUNCTION("""COMPUTED_VALUE"""),8.02)</f>
        <v>8.02</v>
      </c>
      <c r="F2709" s="1">
        <f ca="1">IFERROR(__xludf.DUMMYFUNCTION("""COMPUTED_VALUE"""),557800)</f>
        <v>557800</v>
      </c>
      <c r="I2709" s="1"/>
    </row>
    <row r="2710" spans="1:9">
      <c r="A2710" s="3">
        <f ca="1">IFERROR(__xludf.DUMMYFUNCTION("""COMPUTED_VALUE"""),33134.6666666666)</f>
        <v>33134.666666666599</v>
      </c>
      <c r="B2710" s="1">
        <f ca="1">IFERROR(__xludf.DUMMYFUNCTION("""COMPUTED_VALUE"""),8.09)</f>
        <v>8.09</v>
      </c>
      <c r="C2710" s="1">
        <f ca="1">IFERROR(__xludf.DUMMYFUNCTION("""COMPUTED_VALUE"""),8.11)</f>
        <v>8.11</v>
      </c>
      <c r="D2710" s="1">
        <f ca="1">IFERROR(__xludf.DUMMYFUNCTION("""COMPUTED_VALUE"""),7.88)</f>
        <v>7.88</v>
      </c>
      <c r="E2710" s="1">
        <f ca="1">IFERROR(__xludf.DUMMYFUNCTION("""COMPUTED_VALUE"""),8.09)</f>
        <v>8.09</v>
      </c>
      <c r="F2710" s="1">
        <f ca="1">IFERROR(__xludf.DUMMYFUNCTION("""COMPUTED_VALUE"""),733000)</f>
        <v>733000</v>
      </c>
      <c r="I2710" s="1"/>
    </row>
    <row r="2711" spans="1:9">
      <c r="A2711" s="3">
        <f ca="1">IFERROR(__xludf.DUMMYFUNCTION("""COMPUTED_VALUE"""),33135.6666666666)</f>
        <v>33135.666666666599</v>
      </c>
      <c r="B2711" s="1">
        <f ca="1">IFERROR(__xludf.DUMMYFUNCTION("""COMPUTED_VALUE"""),8)</f>
        <v>8</v>
      </c>
      <c r="C2711" s="1">
        <f ca="1">IFERROR(__xludf.DUMMYFUNCTION("""COMPUTED_VALUE"""),8.14)</f>
        <v>8.14</v>
      </c>
      <c r="D2711" s="1">
        <f ca="1">IFERROR(__xludf.DUMMYFUNCTION("""COMPUTED_VALUE"""),8)</f>
        <v>8</v>
      </c>
      <c r="E2711" s="1">
        <f ca="1">IFERROR(__xludf.DUMMYFUNCTION("""COMPUTED_VALUE"""),8)</f>
        <v>8</v>
      </c>
      <c r="F2711" s="1">
        <f ca="1">IFERROR(__xludf.DUMMYFUNCTION("""COMPUTED_VALUE"""),504700)</f>
        <v>504700</v>
      </c>
      <c r="I2711" s="1"/>
    </row>
    <row r="2712" spans="1:9">
      <c r="A2712" s="3">
        <f ca="1">IFERROR(__xludf.DUMMYFUNCTION("""COMPUTED_VALUE"""),33136.6666666666)</f>
        <v>33136.666666666599</v>
      </c>
      <c r="B2712" s="1">
        <f ca="1">IFERROR(__xludf.DUMMYFUNCTION("""COMPUTED_VALUE"""),7.78)</f>
        <v>7.78</v>
      </c>
      <c r="C2712" s="1">
        <f ca="1">IFERROR(__xludf.DUMMYFUNCTION("""COMPUTED_VALUE"""),7.94)</f>
        <v>7.94</v>
      </c>
      <c r="D2712" s="1">
        <f ca="1">IFERROR(__xludf.DUMMYFUNCTION("""COMPUTED_VALUE"""),7.78)</f>
        <v>7.78</v>
      </c>
      <c r="E2712" s="1">
        <f ca="1">IFERROR(__xludf.DUMMYFUNCTION("""COMPUTED_VALUE"""),7.78)</f>
        <v>7.78</v>
      </c>
      <c r="F2712" s="1">
        <f ca="1">IFERROR(__xludf.DUMMYFUNCTION("""COMPUTED_VALUE"""),631400)</f>
        <v>631400</v>
      </c>
      <c r="I2712" s="1"/>
    </row>
    <row r="2713" spans="1:9">
      <c r="A2713" s="3">
        <f ca="1">IFERROR(__xludf.DUMMYFUNCTION("""COMPUTED_VALUE"""),33137.6666666666)</f>
        <v>33137.666666666599</v>
      </c>
      <c r="B2713" s="1">
        <f ca="1">IFERROR(__xludf.DUMMYFUNCTION("""COMPUTED_VALUE"""),7.81)</f>
        <v>7.81</v>
      </c>
      <c r="C2713" s="1">
        <f ca="1">IFERROR(__xludf.DUMMYFUNCTION("""COMPUTED_VALUE"""),7.84)</f>
        <v>7.84</v>
      </c>
      <c r="D2713" s="1">
        <f ca="1">IFERROR(__xludf.DUMMYFUNCTION("""COMPUTED_VALUE"""),7.7)</f>
        <v>7.7</v>
      </c>
      <c r="E2713" s="1">
        <f ca="1">IFERROR(__xludf.DUMMYFUNCTION("""COMPUTED_VALUE"""),7.81)</f>
        <v>7.81</v>
      </c>
      <c r="F2713" s="1">
        <f ca="1">IFERROR(__xludf.DUMMYFUNCTION("""COMPUTED_VALUE"""),1143500)</f>
        <v>1143500</v>
      </c>
      <c r="I2713" s="1"/>
    </row>
    <row r="2714" spans="1:9">
      <c r="A2714" s="3">
        <f ca="1">IFERROR(__xludf.DUMMYFUNCTION("""COMPUTED_VALUE"""),33140.6666666666)</f>
        <v>33140.666666666599</v>
      </c>
      <c r="B2714" s="1">
        <f ca="1">IFERROR(__xludf.DUMMYFUNCTION("""COMPUTED_VALUE"""),7.67)</f>
        <v>7.67</v>
      </c>
      <c r="C2714" s="1">
        <f ca="1">IFERROR(__xludf.DUMMYFUNCTION("""COMPUTED_VALUE"""),7.75)</f>
        <v>7.75</v>
      </c>
      <c r="D2714" s="1">
        <f ca="1">IFERROR(__xludf.DUMMYFUNCTION("""COMPUTED_VALUE"""),7.56)</f>
        <v>7.56</v>
      </c>
      <c r="E2714" s="1">
        <f ca="1">IFERROR(__xludf.DUMMYFUNCTION("""COMPUTED_VALUE"""),7.67)</f>
        <v>7.67</v>
      </c>
      <c r="F2714" s="1">
        <f ca="1">IFERROR(__xludf.DUMMYFUNCTION("""COMPUTED_VALUE"""),725300)</f>
        <v>725300</v>
      </c>
      <c r="I2714" s="1"/>
    </row>
    <row r="2715" spans="1:9">
      <c r="A2715" s="3">
        <f ca="1">IFERROR(__xludf.DUMMYFUNCTION("""COMPUTED_VALUE"""),33141.6666666666)</f>
        <v>33141.666666666599</v>
      </c>
      <c r="B2715" s="1">
        <f ca="1">IFERROR(__xludf.DUMMYFUNCTION("""COMPUTED_VALUE"""),7.88)</f>
        <v>7.88</v>
      </c>
      <c r="C2715" s="1">
        <f ca="1">IFERROR(__xludf.DUMMYFUNCTION("""COMPUTED_VALUE"""),7.88)</f>
        <v>7.88</v>
      </c>
      <c r="D2715" s="1">
        <f ca="1">IFERROR(__xludf.DUMMYFUNCTION("""COMPUTED_VALUE"""),7.66)</f>
        <v>7.66</v>
      </c>
      <c r="E2715" s="1">
        <f ca="1">IFERROR(__xludf.DUMMYFUNCTION("""COMPUTED_VALUE"""),7.88)</f>
        <v>7.88</v>
      </c>
      <c r="F2715" s="1">
        <f ca="1">IFERROR(__xludf.DUMMYFUNCTION("""COMPUTED_VALUE"""),745500)</f>
        <v>745500</v>
      </c>
      <c r="I2715" s="1"/>
    </row>
    <row r="2716" spans="1:9">
      <c r="A2716" s="3">
        <f ca="1">IFERROR(__xludf.DUMMYFUNCTION("""COMPUTED_VALUE"""),33142.6666666666)</f>
        <v>33142.666666666599</v>
      </c>
      <c r="B2716" s="1">
        <f ca="1">IFERROR(__xludf.DUMMYFUNCTION("""COMPUTED_VALUE"""),7.84)</f>
        <v>7.84</v>
      </c>
      <c r="C2716" s="1">
        <f ca="1">IFERROR(__xludf.DUMMYFUNCTION("""COMPUTED_VALUE"""),7.89)</f>
        <v>7.89</v>
      </c>
      <c r="D2716" s="1">
        <f ca="1">IFERROR(__xludf.DUMMYFUNCTION("""COMPUTED_VALUE"""),7.73)</f>
        <v>7.73</v>
      </c>
      <c r="E2716" s="1">
        <f ca="1">IFERROR(__xludf.DUMMYFUNCTION("""COMPUTED_VALUE"""),7.84)</f>
        <v>7.84</v>
      </c>
      <c r="F2716" s="1">
        <f ca="1">IFERROR(__xludf.DUMMYFUNCTION("""COMPUTED_VALUE"""),849700)</f>
        <v>849700</v>
      </c>
      <c r="I2716" s="1"/>
    </row>
    <row r="2717" spans="1:9">
      <c r="A2717" s="3">
        <f ca="1">IFERROR(__xludf.DUMMYFUNCTION("""COMPUTED_VALUE"""),33143.6666666666)</f>
        <v>33143.666666666599</v>
      </c>
      <c r="B2717" s="1">
        <f ca="1">IFERROR(__xludf.DUMMYFUNCTION("""COMPUTED_VALUE"""),7.8)</f>
        <v>7.8</v>
      </c>
      <c r="C2717" s="1">
        <f ca="1">IFERROR(__xludf.DUMMYFUNCTION("""COMPUTED_VALUE"""),7.95)</f>
        <v>7.95</v>
      </c>
      <c r="D2717" s="1">
        <f ca="1">IFERROR(__xludf.DUMMYFUNCTION("""COMPUTED_VALUE"""),7.75)</f>
        <v>7.75</v>
      </c>
      <c r="E2717" s="1">
        <f ca="1">IFERROR(__xludf.DUMMYFUNCTION("""COMPUTED_VALUE"""),7.8)</f>
        <v>7.8</v>
      </c>
      <c r="F2717" s="1">
        <f ca="1">IFERROR(__xludf.DUMMYFUNCTION("""COMPUTED_VALUE"""),679300)</f>
        <v>679300</v>
      </c>
      <c r="I2717" s="1"/>
    </row>
    <row r="2718" spans="1:9">
      <c r="A2718" s="3">
        <f ca="1">IFERROR(__xludf.DUMMYFUNCTION("""COMPUTED_VALUE"""),33144.6666666666)</f>
        <v>33144.666666666599</v>
      </c>
      <c r="B2718" s="1">
        <f ca="1">IFERROR(__xludf.DUMMYFUNCTION("""COMPUTED_VALUE"""),7.91)</f>
        <v>7.91</v>
      </c>
      <c r="C2718" s="1">
        <f ca="1">IFERROR(__xludf.DUMMYFUNCTION("""COMPUTED_VALUE"""),7.91)</f>
        <v>7.91</v>
      </c>
      <c r="D2718" s="1">
        <f ca="1">IFERROR(__xludf.DUMMYFUNCTION("""COMPUTED_VALUE"""),7.61)</f>
        <v>7.61</v>
      </c>
      <c r="E2718" s="1">
        <f ca="1">IFERROR(__xludf.DUMMYFUNCTION("""COMPUTED_VALUE"""),7.91)</f>
        <v>7.91</v>
      </c>
      <c r="F2718" s="1">
        <f ca="1">IFERROR(__xludf.DUMMYFUNCTION("""COMPUTED_VALUE"""),823700)</f>
        <v>823700</v>
      </c>
      <c r="I2718" s="1"/>
    </row>
    <row r="2719" spans="1:9">
      <c r="A2719" s="3">
        <f ca="1">IFERROR(__xludf.DUMMYFUNCTION("""COMPUTED_VALUE"""),33147.6666666666)</f>
        <v>33147.666666666599</v>
      </c>
      <c r="B2719" s="1">
        <f ca="1">IFERROR(__xludf.DUMMYFUNCTION("""COMPUTED_VALUE"""),8.23)</f>
        <v>8.23</v>
      </c>
      <c r="C2719" s="1">
        <f ca="1">IFERROR(__xludf.DUMMYFUNCTION("""COMPUTED_VALUE"""),8.27)</f>
        <v>8.27</v>
      </c>
      <c r="D2719" s="1">
        <f ca="1">IFERROR(__xludf.DUMMYFUNCTION("""COMPUTED_VALUE"""),7.97)</f>
        <v>7.97</v>
      </c>
      <c r="E2719" s="1">
        <f ca="1">IFERROR(__xludf.DUMMYFUNCTION("""COMPUTED_VALUE"""),8.23)</f>
        <v>8.23</v>
      </c>
      <c r="F2719" s="1">
        <f ca="1">IFERROR(__xludf.DUMMYFUNCTION("""COMPUTED_VALUE"""),1220400)</f>
        <v>1220400</v>
      </c>
      <c r="I2719" s="1"/>
    </row>
    <row r="2720" spans="1:9">
      <c r="A2720" s="3">
        <f ca="1">IFERROR(__xludf.DUMMYFUNCTION("""COMPUTED_VALUE"""),33148.6666666666)</f>
        <v>33148.666666666599</v>
      </c>
      <c r="B2720" s="1">
        <f ca="1">IFERROR(__xludf.DUMMYFUNCTION("""COMPUTED_VALUE"""),8.3)</f>
        <v>8.3000000000000007</v>
      </c>
      <c r="C2720" s="1">
        <f ca="1">IFERROR(__xludf.DUMMYFUNCTION("""COMPUTED_VALUE"""),8.47)</f>
        <v>8.4700000000000006</v>
      </c>
      <c r="D2720" s="1">
        <f ca="1">IFERROR(__xludf.DUMMYFUNCTION("""COMPUTED_VALUE"""),8.3)</f>
        <v>8.3000000000000007</v>
      </c>
      <c r="E2720" s="1">
        <f ca="1">IFERROR(__xludf.DUMMYFUNCTION("""COMPUTED_VALUE"""),8.3)</f>
        <v>8.3000000000000007</v>
      </c>
      <c r="F2720" s="1">
        <f ca="1">IFERROR(__xludf.DUMMYFUNCTION("""COMPUTED_VALUE"""),1037900)</f>
        <v>1037900</v>
      </c>
      <c r="I2720" s="1"/>
    </row>
    <row r="2721" spans="1:9">
      <c r="A2721" s="3">
        <f ca="1">IFERROR(__xludf.DUMMYFUNCTION("""COMPUTED_VALUE"""),33149.6666666666)</f>
        <v>33149.666666666599</v>
      </c>
      <c r="B2721" s="1">
        <f ca="1">IFERROR(__xludf.DUMMYFUNCTION("""COMPUTED_VALUE"""),8.17)</f>
        <v>8.17</v>
      </c>
      <c r="C2721" s="1">
        <f ca="1">IFERROR(__xludf.DUMMYFUNCTION("""COMPUTED_VALUE"""),8.33)</f>
        <v>8.33</v>
      </c>
      <c r="D2721" s="1">
        <f ca="1">IFERROR(__xludf.DUMMYFUNCTION("""COMPUTED_VALUE"""),8.11)</f>
        <v>8.11</v>
      </c>
      <c r="E2721" s="1">
        <f ca="1">IFERROR(__xludf.DUMMYFUNCTION("""COMPUTED_VALUE"""),8.17)</f>
        <v>8.17</v>
      </c>
      <c r="F2721" s="1">
        <f ca="1">IFERROR(__xludf.DUMMYFUNCTION("""COMPUTED_VALUE"""),581900)</f>
        <v>581900</v>
      </c>
      <c r="I2721" s="1"/>
    </row>
    <row r="2722" spans="1:9">
      <c r="A2722" s="3">
        <f ca="1">IFERROR(__xludf.DUMMYFUNCTION("""COMPUTED_VALUE"""),33150.6666666666)</f>
        <v>33150.666666666599</v>
      </c>
      <c r="B2722" s="1">
        <f ca="1">IFERROR(__xludf.DUMMYFUNCTION("""COMPUTED_VALUE"""),8.19)</f>
        <v>8.19</v>
      </c>
      <c r="C2722" s="1">
        <f ca="1">IFERROR(__xludf.DUMMYFUNCTION("""COMPUTED_VALUE"""),8.23)</f>
        <v>8.23</v>
      </c>
      <c r="D2722" s="1">
        <f ca="1">IFERROR(__xludf.DUMMYFUNCTION("""COMPUTED_VALUE"""),8.09)</f>
        <v>8.09</v>
      </c>
      <c r="E2722" s="1">
        <f ca="1">IFERROR(__xludf.DUMMYFUNCTION("""COMPUTED_VALUE"""),8.19)</f>
        <v>8.19</v>
      </c>
      <c r="F2722" s="1">
        <f ca="1">IFERROR(__xludf.DUMMYFUNCTION("""COMPUTED_VALUE"""),552200)</f>
        <v>552200</v>
      </c>
      <c r="I2722" s="1"/>
    </row>
    <row r="2723" spans="1:9">
      <c r="A2723" s="3">
        <f ca="1">IFERROR(__xludf.DUMMYFUNCTION("""COMPUTED_VALUE"""),33151.6666666666)</f>
        <v>33151.666666666599</v>
      </c>
      <c r="B2723" s="1">
        <f ca="1">IFERROR(__xludf.DUMMYFUNCTION("""COMPUTED_VALUE"""),8.19)</f>
        <v>8.19</v>
      </c>
      <c r="C2723" s="1">
        <f ca="1">IFERROR(__xludf.DUMMYFUNCTION("""COMPUTED_VALUE"""),8.28)</f>
        <v>8.2799999999999994</v>
      </c>
      <c r="D2723" s="1">
        <f ca="1">IFERROR(__xludf.DUMMYFUNCTION("""COMPUTED_VALUE"""),8)</f>
        <v>8</v>
      </c>
      <c r="E2723" s="1">
        <f ca="1">IFERROR(__xludf.DUMMYFUNCTION("""COMPUTED_VALUE"""),8.19)</f>
        <v>8.19</v>
      </c>
      <c r="F2723" s="1">
        <f ca="1">IFERROR(__xludf.DUMMYFUNCTION("""COMPUTED_VALUE"""),809100)</f>
        <v>809100</v>
      </c>
      <c r="I2723" s="1"/>
    </row>
    <row r="2724" spans="1:9">
      <c r="A2724" s="3">
        <f ca="1">IFERROR(__xludf.DUMMYFUNCTION("""COMPUTED_VALUE"""),33154.6666666666)</f>
        <v>33154.666666666599</v>
      </c>
      <c r="B2724" s="1">
        <f ca="1">IFERROR(__xludf.DUMMYFUNCTION("""COMPUTED_VALUE"""),8.31)</f>
        <v>8.31</v>
      </c>
      <c r="C2724" s="1">
        <f ca="1">IFERROR(__xludf.DUMMYFUNCTION("""COMPUTED_VALUE"""),8.31)</f>
        <v>8.31</v>
      </c>
      <c r="D2724" s="1">
        <f ca="1">IFERROR(__xludf.DUMMYFUNCTION("""COMPUTED_VALUE"""),8.22)</f>
        <v>8.2200000000000006</v>
      </c>
      <c r="E2724" s="1">
        <f ca="1">IFERROR(__xludf.DUMMYFUNCTION("""COMPUTED_VALUE"""),8.31)</f>
        <v>8.31</v>
      </c>
      <c r="F2724" s="1">
        <f ca="1">IFERROR(__xludf.DUMMYFUNCTION("""COMPUTED_VALUE"""),387900)</f>
        <v>387900</v>
      </c>
      <c r="I2724" s="1"/>
    </row>
    <row r="2725" spans="1:9">
      <c r="A2725" s="3">
        <f ca="1">IFERROR(__xludf.DUMMYFUNCTION("""COMPUTED_VALUE"""),33155.6666666666)</f>
        <v>33155.666666666599</v>
      </c>
      <c r="B2725" s="1">
        <f ca="1">IFERROR(__xludf.DUMMYFUNCTION("""COMPUTED_VALUE"""),8.14)</f>
        <v>8.14</v>
      </c>
      <c r="C2725" s="1">
        <f ca="1">IFERROR(__xludf.DUMMYFUNCTION("""COMPUTED_VALUE"""),8.31)</f>
        <v>8.31</v>
      </c>
      <c r="D2725" s="1">
        <f ca="1">IFERROR(__xludf.DUMMYFUNCTION("""COMPUTED_VALUE"""),8.14)</f>
        <v>8.14</v>
      </c>
      <c r="E2725" s="1">
        <f ca="1">IFERROR(__xludf.DUMMYFUNCTION("""COMPUTED_VALUE"""),8.14)</f>
        <v>8.14</v>
      </c>
      <c r="F2725" s="1">
        <f ca="1">IFERROR(__xludf.DUMMYFUNCTION("""COMPUTED_VALUE"""),675200)</f>
        <v>675200</v>
      </c>
      <c r="I2725" s="1"/>
    </row>
    <row r="2726" spans="1:9">
      <c r="A2726" s="3">
        <f ca="1">IFERROR(__xludf.DUMMYFUNCTION("""COMPUTED_VALUE"""),33156.6666666666)</f>
        <v>33156.666666666599</v>
      </c>
      <c r="B2726" s="1">
        <f ca="1">IFERROR(__xludf.DUMMYFUNCTION("""COMPUTED_VALUE"""),8.06)</f>
        <v>8.06</v>
      </c>
      <c r="C2726" s="1">
        <f ca="1">IFERROR(__xludf.DUMMYFUNCTION("""COMPUTED_VALUE"""),8.16)</f>
        <v>8.16</v>
      </c>
      <c r="D2726" s="1">
        <f ca="1">IFERROR(__xludf.DUMMYFUNCTION("""COMPUTED_VALUE"""),8.02)</f>
        <v>8.02</v>
      </c>
      <c r="E2726" s="1">
        <f ca="1">IFERROR(__xludf.DUMMYFUNCTION("""COMPUTED_VALUE"""),8.06)</f>
        <v>8.06</v>
      </c>
      <c r="F2726" s="1">
        <f ca="1">IFERROR(__xludf.DUMMYFUNCTION("""COMPUTED_VALUE"""),747600)</f>
        <v>747600</v>
      </c>
      <c r="I2726" s="1"/>
    </row>
    <row r="2727" spans="1:9">
      <c r="A2727" s="3">
        <f ca="1">IFERROR(__xludf.DUMMYFUNCTION("""COMPUTED_VALUE"""),33157.6666666666)</f>
        <v>33157.666666666599</v>
      </c>
      <c r="B2727" s="1">
        <f ca="1">IFERROR(__xludf.DUMMYFUNCTION("""COMPUTED_VALUE"""),7.92)</f>
        <v>7.92</v>
      </c>
      <c r="C2727" s="1">
        <f ca="1">IFERROR(__xludf.DUMMYFUNCTION("""COMPUTED_VALUE"""),8.08)</f>
        <v>8.08</v>
      </c>
      <c r="D2727" s="1">
        <f ca="1">IFERROR(__xludf.DUMMYFUNCTION("""COMPUTED_VALUE"""),7.92)</f>
        <v>7.92</v>
      </c>
      <c r="E2727" s="1">
        <f ca="1">IFERROR(__xludf.DUMMYFUNCTION("""COMPUTED_VALUE"""),7.92)</f>
        <v>7.92</v>
      </c>
      <c r="F2727" s="1">
        <f ca="1">IFERROR(__xludf.DUMMYFUNCTION("""COMPUTED_VALUE"""),755800)</f>
        <v>755800</v>
      </c>
      <c r="I2727" s="1"/>
    </row>
    <row r="2728" spans="1:9">
      <c r="A2728" s="3">
        <f ca="1">IFERROR(__xludf.DUMMYFUNCTION("""COMPUTED_VALUE"""),33158.6666666666)</f>
        <v>33158.666666666599</v>
      </c>
      <c r="B2728" s="1">
        <f ca="1">IFERROR(__xludf.DUMMYFUNCTION("""COMPUTED_VALUE"""),8.03)</f>
        <v>8.0299999999999994</v>
      </c>
      <c r="C2728" s="1">
        <f ca="1">IFERROR(__xludf.DUMMYFUNCTION("""COMPUTED_VALUE"""),8.06)</f>
        <v>8.06</v>
      </c>
      <c r="D2728" s="1">
        <f ca="1">IFERROR(__xludf.DUMMYFUNCTION("""COMPUTED_VALUE"""),7.92)</f>
        <v>7.92</v>
      </c>
      <c r="E2728" s="1">
        <f ca="1">IFERROR(__xludf.DUMMYFUNCTION("""COMPUTED_VALUE"""),8.03)</f>
        <v>8.0299999999999994</v>
      </c>
      <c r="F2728" s="1">
        <f ca="1">IFERROR(__xludf.DUMMYFUNCTION("""COMPUTED_VALUE"""),708600)</f>
        <v>708600</v>
      </c>
      <c r="I2728" s="1"/>
    </row>
    <row r="2729" spans="1:9">
      <c r="A2729" s="3">
        <f ca="1">IFERROR(__xludf.DUMMYFUNCTION("""COMPUTED_VALUE"""),33161.6666666666)</f>
        <v>33161.666666666599</v>
      </c>
      <c r="B2729" s="1">
        <f ca="1">IFERROR(__xludf.DUMMYFUNCTION("""COMPUTED_VALUE"""),8.17)</f>
        <v>8.17</v>
      </c>
      <c r="C2729" s="1">
        <f ca="1">IFERROR(__xludf.DUMMYFUNCTION("""COMPUTED_VALUE"""),8.27)</f>
        <v>8.27</v>
      </c>
      <c r="D2729" s="1">
        <f ca="1">IFERROR(__xludf.DUMMYFUNCTION("""COMPUTED_VALUE"""),8.02)</f>
        <v>8.02</v>
      </c>
      <c r="E2729" s="1">
        <f ca="1">IFERROR(__xludf.DUMMYFUNCTION("""COMPUTED_VALUE"""),8.17)</f>
        <v>8.17</v>
      </c>
      <c r="F2729" s="1">
        <f ca="1">IFERROR(__xludf.DUMMYFUNCTION("""COMPUTED_VALUE"""),757200)</f>
        <v>757200</v>
      </c>
      <c r="I2729" s="1"/>
    </row>
    <row r="2730" spans="1:9">
      <c r="A2730" s="3">
        <f ca="1">IFERROR(__xludf.DUMMYFUNCTION("""COMPUTED_VALUE"""),33162.6666666666)</f>
        <v>33162.666666666599</v>
      </c>
      <c r="B2730" s="1">
        <f ca="1">IFERROR(__xludf.DUMMYFUNCTION("""COMPUTED_VALUE"""),8.09)</f>
        <v>8.09</v>
      </c>
      <c r="C2730" s="1">
        <f ca="1">IFERROR(__xludf.DUMMYFUNCTION("""COMPUTED_VALUE"""),8.23)</f>
        <v>8.23</v>
      </c>
      <c r="D2730" s="1">
        <f ca="1">IFERROR(__xludf.DUMMYFUNCTION("""COMPUTED_VALUE"""),8.08)</f>
        <v>8.08</v>
      </c>
      <c r="E2730" s="1">
        <f ca="1">IFERROR(__xludf.DUMMYFUNCTION("""COMPUTED_VALUE"""),8.09)</f>
        <v>8.09</v>
      </c>
      <c r="F2730" s="1">
        <f ca="1">IFERROR(__xludf.DUMMYFUNCTION("""COMPUTED_VALUE"""),549900)</f>
        <v>549900</v>
      </c>
      <c r="I2730" s="1"/>
    </row>
    <row r="2731" spans="1:9">
      <c r="A2731" s="3">
        <f ca="1">IFERROR(__xludf.DUMMYFUNCTION("""COMPUTED_VALUE"""),33163.6666666666)</f>
        <v>33163.666666666599</v>
      </c>
      <c r="B2731" s="1">
        <f ca="1">IFERROR(__xludf.DUMMYFUNCTION("""COMPUTED_VALUE"""),8.14)</f>
        <v>8.14</v>
      </c>
      <c r="C2731" s="1">
        <f ca="1">IFERROR(__xludf.DUMMYFUNCTION("""COMPUTED_VALUE"""),8.2)</f>
        <v>8.1999999999999993</v>
      </c>
      <c r="D2731" s="1">
        <f ca="1">IFERROR(__xludf.DUMMYFUNCTION("""COMPUTED_VALUE"""),8.05)</f>
        <v>8.0500000000000007</v>
      </c>
      <c r="E2731" s="1">
        <f ca="1">IFERROR(__xludf.DUMMYFUNCTION("""COMPUTED_VALUE"""),8.14)</f>
        <v>8.14</v>
      </c>
      <c r="F2731" s="1">
        <f ca="1">IFERROR(__xludf.DUMMYFUNCTION("""COMPUTED_VALUE"""),381500)</f>
        <v>381500</v>
      </c>
      <c r="I2731" s="1"/>
    </row>
    <row r="2732" spans="1:9">
      <c r="A2732" s="3">
        <f ca="1">IFERROR(__xludf.DUMMYFUNCTION("""COMPUTED_VALUE"""),33164.6666666666)</f>
        <v>33164.666666666599</v>
      </c>
      <c r="B2732" s="1">
        <f ca="1">IFERROR(__xludf.DUMMYFUNCTION("""COMPUTED_VALUE"""),8.36)</f>
        <v>8.36</v>
      </c>
      <c r="C2732" s="1">
        <f ca="1">IFERROR(__xludf.DUMMYFUNCTION("""COMPUTED_VALUE"""),8.38)</f>
        <v>8.3800000000000008</v>
      </c>
      <c r="D2732" s="1">
        <f ca="1">IFERROR(__xludf.DUMMYFUNCTION("""COMPUTED_VALUE"""),8.16)</f>
        <v>8.16</v>
      </c>
      <c r="E2732" s="1">
        <f ca="1">IFERROR(__xludf.DUMMYFUNCTION("""COMPUTED_VALUE"""),8.36)</f>
        <v>8.36</v>
      </c>
      <c r="F2732" s="1">
        <f ca="1">IFERROR(__xludf.DUMMYFUNCTION("""COMPUTED_VALUE"""),944100)</f>
        <v>944100</v>
      </c>
      <c r="I2732" s="1"/>
    </row>
    <row r="2733" spans="1:9">
      <c r="A2733" s="3">
        <f ca="1">IFERROR(__xludf.DUMMYFUNCTION("""COMPUTED_VALUE"""),33165.6666666666)</f>
        <v>33165.666666666599</v>
      </c>
      <c r="B2733" s="1">
        <f ca="1">IFERROR(__xludf.DUMMYFUNCTION("""COMPUTED_VALUE"""),8.42)</f>
        <v>8.42</v>
      </c>
      <c r="C2733" s="1">
        <f ca="1">IFERROR(__xludf.DUMMYFUNCTION("""COMPUTED_VALUE"""),8.47)</f>
        <v>8.4700000000000006</v>
      </c>
      <c r="D2733" s="1">
        <f ca="1">IFERROR(__xludf.DUMMYFUNCTION("""COMPUTED_VALUE"""),8.28)</f>
        <v>8.2799999999999994</v>
      </c>
      <c r="E2733" s="1">
        <f ca="1">IFERROR(__xludf.DUMMYFUNCTION("""COMPUTED_VALUE"""),8.42)</f>
        <v>8.42</v>
      </c>
      <c r="F2733" s="1">
        <f ca="1">IFERROR(__xludf.DUMMYFUNCTION("""COMPUTED_VALUE"""),1358900)</f>
        <v>1358900</v>
      </c>
      <c r="I2733" s="1"/>
    </row>
    <row r="2734" spans="1:9">
      <c r="A2734" s="3">
        <f ca="1">IFERROR(__xludf.DUMMYFUNCTION("""COMPUTED_VALUE"""),33168.6666666666)</f>
        <v>33168.666666666599</v>
      </c>
      <c r="B2734" s="1">
        <f ca="1">IFERROR(__xludf.DUMMYFUNCTION("""COMPUTED_VALUE"""),8.53)</f>
        <v>8.5299999999999994</v>
      </c>
      <c r="C2734" s="1">
        <f ca="1">IFERROR(__xludf.DUMMYFUNCTION("""COMPUTED_VALUE"""),8.63)</f>
        <v>8.6300000000000008</v>
      </c>
      <c r="D2734" s="1">
        <f ca="1">IFERROR(__xludf.DUMMYFUNCTION("""COMPUTED_VALUE"""),8.41)</f>
        <v>8.41</v>
      </c>
      <c r="E2734" s="1">
        <f ca="1">IFERROR(__xludf.DUMMYFUNCTION("""COMPUTED_VALUE"""),8.53)</f>
        <v>8.5299999999999994</v>
      </c>
      <c r="F2734" s="1">
        <f ca="1">IFERROR(__xludf.DUMMYFUNCTION("""COMPUTED_VALUE"""),1448900)</f>
        <v>1448900</v>
      </c>
      <c r="I2734" s="1"/>
    </row>
    <row r="2735" spans="1:9">
      <c r="A2735" s="3">
        <f ca="1">IFERROR(__xludf.DUMMYFUNCTION("""COMPUTED_VALUE"""),33169.6666666666)</f>
        <v>33169.666666666599</v>
      </c>
      <c r="B2735" s="1">
        <f ca="1">IFERROR(__xludf.DUMMYFUNCTION("""COMPUTED_VALUE"""),8.58)</f>
        <v>8.58</v>
      </c>
      <c r="C2735" s="1">
        <f ca="1">IFERROR(__xludf.DUMMYFUNCTION("""COMPUTED_VALUE"""),8.69)</f>
        <v>8.69</v>
      </c>
      <c r="D2735" s="1">
        <f ca="1">IFERROR(__xludf.DUMMYFUNCTION("""COMPUTED_VALUE"""),8.5)</f>
        <v>8.5</v>
      </c>
      <c r="E2735" s="1">
        <f ca="1">IFERROR(__xludf.DUMMYFUNCTION("""COMPUTED_VALUE"""),8.58)</f>
        <v>8.58</v>
      </c>
      <c r="F2735" s="1">
        <f ca="1">IFERROR(__xludf.DUMMYFUNCTION("""COMPUTED_VALUE"""),698400)</f>
        <v>698400</v>
      </c>
      <c r="I2735" s="1"/>
    </row>
    <row r="2736" spans="1:9">
      <c r="A2736" s="3">
        <f ca="1">IFERROR(__xludf.DUMMYFUNCTION("""COMPUTED_VALUE"""),33170.6666666666)</f>
        <v>33170.666666666599</v>
      </c>
      <c r="B2736" s="1">
        <f ca="1">IFERROR(__xludf.DUMMYFUNCTION("""COMPUTED_VALUE"""),8.48)</f>
        <v>8.48</v>
      </c>
      <c r="C2736" s="1">
        <f ca="1">IFERROR(__xludf.DUMMYFUNCTION("""COMPUTED_VALUE"""),8.58)</f>
        <v>8.58</v>
      </c>
      <c r="D2736" s="1">
        <f ca="1">IFERROR(__xludf.DUMMYFUNCTION("""COMPUTED_VALUE"""),8.45)</f>
        <v>8.4499999999999993</v>
      </c>
      <c r="E2736" s="1">
        <f ca="1">IFERROR(__xludf.DUMMYFUNCTION("""COMPUTED_VALUE"""),8.48)</f>
        <v>8.48</v>
      </c>
      <c r="F2736" s="1">
        <f ca="1">IFERROR(__xludf.DUMMYFUNCTION("""COMPUTED_VALUE"""),469700)</f>
        <v>469700</v>
      </c>
      <c r="I2736" s="1"/>
    </row>
    <row r="2737" spans="1:9">
      <c r="A2737" s="3">
        <f ca="1">IFERROR(__xludf.DUMMYFUNCTION("""COMPUTED_VALUE"""),33171.6666666666)</f>
        <v>33171.666666666599</v>
      </c>
      <c r="B2737" s="1">
        <f ca="1">IFERROR(__xludf.DUMMYFUNCTION("""COMPUTED_VALUE"""),8.45)</f>
        <v>8.4499999999999993</v>
      </c>
      <c r="C2737" s="1">
        <f ca="1">IFERROR(__xludf.DUMMYFUNCTION("""COMPUTED_VALUE"""),8.53)</f>
        <v>8.5299999999999994</v>
      </c>
      <c r="D2737" s="1">
        <f ca="1">IFERROR(__xludf.DUMMYFUNCTION("""COMPUTED_VALUE"""),8.36)</f>
        <v>8.36</v>
      </c>
      <c r="E2737" s="1">
        <f ca="1">IFERROR(__xludf.DUMMYFUNCTION("""COMPUTED_VALUE"""),8.45)</f>
        <v>8.4499999999999993</v>
      </c>
      <c r="F2737" s="1">
        <f ca="1">IFERROR(__xludf.DUMMYFUNCTION("""COMPUTED_VALUE"""),712500)</f>
        <v>712500</v>
      </c>
      <c r="I2737" s="1"/>
    </row>
    <row r="2738" spans="1:9">
      <c r="A2738" s="3">
        <f ca="1">IFERROR(__xludf.DUMMYFUNCTION("""COMPUTED_VALUE"""),33172.6666666666)</f>
        <v>33172.666666666599</v>
      </c>
      <c r="B2738" s="1">
        <f ca="1">IFERROR(__xludf.DUMMYFUNCTION("""COMPUTED_VALUE"""),8.27)</f>
        <v>8.27</v>
      </c>
      <c r="C2738" s="1">
        <f ca="1">IFERROR(__xludf.DUMMYFUNCTION("""COMPUTED_VALUE"""),8.44)</f>
        <v>8.44</v>
      </c>
      <c r="D2738" s="1">
        <f ca="1">IFERROR(__xludf.DUMMYFUNCTION("""COMPUTED_VALUE"""),8.22)</f>
        <v>8.2200000000000006</v>
      </c>
      <c r="E2738" s="1">
        <f ca="1">IFERROR(__xludf.DUMMYFUNCTION("""COMPUTED_VALUE"""),8.27)</f>
        <v>8.27</v>
      </c>
      <c r="F2738" s="1">
        <f ca="1">IFERROR(__xludf.DUMMYFUNCTION("""COMPUTED_VALUE"""),422500)</f>
        <v>422500</v>
      </c>
      <c r="I2738" s="1"/>
    </row>
    <row r="2739" spans="1:9">
      <c r="A2739" s="3">
        <f ca="1">IFERROR(__xludf.DUMMYFUNCTION("""COMPUTED_VALUE"""),33175.6666666666)</f>
        <v>33175.666666666599</v>
      </c>
      <c r="B2739" s="1">
        <f ca="1">IFERROR(__xludf.DUMMYFUNCTION("""COMPUTED_VALUE"""),8.19)</f>
        <v>8.19</v>
      </c>
      <c r="C2739" s="1">
        <f ca="1">IFERROR(__xludf.DUMMYFUNCTION("""COMPUTED_VALUE"""),8.34)</f>
        <v>8.34</v>
      </c>
      <c r="D2739" s="1">
        <f ca="1">IFERROR(__xludf.DUMMYFUNCTION("""COMPUTED_VALUE"""),8.13)</f>
        <v>8.1300000000000008</v>
      </c>
      <c r="E2739" s="1">
        <f ca="1">IFERROR(__xludf.DUMMYFUNCTION("""COMPUTED_VALUE"""),8.19)</f>
        <v>8.19</v>
      </c>
      <c r="F2739" s="1">
        <f ca="1">IFERROR(__xludf.DUMMYFUNCTION("""COMPUTED_VALUE"""),508900)</f>
        <v>508900</v>
      </c>
      <c r="I2739" s="1"/>
    </row>
    <row r="2740" spans="1:9">
      <c r="A2740" s="3">
        <f ca="1">IFERROR(__xludf.DUMMYFUNCTION("""COMPUTED_VALUE"""),33176.6666666666)</f>
        <v>33176.666666666599</v>
      </c>
      <c r="B2740" s="1">
        <f ca="1">IFERROR(__xludf.DUMMYFUNCTION("""COMPUTED_VALUE"""),8.22)</f>
        <v>8.2200000000000006</v>
      </c>
      <c r="C2740" s="1">
        <f ca="1">IFERROR(__xludf.DUMMYFUNCTION("""COMPUTED_VALUE"""),8.25)</f>
        <v>8.25</v>
      </c>
      <c r="D2740" s="1">
        <f ca="1">IFERROR(__xludf.DUMMYFUNCTION("""COMPUTED_VALUE"""),8.05)</f>
        <v>8.0500000000000007</v>
      </c>
      <c r="E2740" s="1">
        <f ca="1">IFERROR(__xludf.DUMMYFUNCTION("""COMPUTED_VALUE"""),8.22)</f>
        <v>8.2200000000000006</v>
      </c>
      <c r="F2740" s="1">
        <f ca="1">IFERROR(__xludf.DUMMYFUNCTION("""COMPUTED_VALUE"""),774000)</f>
        <v>774000</v>
      </c>
      <c r="I2740" s="1"/>
    </row>
    <row r="2741" spans="1:9">
      <c r="A2741" s="3">
        <f ca="1">IFERROR(__xludf.DUMMYFUNCTION("""COMPUTED_VALUE"""),33177.6666666666)</f>
        <v>33177.666666666599</v>
      </c>
      <c r="B2741" s="1">
        <f ca="1">IFERROR(__xludf.DUMMYFUNCTION("""COMPUTED_VALUE"""),8.05)</f>
        <v>8.0500000000000007</v>
      </c>
      <c r="C2741" s="1">
        <f ca="1">IFERROR(__xludf.DUMMYFUNCTION("""COMPUTED_VALUE"""),8.28)</f>
        <v>8.2799999999999994</v>
      </c>
      <c r="D2741" s="1">
        <f ca="1">IFERROR(__xludf.DUMMYFUNCTION("""COMPUTED_VALUE"""),7.98)</f>
        <v>7.98</v>
      </c>
      <c r="E2741" s="1">
        <f ca="1">IFERROR(__xludf.DUMMYFUNCTION("""COMPUTED_VALUE"""),8.05)</f>
        <v>8.0500000000000007</v>
      </c>
      <c r="F2741" s="1">
        <f ca="1">IFERROR(__xludf.DUMMYFUNCTION("""COMPUTED_VALUE"""),556200)</f>
        <v>556200</v>
      </c>
      <c r="I2741" s="1"/>
    </row>
    <row r="2742" spans="1:9">
      <c r="A2742" s="3">
        <f ca="1">IFERROR(__xludf.DUMMYFUNCTION("""COMPUTED_VALUE"""),33178.6666666666)</f>
        <v>33178.666666666599</v>
      </c>
      <c r="B2742" s="1">
        <f ca="1">IFERROR(__xludf.DUMMYFUNCTION("""COMPUTED_VALUE"""),8.22)</f>
        <v>8.2200000000000006</v>
      </c>
      <c r="C2742" s="1">
        <f ca="1">IFERROR(__xludf.DUMMYFUNCTION("""COMPUTED_VALUE"""),8.23)</f>
        <v>8.23</v>
      </c>
      <c r="D2742" s="1">
        <f ca="1">IFERROR(__xludf.DUMMYFUNCTION("""COMPUTED_VALUE"""),7.97)</f>
        <v>7.97</v>
      </c>
      <c r="E2742" s="1">
        <f ca="1">IFERROR(__xludf.DUMMYFUNCTION("""COMPUTED_VALUE"""),8.22)</f>
        <v>8.2200000000000006</v>
      </c>
      <c r="F2742" s="1">
        <f ca="1">IFERROR(__xludf.DUMMYFUNCTION("""COMPUTED_VALUE"""),748000)</f>
        <v>748000</v>
      </c>
      <c r="I2742" s="1"/>
    </row>
    <row r="2743" spans="1:9">
      <c r="A2743" s="3">
        <f ca="1">IFERROR(__xludf.DUMMYFUNCTION("""COMPUTED_VALUE"""),33179.6666666666)</f>
        <v>33179.666666666599</v>
      </c>
      <c r="B2743" s="1">
        <f ca="1">IFERROR(__xludf.DUMMYFUNCTION("""COMPUTED_VALUE"""),8.33)</f>
        <v>8.33</v>
      </c>
      <c r="C2743" s="1">
        <f ca="1">IFERROR(__xludf.DUMMYFUNCTION("""COMPUTED_VALUE"""),8.34)</f>
        <v>8.34</v>
      </c>
      <c r="D2743" s="1">
        <f ca="1">IFERROR(__xludf.DUMMYFUNCTION("""COMPUTED_VALUE"""),8.17)</f>
        <v>8.17</v>
      </c>
      <c r="E2743" s="1">
        <f ca="1">IFERROR(__xludf.DUMMYFUNCTION("""COMPUTED_VALUE"""),8.33)</f>
        <v>8.33</v>
      </c>
      <c r="F2743" s="1">
        <f ca="1">IFERROR(__xludf.DUMMYFUNCTION("""COMPUTED_VALUE"""),636600)</f>
        <v>636600</v>
      </c>
      <c r="I2743" s="1"/>
    </row>
    <row r="2744" spans="1:9">
      <c r="A2744" s="3">
        <f ca="1">IFERROR(__xludf.DUMMYFUNCTION("""COMPUTED_VALUE"""),33182.6666666666)</f>
        <v>33182.666666666599</v>
      </c>
      <c r="B2744" s="1">
        <f ca="1">IFERROR(__xludf.DUMMYFUNCTION("""COMPUTED_VALUE"""),8.44)</f>
        <v>8.44</v>
      </c>
      <c r="C2744" s="1">
        <f ca="1">IFERROR(__xludf.DUMMYFUNCTION("""COMPUTED_VALUE"""),8.47)</f>
        <v>8.4700000000000006</v>
      </c>
      <c r="D2744" s="1">
        <f ca="1">IFERROR(__xludf.DUMMYFUNCTION("""COMPUTED_VALUE"""),8.33)</f>
        <v>8.33</v>
      </c>
      <c r="E2744" s="1">
        <f ca="1">IFERROR(__xludf.DUMMYFUNCTION("""COMPUTED_VALUE"""),8.44)</f>
        <v>8.44</v>
      </c>
      <c r="F2744" s="1">
        <f ca="1">IFERROR(__xludf.DUMMYFUNCTION("""COMPUTED_VALUE"""),421400)</f>
        <v>421400</v>
      </c>
      <c r="I2744" s="1"/>
    </row>
    <row r="2745" spans="1:9">
      <c r="A2745" s="3">
        <f ca="1">IFERROR(__xludf.DUMMYFUNCTION("""COMPUTED_VALUE"""),33183.6666666666)</f>
        <v>33183.666666666599</v>
      </c>
      <c r="B2745" s="1">
        <f ca="1">IFERROR(__xludf.DUMMYFUNCTION("""COMPUTED_VALUE"""),8.3)</f>
        <v>8.3000000000000007</v>
      </c>
      <c r="C2745" s="1">
        <f ca="1">IFERROR(__xludf.DUMMYFUNCTION("""COMPUTED_VALUE"""),8.42)</f>
        <v>8.42</v>
      </c>
      <c r="D2745" s="1">
        <f ca="1">IFERROR(__xludf.DUMMYFUNCTION("""COMPUTED_VALUE"""),8.28)</f>
        <v>8.2799999999999994</v>
      </c>
      <c r="E2745" s="1">
        <f ca="1">IFERROR(__xludf.DUMMYFUNCTION("""COMPUTED_VALUE"""),8.3)</f>
        <v>8.3000000000000007</v>
      </c>
      <c r="F2745" s="1">
        <f ca="1">IFERROR(__xludf.DUMMYFUNCTION("""COMPUTED_VALUE"""),319400)</f>
        <v>319400</v>
      </c>
      <c r="I2745" s="1"/>
    </row>
    <row r="2746" spans="1:9">
      <c r="A2746" s="3">
        <f ca="1">IFERROR(__xludf.DUMMYFUNCTION("""COMPUTED_VALUE"""),33184.6666666666)</f>
        <v>33184.666666666599</v>
      </c>
      <c r="B2746" s="1">
        <f ca="1">IFERROR(__xludf.DUMMYFUNCTION("""COMPUTED_VALUE"""),8.17)</f>
        <v>8.17</v>
      </c>
      <c r="C2746" s="1">
        <f ca="1">IFERROR(__xludf.DUMMYFUNCTION("""COMPUTED_VALUE"""),8.31)</f>
        <v>8.31</v>
      </c>
      <c r="D2746" s="1">
        <f ca="1">IFERROR(__xludf.DUMMYFUNCTION("""COMPUTED_VALUE"""),8.16)</f>
        <v>8.16</v>
      </c>
      <c r="E2746" s="1">
        <f ca="1">IFERROR(__xludf.DUMMYFUNCTION("""COMPUTED_VALUE"""),8.17)</f>
        <v>8.17</v>
      </c>
      <c r="F2746" s="1">
        <f ca="1">IFERROR(__xludf.DUMMYFUNCTION("""COMPUTED_VALUE"""),463000)</f>
        <v>463000</v>
      </c>
      <c r="I2746" s="1"/>
    </row>
    <row r="2747" spans="1:9">
      <c r="A2747" s="3">
        <f ca="1">IFERROR(__xludf.DUMMYFUNCTION("""COMPUTED_VALUE"""),33185.6666666666)</f>
        <v>33185.666666666599</v>
      </c>
      <c r="B2747" s="1">
        <f ca="1">IFERROR(__xludf.DUMMYFUNCTION("""COMPUTED_VALUE"""),8.13)</f>
        <v>8.1300000000000008</v>
      </c>
      <c r="C2747" s="1">
        <f ca="1">IFERROR(__xludf.DUMMYFUNCTION("""COMPUTED_VALUE"""),8.25)</f>
        <v>8.25</v>
      </c>
      <c r="D2747" s="1">
        <f ca="1">IFERROR(__xludf.DUMMYFUNCTION("""COMPUTED_VALUE"""),8.06)</f>
        <v>8.06</v>
      </c>
      <c r="E2747" s="1">
        <f ca="1">IFERROR(__xludf.DUMMYFUNCTION("""COMPUTED_VALUE"""),8.13)</f>
        <v>8.1300000000000008</v>
      </c>
      <c r="F2747" s="1">
        <f ca="1">IFERROR(__xludf.DUMMYFUNCTION("""COMPUTED_VALUE"""),659200)</f>
        <v>659200</v>
      </c>
      <c r="I2747" s="1"/>
    </row>
    <row r="2748" spans="1:9">
      <c r="A2748" s="3">
        <f ca="1">IFERROR(__xludf.DUMMYFUNCTION("""COMPUTED_VALUE"""),33186.6666666666)</f>
        <v>33186.666666666599</v>
      </c>
      <c r="B2748" s="1">
        <f ca="1">IFERROR(__xludf.DUMMYFUNCTION("""COMPUTED_VALUE"""),8.19)</f>
        <v>8.19</v>
      </c>
      <c r="C2748" s="1">
        <f ca="1">IFERROR(__xludf.DUMMYFUNCTION("""COMPUTED_VALUE"""),8.27)</f>
        <v>8.27</v>
      </c>
      <c r="D2748" s="1">
        <f ca="1">IFERROR(__xludf.DUMMYFUNCTION("""COMPUTED_VALUE"""),8.08)</f>
        <v>8.08</v>
      </c>
      <c r="E2748" s="1">
        <f ca="1">IFERROR(__xludf.DUMMYFUNCTION("""COMPUTED_VALUE"""),8.19)</f>
        <v>8.19</v>
      </c>
      <c r="F2748" s="1">
        <f ca="1">IFERROR(__xludf.DUMMYFUNCTION("""COMPUTED_VALUE"""),1010500)</f>
        <v>1010500</v>
      </c>
      <c r="I2748" s="1"/>
    </row>
    <row r="2749" spans="1:9">
      <c r="A2749" s="3">
        <f ca="1">IFERROR(__xludf.DUMMYFUNCTION("""COMPUTED_VALUE"""),33189.6666666666)</f>
        <v>33189.666666666599</v>
      </c>
      <c r="B2749" s="1">
        <f ca="1">IFERROR(__xludf.DUMMYFUNCTION("""COMPUTED_VALUE"""),8.34)</f>
        <v>8.34</v>
      </c>
      <c r="C2749" s="1">
        <f ca="1">IFERROR(__xludf.DUMMYFUNCTION("""COMPUTED_VALUE"""),8.36)</f>
        <v>8.36</v>
      </c>
      <c r="D2749" s="1">
        <f ca="1">IFERROR(__xludf.DUMMYFUNCTION("""COMPUTED_VALUE"""),8.22)</f>
        <v>8.2200000000000006</v>
      </c>
      <c r="E2749" s="1">
        <f ca="1">IFERROR(__xludf.DUMMYFUNCTION("""COMPUTED_VALUE"""),8.34)</f>
        <v>8.34</v>
      </c>
      <c r="F2749" s="1">
        <f ca="1">IFERROR(__xludf.DUMMYFUNCTION("""COMPUTED_VALUE"""),968100)</f>
        <v>968100</v>
      </c>
      <c r="I2749" s="1"/>
    </row>
    <row r="2750" spans="1:9">
      <c r="A2750" s="3">
        <f ca="1">IFERROR(__xludf.DUMMYFUNCTION("""COMPUTED_VALUE"""),33190.6666666666)</f>
        <v>33190.666666666599</v>
      </c>
      <c r="B2750" s="1">
        <f ca="1">IFERROR(__xludf.DUMMYFUNCTION("""COMPUTED_VALUE"""),8.28)</f>
        <v>8.2799999999999994</v>
      </c>
      <c r="C2750" s="1">
        <f ca="1">IFERROR(__xludf.DUMMYFUNCTION("""COMPUTED_VALUE"""),8.34)</f>
        <v>8.34</v>
      </c>
      <c r="D2750" s="1">
        <f ca="1">IFERROR(__xludf.DUMMYFUNCTION("""COMPUTED_VALUE"""),8.25)</f>
        <v>8.25</v>
      </c>
      <c r="E2750" s="1">
        <f ca="1">IFERROR(__xludf.DUMMYFUNCTION("""COMPUTED_VALUE"""),8.28)</f>
        <v>8.2799999999999994</v>
      </c>
      <c r="F2750" s="1">
        <f ca="1">IFERROR(__xludf.DUMMYFUNCTION("""COMPUTED_VALUE"""),768800)</f>
        <v>768800</v>
      </c>
      <c r="I2750" s="1"/>
    </row>
    <row r="2751" spans="1:9">
      <c r="A2751" s="3">
        <f ca="1">IFERROR(__xludf.DUMMYFUNCTION("""COMPUTED_VALUE"""),33191.6666666666)</f>
        <v>33191.666666666599</v>
      </c>
      <c r="B2751" s="1">
        <f ca="1">IFERROR(__xludf.DUMMYFUNCTION("""COMPUTED_VALUE"""),8.28)</f>
        <v>8.2799999999999994</v>
      </c>
      <c r="C2751" s="1">
        <f ca="1">IFERROR(__xludf.DUMMYFUNCTION("""COMPUTED_VALUE"""),8.34)</f>
        <v>8.34</v>
      </c>
      <c r="D2751" s="1">
        <f ca="1">IFERROR(__xludf.DUMMYFUNCTION("""COMPUTED_VALUE"""),8.19)</f>
        <v>8.19</v>
      </c>
      <c r="E2751" s="1">
        <f ca="1">IFERROR(__xludf.DUMMYFUNCTION("""COMPUTED_VALUE"""),8.28)</f>
        <v>8.2799999999999994</v>
      </c>
      <c r="F2751" s="1">
        <f ca="1">IFERROR(__xludf.DUMMYFUNCTION("""COMPUTED_VALUE"""),631100)</f>
        <v>631100</v>
      </c>
      <c r="I2751" s="1"/>
    </row>
    <row r="2752" spans="1:9">
      <c r="A2752" s="3">
        <f ca="1">IFERROR(__xludf.DUMMYFUNCTION("""COMPUTED_VALUE"""),33192.6666666666)</f>
        <v>33192.666666666599</v>
      </c>
      <c r="B2752" s="1">
        <f ca="1">IFERROR(__xludf.DUMMYFUNCTION("""COMPUTED_VALUE"""),8.22)</f>
        <v>8.2200000000000006</v>
      </c>
      <c r="C2752" s="1">
        <f ca="1">IFERROR(__xludf.DUMMYFUNCTION("""COMPUTED_VALUE"""),8.31)</f>
        <v>8.31</v>
      </c>
      <c r="D2752" s="1">
        <f ca="1">IFERROR(__xludf.DUMMYFUNCTION("""COMPUTED_VALUE"""),8.17)</f>
        <v>8.17</v>
      </c>
      <c r="E2752" s="1">
        <f ca="1">IFERROR(__xludf.DUMMYFUNCTION("""COMPUTED_VALUE"""),8.22)</f>
        <v>8.2200000000000006</v>
      </c>
      <c r="F2752" s="1">
        <f ca="1">IFERROR(__xludf.DUMMYFUNCTION("""COMPUTED_VALUE"""),794900)</f>
        <v>794900</v>
      </c>
      <c r="I2752" s="1"/>
    </row>
    <row r="2753" spans="1:9">
      <c r="A2753" s="3">
        <f ca="1">IFERROR(__xludf.DUMMYFUNCTION("""COMPUTED_VALUE"""),33193.6666666666)</f>
        <v>33193.666666666599</v>
      </c>
      <c r="B2753" s="1">
        <f ca="1">IFERROR(__xludf.DUMMYFUNCTION("""COMPUTED_VALUE"""),8.2)</f>
        <v>8.1999999999999993</v>
      </c>
      <c r="C2753" s="1">
        <f ca="1">IFERROR(__xludf.DUMMYFUNCTION("""COMPUTED_VALUE"""),8.33)</f>
        <v>8.33</v>
      </c>
      <c r="D2753" s="1">
        <f ca="1">IFERROR(__xludf.DUMMYFUNCTION("""COMPUTED_VALUE"""),8.17)</f>
        <v>8.17</v>
      </c>
      <c r="E2753" s="1">
        <f ca="1">IFERROR(__xludf.DUMMYFUNCTION("""COMPUTED_VALUE"""),8.2)</f>
        <v>8.1999999999999993</v>
      </c>
      <c r="F2753" s="1">
        <f ca="1">IFERROR(__xludf.DUMMYFUNCTION("""COMPUTED_VALUE"""),930100)</f>
        <v>930100</v>
      </c>
      <c r="I2753" s="1"/>
    </row>
    <row r="2754" spans="1:9">
      <c r="A2754" s="3">
        <f ca="1">IFERROR(__xludf.DUMMYFUNCTION("""COMPUTED_VALUE"""),33196.6666666666)</f>
        <v>33196.666666666599</v>
      </c>
      <c r="B2754" s="1">
        <f ca="1">IFERROR(__xludf.DUMMYFUNCTION("""COMPUTED_VALUE"""),8.31)</f>
        <v>8.31</v>
      </c>
      <c r="C2754" s="1">
        <f ca="1">IFERROR(__xludf.DUMMYFUNCTION("""COMPUTED_VALUE"""),8.34)</f>
        <v>8.34</v>
      </c>
      <c r="D2754" s="1">
        <f ca="1">IFERROR(__xludf.DUMMYFUNCTION("""COMPUTED_VALUE"""),8.23)</f>
        <v>8.23</v>
      </c>
      <c r="E2754" s="1">
        <f ca="1">IFERROR(__xludf.DUMMYFUNCTION("""COMPUTED_VALUE"""),8.31)</f>
        <v>8.31</v>
      </c>
      <c r="F2754" s="1">
        <f ca="1">IFERROR(__xludf.DUMMYFUNCTION("""COMPUTED_VALUE"""),544100)</f>
        <v>544100</v>
      </c>
      <c r="I2754" s="1"/>
    </row>
    <row r="2755" spans="1:9">
      <c r="A2755" s="3">
        <f ca="1">IFERROR(__xludf.DUMMYFUNCTION("""COMPUTED_VALUE"""),33197.6666666666)</f>
        <v>33197.666666666599</v>
      </c>
      <c r="B2755" s="1">
        <f ca="1">IFERROR(__xludf.DUMMYFUNCTION("""COMPUTED_VALUE"""),8.25)</f>
        <v>8.25</v>
      </c>
      <c r="C2755" s="1">
        <f ca="1">IFERROR(__xludf.DUMMYFUNCTION("""COMPUTED_VALUE"""),8.33)</f>
        <v>8.33</v>
      </c>
      <c r="D2755" s="1">
        <f ca="1">IFERROR(__xludf.DUMMYFUNCTION("""COMPUTED_VALUE"""),8.25)</f>
        <v>8.25</v>
      </c>
      <c r="E2755" s="1">
        <f ca="1">IFERROR(__xludf.DUMMYFUNCTION("""COMPUTED_VALUE"""),8.25)</f>
        <v>8.25</v>
      </c>
      <c r="F2755" s="1">
        <f ca="1">IFERROR(__xludf.DUMMYFUNCTION("""COMPUTED_VALUE"""),562800)</f>
        <v>562800</v>
      </c>
      <c r="I2755" s="1"/>
    </row>
    <row r="2756" spans="1:9">
      <c r="A2756" s="3">
        <f ca="1">IFERROR(__xludf.DUMMYFUNCTION("""COMPUTED_VALUE"""),33198.6666666666)</f>
        <v>33198.666666666599</v>
      </c>
      <c r="B2756" s="1">
        <f ca="1">IFERROR(__xludf.DUMMYFUNCTION("""COMPUTED_VALUE"""),8.25)</f>
        <v>8.25</v>
      </c>
      <c r="C2756" s="1">
        <f ca="1">IFERROR(__xludf.DUMMYFUNCTION("""COMPUTED_VALUE"""),8.28)</f>
        <v>8.2799999999999994</v>
      </c>
      <c r="D2756" s="1">
        <f ca="1">IFERROR(__xludf.DUMMYFUNCTION("""COMPUTED_VALUE"""),8.22)</f>
        <v>8.2200000000000006</v>
      </c>
      <c r="E2756" s="1">
        <f ca="1">IFERROR(__xludf.DUMMYFUNCTION("""COMPUTED_VALUE"""),8.25)</f>
        <v>8.25</v>
      </c>
      <c r="F2756" s="1">
        <f ca="1">IFERROR(__xludf.DUMMYFUNCTION("""COMPUTED_VALUE"""),499500)</f>
        <v>499500</v>
      </c>
      <c r="I2756" s="1"/>
    </row>
    <row r="2757" spans="1:9">
      <c r="A2757" s="3">
        <f ca="1">IFERROR(__xludf.DUMMYFUNCTION("""COMPUTED_VALUE"""),33200.6666666666)</f>
        <v>33200.666666666599</v>
      </c>
      <c r="B2757" s="1">
        <f ca="1">IFERROR(__xludf.DUMMYFUNCTION("""COMPUTED_VALUE"""),8.19)</f>
        <v>8.19</v>
      </c>
      <c r="C2757" s="1">
        <f ca="1">IFERROR(__xludf.DUMMYFUNCTION("""COMPUTED_VALUE"""),8.31)</f>
        <v>8.31</v>
      </c>
      <c r="D2757" s="1">
        <f ca="1">IFERROR(__xludf.DUMMYFUNCTION("""COMPUTED_VALUE"""),8.19)</f>
        <v>8.19</v>
      </c>
      <c r="E2757" s="1">
        <f ca="1">IFERROR(__xludf.DUMMYFUNCTION("""COMPUTED_VALUE"""),8.19)</f>
        <v>8.19</v>
      </c>
      <c r="F2757" s="1">
        <f ca="1">IFERROR(__xludf.DUMMYFUNCTION("""COMPUTED_VALUE"""),197300)</f>
        <v>197300</v>
      </c>
      <c r="I2757" s="1"/>
    </row>
    <row r="2758" spans="1:9">
      <c r="A2758" s="3">
        <f ca="1">IFERROR(__xludf.DUMMYFUNCTION("""COMPUTED_VALUE"""),33203.6666666666)</f>
        <v>33203.666666666599</v>
      </c>
      <c r="B2758" s="1">
        <f ca="1">IFERROR(__xludf.DUMMYFUNCTION("""COMPUTED_VALUE"""),8.17)</f>
        <v>8.17</v>
      </c>
      <c r="C2758" s="1">
        <f ca="1">IFERROR(__xludf.DUMMYFUNCTION("""COMPUTED_VALUE"""),8.19)</f>
        <v>8.19</v>
      </c>
      <c r="D2758" s="1">
        <f ca="1">IFERROR(__xludf.DUMMYFUNCTION("""COMPUTED_VALUE"""),8.08)</f>
        <v>8.08</v>
      </c>
      <c r="E2758" s="1">
        <f ca="1">IFERROR(__xludf.DUMMYFUNCTION("""COMPUTED_VALUE"""),8.17)</f>
        <v>8.17</v>
      </c>
      <c r="F2758" s="1">
        <f ca="1">IFERROR(__xludf.DUMMYFUNCTION("""COMPUTED_VALUE"""),514600)</f>
        <v>514600</v>
      </c>
      <c r="I2758" s="1"/>
    </row>
    <row r="2759" spans="1:9">
      <c r="A2759" s="3">
        <f ca="1">IFERROR(__xludf.DUMMYFUNCTION("""COMPUTED_VALUE"""),33204.6666666666)</f>
        <v>33204.666666666599</v>
      </c>
      <c r="B2759" s="1">
        <f ca="1">IFERROR(__xludf.DUMMYFUNCTION("""COMPUTED_VALUE"""),8.2)</f>
        <v>8.1999999999999993</v>
      </c>
      <c r="C2759" s="1">
        <f ca="1">IFERROR(__xludf.DUMMYFUNCTION("""COMPUTED_VALUE"""),8.3)</f>
        <v>8.3000000000000007</v>
      </c>
      <c r="D2759" s="1">
        <f ca="1">IFERROR(__xludf.DUMMYFUNCTION("""COMPUTED_VALUE"""),8.19)</f>
        <v>8.19</v>
      </c>
      <c r="E2759" s="1">
        <f ca="1">IFERROR(__xludf.DUMMYFUNCTION("""COMPUTED_VALUE"""),8.2)</f>
        <v>8.1999999999999993</v>
      </c>
      <c r="F2759" s="1">
        <f ca="1">IFERROR(__xludf.DUMMYFUNCTION("""COMPUTED_VALUE"""),627800)</f>
        <v>627800</v>
      </c>
      <c r="I2759" s="1"/>
    </row>
    <row r="2760" spans="1:9">
      <c r="A2760" s="3">
        <f ca="1">IFERROR(__xludf.DUMMYFUNCTION("""COMPUTED_VALUE"""),33205.6666666666)</f>
        <v>33205.666666666599</v>
      </c>
      <c r="B2760" s="1">
        <f ca="1">IFERROR(__xludf.DUMMYFUNCTION("""COMPUTED_VALUE"""),8.38)</f>
        <v>8.3800000000000008</v>
      </c>
      <c r="C2760" s="1">
        <f ca="1">IFERROR(__xludf.DUMMYFUNCTION("""COMPUTED_VALUE"""),8.41)</f>
        <v>8.41</v>
      </c>
      <c r="D2760" s="1">
        <f ca="1">IFERROR(__xludf.DUMMYFUNCTION("""COMPUTED_VALUE"""),8.25)</f>
        <v>8.25</v>
      </c>
      <c r="E2760" s="1">
        <f ca="1">IFERROR(__xludf.DUMMYFUNCTION("""COMPUTED_VALUE"""),8.38)</f>
        <v>8.3800000000000008</v>
      </c>
      <c r="F2760" s="1">
        <f ca="1">IFERROR(__xludf.DUMMYFUNCTION("""COMPUTED_VALUE"""),891800)</f>
        <v>891800</v>
      </c>
      <c r="I2760" s="1"/>
    </row>
    <row r="2761" spans="1:9">
      <c r="A2761" s="3">
        <f ca="1">IFERROR(__xludf.DUMMYFUNCTION("""COMPUTED_VALUE"""),33206.6666666666)</f>
        <v>33206.666666666599</v>
      </c>
      <c r="B2761" s="1">
        <f ca="1">IFERROR(__xludf.DUMMYFUNCTION("""COMPUTED_VALUE"""),8.5)</f>
        <v>8.5</v>
      </c>
      <c r="C2761" s="1">
        <f ca="1">IFERROR(__xludf.DUMMYFUNCTION("""COMPUTED_VALUE"""),8.55)</f>
        <v>8.5500000000000007</v>
      </c>
      <c r="D2761" s="1">
        <f ca="1">IFERROR(__xludf.DUMMYFUNCTION("""COMPUTED_VALUE"""),8.39)</f>
        <v>8.39</v>
      </c>
      <c r="E2761" s="1">
        <f ca="1">IFERROR(__xludf.DUMMYFUNCTION("""COMPUTED_VALUE"""),8.5)</f>
        <v>8.5</v>
      </c>
      <c r="F2761" s="1">
        <f ca="1">IFERROR(__xludf.DUMMYFUNCTION("""COMPUTED_VALUE"""),1253500)</f>
        <v>1253500</v>
      </c>
      <c r="I2761" s="1"/>
    </row>
    <row r="2762" spans="1:9">
      <c r="A2762" s="3">
        <f ca="1">IFERROR(__xludf.DUMMYFUNCTION("""COMPUTED_VALUE"""),33207.6666666666)</f>
        <v>33207.666666666599</v>
      </c>
      <c r="B2762" s="1">
        <f ca="1">IFERROR(__xludf.DUMMYFUNCTION("""COMPUTED_VALUE"""),8.72)</f>
        <v>8.7200000000000006</v>
      </c>
      <c r="C2762" s="1">
        <f ca="1">IFERROR(__xludf.DUMMYFUNCTION("""COMPUTED_VALUE"""),8.8)</f>
        <v>8.8000000000000007</v>
      </c>
      <c r="D2762" s="1">
        <f ca="1">IFERROR(__xludf.DUMMYFUNCTION("""COMPUTED_VALUE"""),8.5)</f>
        <v>8.5</v>
      </c>
      <c r="E2762" s="1">
        <f ca="1">IFERROR(__xludf.DUMMYFUNCTION("""COMPUTED_VALUE"""),8.72)</f>
        <v>8.7200000000000006</v>
      </c>
      <c r="F2762" s="1">
        <f ca="1">IFERROR(__xludf.DUMMYFUNCTION("""COMPUTED_VALUE"""),1247800)</f>
        <v>1247800</v>
      </c>
      <c r="I2762" s="1"/>
    </row>
    <row r="2763" spans="1:9">
      <c r="A2763" s="3">
        <f ca="1">IFERROR(__xludf.DUMMYFUNCTION("""COMPUTED_VALUE"""),33210.6666666666)</f>
        <v>33210.666666666599</v>
      </c>
      <c r="B2763" s="1">
        <f ca="1">IFERROR(__xludf.DUMMYFUNCTION("""COMPUTED_VALUE"""),8.88)</f>
        <v>8.8800000000000008</v>
      </c>
      <c r="C2763" s="1">
        <f ca="1">IFERROR(__xludf.DUMMYFUNCTION("""COMPUTED_VALUE"""),8.89)</f>
        <v>8.89</v>
      </c>
      <c r="D2763" s="1">
        <f ca="1">IFERROR(__xludf.DUMMYFUNCTION("""COMPUTED_VALUE"""),8.81)</f>
        <v>8.81</v>
      </c>
      <c r="E2763" s="1">
        <f ca="1">IFERROR(__xludf.DUMMYFUNCTION("""COMPUTED_VALUE"""),8.88)</f>
        <v>8.8800000000000008</v>
      </c>
      <c r="F2763" s="1">
        <f ca="1">IFERROR(__xludf.DUMMYFUNCTION("""COMPUTED_VALUE"""),993700)</f>
        <v>993700</v>
      </c>
      <c r="I2763" s="1"/>
    </row>
    <row r="2764" spans="1:9">
      <c r="A2764" s="3">
        <f ca="1">IFERROR(__xludf.DUMMYFUNCTION("""COMPUTED_VALUE"""),33211.6666666666)</f>
        <v>33211.666666666599</v>
      </c>
      <c r="B2764" s="1">
        <f ca="1">IFERROR(__xludf.DUMMYFUNCTION("""COMPUTED_VALUE"""),8.88)</f>
        <v>8.8800000000000008</v>
      </c>
      <c r="C2764" s="1">
        <f ca="1">IFERROR(__xludf.DUMMYFUNCTION("""COMPUTED_VALUE"""),8.94)</f>
        <v>8.94</v>
      </c>
      <c r="D2764" s="1">
        <f ca="1">IFERROR(__xludf.DUMMYFUNCTION("""COMPUTED_VALUE"""),8.78)</f>
        <v>8.7799999999999994</v>
      </c>
      <c r="E2764" s="1">
        <f ca="1">IFERROR(__xludf.DUMMYFUNCTION("""COMPUTED_VALUE"""),8.88)</f>
        <v>8.8800000000000008</v>
      </c>
      <c r="F2764" s="1">
        <f ca="1">IFERROR(__xludf.DUMMYFUNCTION("""COMPUTED_VALUE"""),793200)</f>
        <v>793200</v>
      </c>
      <c r="I2764" s="1"/>
    </row>
    <row r="2765" spans="1:9">
      <c r="A2765" s="3">
        <f ca="1">IFERROR(__xludf.DUMMYFUNCTION("""COMPUTED_VALUE"""),33212.6666666666)</f>
        <v>33212.666666666599</v>
      </c>
      <c r="B2765" s="1">
        <f ca="1">IFERROR(__xludf.DUMMYFUNCTION("""COMPUTED_VALUE"""),8.81)</f>
        <v>8.81</v>
      </c>
      <c r="C2765" s="1">
        <f ca="1">IFERROR(__xludf.DUMMYFUNCTION("""COMPUTED_VALUE"""),8.86)</f>
        <v>8.86</v>
      </c>
      <c r="D2765" s="1">
        <f ca="1">IFERROR(__xludf.DUMMYFUNCTION("""COMPUTED_VALUE"""),8.77)</f>
        <v>8.77</v>
      </c>
      <c r="E2765" s="1">
        <f ca="1">IFERROR(__xludf.DUMMYFUNCTION("""COMPUTED_VALUE"""),8.81)</f>
        <v>8.81</v>
      </c>
      <c r="F2765" s="1">
        <f ca="1">IFERROR(__xludf.DUMMYFUNCTION("""COMPUTED_VALUE"""),575700)</f>
        <v>575700</v>
      </c>
      <c r="I2765" s="1"/>
    </row>
    <row r="2766" spans="1:9">
      <c r="A2766" s="3">
        <f ca="1">IFERROR(__xludf.DUMMYFUNCTION("""COMPUTED_VALUE"""),33213.6666666666)</f>
        <v>33213.666666666599</v>
      </c>
      <c r="B2766" s="1">
        <f ca="1">IFERROR(__xludf.DUMMYFUNCTION("""COMPUTED_VALUE"""),8.83)</f>
        <v>8.83</v>
      </c>
      <c r="C2766" s="1">
        <f ca="1">IFERROR(__xludf.DUMMYFUNCTION("""COMPUTED_VALUE"""),9)</f>
        <v>9</v>
      </c>
      <c r="D2766" s="1">
        <f ca="1">IFERROR(__xludf.DUMMYFUNCTION("""COMPUTED_VALUE"""),8.83)</f>
        <v>8.83</v>
      </c>
      <c r="E2766" s="1">
        <f ca="1">IFERROR(__xludf.DUMMYFUNCTION("""COMPUTED_VALUE"""),8.83)</f>
        <v>8.83</v>
      </c>
      <c r="F2766" s="1">
        <f ca="1">IFERROR(__xludf.DUMMYFUNCTION("""COMPUTED_VALUE"""),1233200)</f>
        <v>1233200</v>
      </c>
      <c r="I2766" s="1"/>
    </row>
    <row r="2767" spans="1:9">
      <c r="A2767" s="3">
        <f ca="1">IFERROR(__xludf.DUMMYFUNCTION("""COMPUTED_VALUE"""),33214.6666666666)</f>
        <v>33214.666666666599</v>
      </c>
      <c r="B2767" s="1">
        <f ca="1">IFERROR(__xludf.DUMMYFUNCTION("""COMPUTED_VALUE"""),8.84)</f>
        <v>8.84</v>
      </c>
      <c r="C2767" s="1">
        <f ca="1">IFERROR(__xludf.DUMMYFUNCTION("""COMPUTED_VALUE"""),8.86)</f>
        <v>8.86</v>
      </c>
      <c r="D2767" s="1">
        <f ca="1">IFERROR(__xludf.DUMMYFUNCTION("""COMPUTED_VALUE"""),8.73)</f>
        <v>8.73</v>
      </c>
      <c r="E2767" s="1">
        <f ca="1">IFERROR(__xludf.DUMMYFUNCTION("""COMPUTED_VALUE"""),8.84)</f>
        <v>8.84</v>
      </c>
      <c r="F2767" s="1">
        <f ca="1">IFERROR(__xludf.DUMMYFUNCTION("""COMPUTED_VALUE"""),802000)</f>
        <v>802000</v>
      </c>
      <c r="I2767" s="1"/>
    </row>
    <row r="2768" spans="1:9">
      <c r="A2768" s="3">
        <f ca="1">IFERROR(__xludf.DUMMYFUNCTION("""COMPUTED_VALUE"""),33217.6666666666)</f>
        <v>33217.666666666599</v>
      </c>
      <c r="B2768" s="1">
        <f ca="1">IFERROR(__xludf.DUMMYFUNCTION("""COMPUTED_VALUE"""),8.83)</f>
        <v>8.83</v>
      </c>
      <c r="C2768" s="1">
        <f ca="1">IFERROR(__xludf.DUMMYFUNCTION("""COMPUTED_VALUE"""),8.84)</f>
        <v>8.84</v>
      </c>
      <c r="D2768" s="1">
        <f ca="1">IFERROR(__xludf.DUMMYFUNCTION("""COMPUTED_VALUE"""),8.73)</f>
        <v>8.73</v>
      </c>
      <c r="E2768" s="1">
        <f ca="1">IFERROR(__xludf.DUMMYFUNCTION("""COMPUTED_VALUE"""),8.83)</f>
        <v>8.83</v>
      </c>
      <c r="F2768" s="1">
        <f ca="1">IFERROR(__xludf.DUMMYFUNCTION("""COMPUTED_VALUE"""),439200)</f>
        <v>439200</v>
      </c>
      <c r="I2768" s="1"/>
    </row>
    <row r="2769" spans="1:9">
      <c r="A2769" s="3">
        <f ca="1">IFERROR(__xludf.DUMMYFUNCTION("""COMPUTED_VALUE"""),33218.6666666666)</f>
        <v>33218.666666666599</v>
      </c>
      <c r="B2769" s="1">
        <f ca="1">IFERROR(__xludf.DUMMYFUNCTION("""COMPUTED_VALUE"""),8.78)</f>
        <v>8.7799999999999994</v>
      </c>
      <c r="C2769" s="1">
        <f ca="1">IFERROR(__xludf.DUMMYFUNCTION("""COMPUTED_VALUE"""),8.81)</f>
        <v>8.81</v>
      </c>
      <c r="D2769" s="1">
        <f ca="1">IFERROR(__xludf.DUMMYFUNCTION("""COMPUTED_VALUE"""),8.73)</f>
        <v>8.73</v>
      </c>
      <c r="E2769" s="1">
        <f ca="1">IFERROR(__xludf.DUMMYFUNCTION("""COMPUTED_VALUE"""),8.78)</f>
        <v>8.7799999999999994</v>
      </c>
      <c r="F2769" s="1">
        <f ca="1">IFERROR(__xludf.DUMMYFUNCTION("""COMPUTED_VALUE"""),386700)</f>
        <v>386700</v>
      </c>
      <c r="I2769" s="1"/>
    </row>
    <row r="2770" spans="1:9">
      <c r="A2770" s="3">
        <f ca="1">IFERROR(__xludf.DUMMYFUNCTION("""COMPUTED_VALUE"""),33219.6666666666)</f>
        <v>33219.666666666599</v>
      </c>
      <c r="B2770" s="1">
        <f ca="1">IFERROR(__xludf.DUMMYFUNCTION("""COMPUTED_VALUE"""),8.92)</f>
        <v>8.92</v>
      </c>
      <c r="C2770" s="1">
        <f ca="1">IFERROR(__xludf.DUMMYFUNCTION("""COMPUTED_VALUE"""),8.94)</f>
        <v>8.94</v>
      </c>
      <c r="D2770" s="1">
        <f ca="1">IFERROR(__xludf.DUMMYFUNCTION("""COMPUTED_VALUE"""),8.78)</f>
        <v>8.7799999999999994</v>
      </c>
      <c r="E2770" s="1">
        <f ca="1">IFERROR(__xludf.DUMMYFUNCTION("""COMPUTED_VALUE"""),8.92)</f>
        <v>8.92</v>
      </c>
      <c r="F2770" s="1">
        <f ca="1">IFERROR(__xludf.DUMMYFUNCTION("""COMPUTED_VALUE"""),571000)</f>
        <v>571000</v>
      </c>
      <c r="I2770" s="1"/>
    </row>
    <row r="2771" spans="1:9">
      <c r="A2771" s="3">
        <f ca="1">IFERROR(__xludf.DUMMYFUNCTION("""COMPUTED_VALUE"""),33220.6666666666)</f>
        <v>33220.666666666599</v>
      </c>
      <c r="B2771" s="1">
        <f ca="1">IFERROR(__xludf.DUMMYFUNCTION("""COMPUTED_VALUE"""),8.84)</f>
        <v>8.84</v>
      </c>
      <c r="C2771" s="1">
        <f ca="1">IFERROR(__xludf.DUMMYFUNCTION("""COMPUTED_VALUE"""),8.94)</f>
        <v>8.94</v>
      </c>
      <c r="D2771" s="1">
        <f ca="1">IFERROR(__xludf.DUMMYFUNCTION("""COMPUTED_VALUE"""),8.8)</f>
        <v>8.8000000000000007</v>
      </c>
      <c r="E2771" s="1">
        <f ca="1">IFERROR(__xludf.DUMMYFUNCTION("""COMPUTED_VALUE"""),8.84)</f>
        <v>8.84</v>
      </c>
      <c r="F2771" s="1">
        <f ca="1">IFERROR(__xludf.DUMMYFUNCTION("""COMPUTED_VALUE"""),590600)</f>
        <v>590600</v>
      </c>
      <c r="I2771" s="1"/>
    </row>
    <row r="2772" spans="1:9">
      <c r="A2772" s="3">
        <f ca="1">IFERROR(__xludf.DUMMYFUNCTION("""COMPUTED_VALUE"""),33221.6666666666)</f>
        <v>33221.666666666599</v>
      </c>
      <c r="B2772" s="1">
        <f ca="1">IFERROR(__xludf.DUMMYFUNCTION("""COMPUTED_VALUE"""),8.77)</f>
        <v>8.77</v>
      </c>
      <c r="C2772" s="1">
        <f ca="1">IFERROR(__xludf.DUMMYFUNCTION("""COMPUTED_VALUE"""),8.81)</f>
        <v>8.81</v>
      </c>
      <c r="D2772" s="1">
        <f ca="1">IFERROR(__xludf.DUMMYFUNCTION("""COMPUTED_VALUE"""),8.69)</f>
        <v>8.69</v>
      </c>
      <c r="E2772" s="1">
        <f ca="1">IFERROR(__xludf.DUMMYFUNCTION("""COMPUTED_VALUE"""),8.77)</f>
        <v>8.77</v>
      </c>
      <c r="F2772" s="1">
        <f ca="1">IFERROR(__xludf.DUMMYFUNCTION("""COMPUTED_VALUE"""),469800)</f>
        <v>469800</v>
      </c>
      <c r="I2772" s="1"/>
    </row>
    <row r="2773" spans="1:9">
      <c r="A2773" s="3">
        <f ca="1">IFERROR(__xludf.DUMMYFUNCTION("""COMPUTED_VALUE"""),33224.6666666666)</f>
        <v>33224.666666666599</v>
      </c>
      <c r="B2773" s="1">
        <f ca="1">IFERROR(__xludf.DUMMYFUNCTION("""COMPUTED_VALUE"""),8.8)</f>
        <v>8.8000000000000007</v>
      </c>
      <c r="C2773" s="1">
        <f ca="1">IFERROR(__xludf.DUMMYFUNCTION("""COMPUTED_VALUE"""),8.8)</f>
        <v>8.8000000000000007</v>
      </c>
      <c r="D2773" s="1">
        <f ca="1">IFERROR(__xludf.DUMMYFUNCTION("""COMPUTED_VALUE"""),8.7)</f>
        <v>8.6999999999999993</v>
      </c>
      <c r="E2773" s="1">
        <f ca="1">IFERROR(__xludf.DUMMYFUNCTION("""COMPUTED_VALUE"""),8.8)</f>
        <v>8.8000000000000007</v>
      </c>
      <c r="F2773" s="1">
        <f ca="1">IFERROR(__xludf.DUMMYFUNCTION("""COMPUTED_VALUE"""),353500)</f>
        <v>353500</v>
      </c>
      <c r="I2773" s="1"/>
    </row>
    <row r="2774" spans="1:9">
      <c r="A2774" s="3">
        <f ca="1">IFERROR(__xludf.DUMMYFUNCTION("""COMPUTED_VALUE"""),33225.6666666666)</f>
        <v>33225.666666666599</v>
      </c>
      <c r="B2774" s="1">
        <f ca="1">IFERROR(__xludf.DUMMYFUNCTION("""COMPUTED_VALUE"""),8.95)</f>
        <v>8.9499999999999993</v>
      </c>
      <c r="C2774" s="1">
        <f ca="1">IFERROR(__xludf.DUMMYFUNCTION("""COMPUTED_VALUE"""),8.97)</f>
        <v>8.9700000000000006</v>
      </c>
      <c r="D2774" s="1">
        <f ca="1">IFERROR(__xludf.DUMMYFUNCTION("""COMPUTED_VALUE"""),8.78)</f>
        <v>8.7799999999999994</v>
      </c>
      <c r="E2774" s="1">
        <f ca="1">IFERROR(__xludf.DUMMYFUNCTION("""COMPUTED_VALUE"""),8.95)</f>
        <v>8.9499999999999993</v>
      </c>
      <c r="F2774" s="1">
        <f ca="1">IFERROR(__xludf.DUMMYFUNCTION("""COMPUTED_VALUE"""),722200)</f>
        <v>722200</v>
      </c>
      <c r="I2774" s="1"/>
    </row>
    <row r="2775" spans="1:9">
      <c r="A2775" s="3">
        <f ca="1">IFERROR(__xludf.DUMMYFUNCTION("""COMPUTED_VALUE"""),33226.6666666666)</f>
        <v>33226.666666666599</v>
      </c>
      <c r="B2775" s="1">
        <f ca="1">IFERROR(__xludf.DUMMYFUNCTION("""COMPUTED_VALUE"""),8.95)</f>
        <v>8.9499999999999993</v>
      </c>
      <c r="C2775" s="1">
        <f ca="1">IFERROR(__xludf.DUMMYFUNCTION("""COMPUTED_VALUE"""),9.02)</f>
        <v>9.02</v>
      </c>
      <c r="D2775" s="1">
        <f ca="1">IFERROR(__xludf.DUMMYFUNCTION("""COMPUTED_VALUE"""),8.89)</f>
        <v>8.89</v>
      </c>
      <c r="E2775" s="1">
        <f ca="1">IFERROR(__xludf.DUMMYFUNCTION("""COMPUTED_VALUE"""),8.95)</f>
        <v>8.9499999999999993</v>
      </c>
      <c r="F2775" s="1">
        <f ca="1">IFERROR(__xludf.DUMMYFUNCTION("""COMPUTED_VALUE"""),687500)</f>
        <v>687500</v>
      </c>
      <c r="I2775" s="1"/>
    </row>
    <row r="2776" spans="1:9">
      <c r="A2776" s="3">
        <f ca="1">IFERROR(__xludf.DUMMYFUNCTION("""COMPUTED_VALUE"""),33227.6666666666)</f>
        <v>33227.666666666599</v>
      </c>
      <c r="B2776" s="1">
        <f ca="1">IFERROR(__xludf.DUMMYFUNCTION("""COMPUTED_VALUE"""),8.94)</f>
        <v>8.94</v>
      </c>
      <c r="C2776" s="1">
        <f ca="1">IFERROR(__xludf.DUMMYFUNCTION("""COMPUTED_VALUE"""),8.97)</f>
        <v>8.9700000000000006</v>
      </c>
      <c r="D2776" s="1">
        <f ca="1">IFERROR(__xludf.DUMMYFUNCTION("""COMPUTED_VALUE"""),8.86)</f>
        <v>8.86</v>
      </c>
      <c r="E2776" s="1">
        <f ca="1">IFERROR(__xludf.DUMMYFUNCTION("""COMPUTED_VALUE"""),8.94)</f>
        <v>8.94</v>
      </c>
      <c r="F2776" s="1">
        <f ca="1">IFERROR(__xludf.DUMMYFUNCTION("""COMPUTED_VALUE"""),599600)</f>
        <v>599600</v>
      </c>
      <c r="I2776" s="1"/>
    </row>
    <row r="2777" spans="1:9">
      <c r="A2777" s="3">
        <f ca="1">IFERROR(__xludf.DUMMYFUNCTION("""COMPUTED_VALUE"""),33228.6666666666)</f>
        <v>33228.666666666599</v>
      </c>
      <c r="B2777" s="1">
        <f ca="1">IFERROR(__xludf.DUMMYFUNCTION("""COMPUTED_VALUE"""),8.89)</f>
        <v>8.89</v>
      </c>
      <c r="C2777" s="1">
        <f ca="1">IFERROR(__xludf.DUMMYFUNCTION("""COMPUTED_VALUE"""),8.95)</f>
        <v>8.9499999999999993</v>
      </c>
      <c r="D2777" s="1">
        <f ca="1">IFERROR(__xludf.DUMMYFUNCTION("""COMPUTED_VALUE"""),8.84)</f>
        <v>8.84</v>
      </c>
      <c r="E2777" s="1">
        <f ca="1">IFERROR(__xludf.DUMMYFUNCTION("""COMPUTED_VALUE"""),8.89)</f>
        <v>8.89</v>
      </c>
      <c r="F2777" s="1">
        <f ca="1">IFERROR(__xludf.DUMMYFUNCTION("""COMPUTED_VALUE"""),1443400)</f>
        <v>1443400</v>
      </c>
      <c r="I2777" s="1"/>
    </row>
    <row r="2778" spans="1:9">
      <c r="A2778" s="3">
        <f ca="1">IFERROR(__xludf.DUMMYFUNCTION("""COMPUTED_VALUE"""),33231.6666666666)</f>
        <v>33231.666666666599</v>
      </c>
      <c r="B2778" s="1">
        <f ca="1">IFERROR(__xludf.DUMMYFUNCTION("""COMPUTED_VALUE"""),8.89)</f>
        <v>8.89</v>
      </c>
      <c r="C2778" s="1">
        <f ca="1">IFERROR(__xludf.DUMMYFUNCTION("""COMPUTED_VALUE"""),8.92)</f>
        <v>8.92</v>
      </c>
      <c r="D2778" s="1">
        <f ca="1">IFERROR(__xludf.DUMMYFUNCTION("""COMPUTED_VALUE"""),8.86)</f>
        <v>8.86</v>
      </c>
      <c r="E2778" s="1">
        <f ca="1">IFERROR(__xludf.DUMMYFUNCTION("""COMPUTED_VALUE"""),8.89)</f>
        <v>8.89</v>
      </c>
      <c r="F2778" s="1">
        <f ca="1">IFERROR(__xludf.DUMMYFUNCTION("""COMPUTED_VALUE"""),99500)</f>
        <v>99500</v>
      </c>
      <c r="I2778" s="1"/>
    </row>
    <row r="2779" spans="1:9">
      <c r="A2779" s="3">
        <f ca="1">IFERROR(__xludf.DUMMYFUNCTION("""COMPUTED_VALUE"""),33233.6666666666)</f>
        <v>33233.666666666599</v>
      </c>
      <c r="B2779" s="1">
        <f ca="1">IFERROR(__xludf.DUMMYFUNCTION("""COMPUTED_VALUE"""),8.92)</f>
        <v>8.92</v>
      </c>
      <c r="C2779" s="1">
        <f ca="1">IFERROR(__xludf.DUMMYFUNCTION("""COMPUTED_VALUE"""),8.95)</f>
        <v>8.9499999999999993</v>
      </c>
      <c r="D2779" s="1">
        <f ca="1">IFERROR(__xludf.DUMMYFUNCTION("""COMPUTED_VALUE"""),8.89)</f>
        <v>8.89</v>
      </c>
      <c r="E2779" s="1">
        <f ca="1">IFERROR(__xludf.DUMMYFUNCTION("""COMPUTED_VALUE"""),8.92)</f>
        <v>8.92</v>
      </c>
      <c r="F2779" s="1">
        <f ca="1">IFERROR(__xludf.DUMMYFUNCTION("""COMPUTED_VALUE"""),154000)</f>
        <v>154000</v>
      </c>
      <c r="I2779" s="1"/>
    </row>
    <row r="2780" spans="1:9">
      <c r="A2780" s="3">
        <f ca="1">IFERROR(__xludf.DUMMYFUNCTION("""COMPUTED_VALUE"""),33234.6666666666)</f>
        <v>33234.666666666599</v>
      </c>
      <c r="B2780" s="1">
        <f ca="1">IFERROR(__xludf.DUMMYFUNCTION("""COMPUTED_VALUE"""),8.84)</f>
        <v>8.84</v>
      </c>
      <c r="C2780" s="1">
        <f ca="1">IFERROR(__xludf.DUMMYFUNCTION("""COMPUTED_VALUE"""),8.98)</f>
        <v>8.98</v>
      </c>
      <c r="D2780" s="1">
        <f ca="1">IFERROR(__xludf.DUMMYFUNCTION("""COMPUTED_VALUE"""),8.84)</f>
        <v>8.84</v>
      </c>
      <c r="E2780" s="1">
        <f ca="1">IFERROR(__xludf.DUMMYFUNCTION("""COMPUTED_VALUE"""),8.84)</f>
        <v>8.84</v>
      </c>
      <c r="F2780" s="1">
        <f ca="1">IFERROR(__xludf.DUMMYFUNCTION("""COMPUTED_VALUE"""),296900)</f>
        <v>296900</v>
      </c>
      <c r="I2780" s="1"/>
    </row>
    <row r="2781" spans="1:9">
      <c r="A2781" s="3">
        <f ca="1">IFERROR(__xludf.DUMMYFUNCTION("""COMPUTED_VALUE"""),33235.6666666666)</f>
        <v>33235.666666666599</v>
      </c>
      <c r="B2781" s="1">
        <f ca="1">IFERROR(__xludf.DUMMYFUNCTION("""COMPUTED_VALUE"""),8.88)</f>
        <v>8.8800000000000008</v>
      </c>
      <c r="C2781" s="1">
        <f ca="1">IFERROR(__xludf.DUMMYFUNCTION("""COMPUTED_VALUE"""),8.88)</f>
        <v>8.8800000000000008</v>
      </c>
      <c r="D2781" s="1">
        <f ca="1">IFERROR(__xludf.DUMMYFUNCTION("""COMPUTED_VALUE"""),8.81)</f>
        <v>8.81</v>
      </c>
      <c r="E2781" s="1">
        <f ca="1">IFERROR(__xludf.DUMMYFUNCTION("""COMPUTED_VALUE"""),8.88)</f>
        <v>8.8800000000000008</v>
      </c>
      <c r="F2781" s="1">
        <f ca="1">IFERROR(__xludf.DUMMYFUNCTION("""COMPUTED_VALUE"""),213400)</f>
        <v>213400</v>
      </c>
      <c r="I2781" s="1"/>
    </row>
    <row r="2782" spans="1:9">
      <c r="A2782" s="3">
        <f ca="1">IFERROR(__xludf.DUMMYFUNCTION("""COMPUTED_VALUE"""),33238.6666666666)</f>
        <v>33238.666666666599</v>
      </c>
      <c r="B2782" s="1">
        <f ca="1">IFERROR(__xludf.DUMMYFUNCTION("""COMPUTED_VALUE"""),8.97)</f>
        <v>8.9700000000000006</v>
      </c>
      <c r="C2782" s="1">
        <f ca="1">IFERROR(__xludf.DUMMYFUNCTION("""COMPUTED_VALUE"""),8.97)</f>
        <v>8.9700000000000006</v>
      </c>
      <c r="D2782" s="1">
        <f ca="1">IFERROR(__xludf.DUMMYFUNCTION("""COMPUTED_VALUE"""),8.84)</f>
        <v>8.84</v>
      </c>
      <c r="E2782" s="1">
        <f ca="1">IFERROR(__xludf.DUMMYFUNCTION("""COMPUTED_VALUE"""),8.97)</f>
        <v>8.9700000000000006</v>
      </c>
      <c r="F2782" s="1">
        <f ca="1">IFERROR(__xludf.DUMMYFUNCTION("""COMPUTED_VALUE"""),292700)</f>
        <v>292700</v>
      </c>
      <c r="I2782" s="1"/>
    </row>
    <row r="2783" spans="1:9"/>
    <row r="2784" spans="1:9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2772C-099A-4CD8-A2E7-28746F56C8BB}">
  <dimension ref="A1:B2802"/>
  <sheetViews>
    <sheetView tabSelected="1" workbookViewId="0">
      <selection activeCell="G28" sqref="G28"/>
    </sheetView>
  </sheetViews>
  <sheetFormatPr defaultRowHeight="12.75"/>
  <cols>
    <col min="1" max="1" width="28.42578125" customWidth="1"/>
  </cols>
  <sheetData>
    <row r="1" spans="1:2" ht="14.25">
      <c r="A1" s="2" t="s">
        <v>1</v>
      </c>
      <c r="B1" s="1" t="s">
        <v>0</v>
      </c>
    </row>
    <row r="2" spans="1:2" ht="14.25">
      <c r="A2" s="4">
        <f ca="1">IFERROR(__xludf.DUMMYFUNCTION("""COMPUTED_VALUE"""),29222.6666666666)</f>
        <v>29222.666666666599</v>
      </c>
      <c r="B2" s="1">
        <f ca="1">IFERROR(__xludf.DUMMYFUNCTION("""COMPUTED_VALUE"""),105.76)</f>
        <v>105.76</v>
      </c>
    </row>
    <row r="3" spans="1:2">
      <c r="A3" s="3">
        <f ca="1">IFERROR(__xludf.DUMMYFUNCTION("""COMPUTED_VALUE"""),29223.6666666666)</f>
        <v>29223.666666666599</v>
      </c>
      <c r="B3" s="1">
        <f ca="1">IFERROR(__xludf.DUMMYFUNCTION("""COMPUTED_VALUE"""),105.22)</f>
        <v>105.22</v>
      </c>
    </row>
    <row r="4" spans="1:2">
      <c r="A4" s="3">
        <f ca="1">IFERROR(__xludf.DUMMYFUNCTION("""COMPUTED_VALUE"""),29224.6666666666)</f>
        <v>29224.666666666599</v>
      </c>
      <c r="B4" s="1">
        <f ca="1">IFERROR(__xludf.DUMMYFUNCTION("""COMPUTED_VALUE"""),106.52)</f>
        <v>106.52</v>
      </c>
    </row>
    <row r="5" spans="1:2">
      <c r="A5" s="3">
        <f ca="1">IFERROR(__xludf.DUMMYFUNCTION("""COMPUTED_VALUE"""),29227.6666666666)</f>
        <v>29227.666666666599</v>
      </c>
      <c r="B5" s="1">
        <f ca="1">IFERROR(__xludf.DUMMYFUNCTION("""COMPUTED_VALUE"""),106.81)</f>
        <v>106.81</v>
      </c>
    </row>
    <row r="6" spans="1:2">
      <c r="A6" s="3">
        <f ca="1">IFERROR(__xludf.DUMMYFUNCTION("""COMPUTED_VALUE"""),29228.6666666666)</f>
        <v>29228.666666666599</v>
      </c>
      <c r="B6" s="1">
        <f ca="1">IFERROR(__xludf.DUMMYFUNCTION("""COMPUTED_VALUE"""),108.95)</f>
        <v>108.95</v>
      </c>
    </row>
    <row r="7" spans="1:2">
      <c r="A7" s="3">
        <f ca="1">IFERROR(__xludf.DUMMYFUNCTION("""COMPUTED_VALUE"""),29229.6666666666)</f>
        <v>29229.666666666599</v>
      </c>
      <c r="B7" s="1">
        <f ca="1">IFERROR(__xludf.DUMMYFUNCTION("""COMPUTED_VALUE"""),109.05)</f>
        <v>109.05</v>
      </c>
    </row>
    <row r="8" spans="1:2">
      <c r="A8" s="3">
        <f ca="1">IFERROR(__xludf.DUMMYFUNCTION("""COMPUTED_VALUE"""),29230.6666666666)</f>
        <v>29230.666666666599</v>
      </c>
      <c r="B8" s="1">
        <f ca="1">IFERROR(__xludf.DUMMYFUNCTION("""COMPUTED_VALUE"""),109.89)</f>
        <v>109.89</v>
      </c>
    </row>
    <row r="9" spans="1:2">
      <c r="A9" s="3">
        <f ca="1">IFERROR(__xludf.DUMMYFUNCTION("""COMPUTED_VALUE"""),29231.6666666666)</f>
        <v>29231.666666666599</v>
      </c>
      <c r="B9" s="1">
        <f ca="1">IFERROR(__xludf.DUMMYFUNCTION("""COMPUTED_VALUE"""),109.92)</f>
        <v>109.92</v>
      </c>
    </row>
    <row r="10" spans="1:2">
      <c r="A10" s="3">
        <f ca="1">IFERROR(__xludf.DUMMYFUNCTION("""COMPUTED_VALUE"""),29234.6666666666)</f>
        <v>29234.666666666599</v>
      </c>
      <c r="B10" s="1">
        <f ca="1">IFERROR(__xludf.DUMMYFUNCTION("""COMPUTED_VALUE"""),110.38)</f>
        <v>110.38</v>
      </c>
    </row>
    <row r="11" spans="1:2">
      <c r="A11" s="3">
        <f ca="1">IFERROR(__xludf.DUMMYFUNCTION("""COMPUTED_VALUE"""),29235.6666666666)</f>
        <v>29235.666666666599</v>
      </c>
      <c r="B11" s="1">
        <f ca="1">IFERROR(__xludf.DUMMYFUNCTION("""COMPUTED_VALUE"""),111.14)</f>
        <v>111.14</v>
      </c>
    </row>
    <row r="12" spans="1:2">
      <c r="A12" s="3">
        <f ca="1">IFERROR(__xludf.DUMMYFUNCTION("""COMPUTED_VALUE"""),29236.6666666666)</f>
        <v>29236.666666666599</v>
      </c>
      <c r="B12" s="1">
        <f ca="1">IFERROR(__xludf.DUMMYFUNCTION("""COMPUTED_VALUE"""),111.05)</f>
        <v>111.05</v>
      </c>
    </row>
    <row r="13" spans="1:2">
      <c r="A13" s="3">
        <f ca="1">IFERROR(__xludf.DUMMYFUNCTION("""COMPUTED_VALUE"""),29237.6666666666)</f>
        <v>29237.666666666599</v>
      </c>
      <c r="B13" s="1">
        <f ca="1">IFERROR(__xludf.DUMMYFUNCTION("""COMPUTED_VALUE"""),110.7)</f>
        <v>110.7</v>
      </c>
    </row>
    <row r="14" spans="1:2">
      <c r="A14" s="3">
        <f ca="1">IFERROR(__xludf.DUMMYFUNCTION("""COMPUTED_VALUE"""),29238.6666666666)</f>
        <v>29238.666666666599</v>
      </c>
      <c r="B14" s="1">
        <f ca="1">IFERROR(__xludf.DUMMYFUNCTION("""COMPUTED_VALUE"""),111.07)</f>
        <v>111.07</v>
      </c>
    </row>
    <row r="15" spans="1:2">
      <c r="A15" s="3">
        <f ca="1">IFERROR(__xludf.DUMMYFUNCTION("""COMPUTED_VALUE"""),29241.6666666666)</f>
        <v>29241.666666666599</v>
      </c>
      <c r="B15" s="1">
        <f ca="1">IFERROR(__xludf.DUMMYFUNCTION("""COMPUTED_VALUE"""),112.1)</f>
        <v>112.1</v>
      </c>
    </row>
    <row r="16" spans="1:2">
      <c r="A16" s="3">
        <f ca="1">IFERROR(__xludf.DUMMYFUNCTION("""COMPUTED_VALUE"""),29242.6666666666)</f>
        <v>29242.666666666599</v>
      </c>
      <c r="B16" s="1">
        <f ca="1">IFERROR(__xludf.DUMMYFUNCTION("""COMPUTED_VALUE"""),111.51)</f>
        <v>111.51</v>
      </c>
    </row>
    <row r="17" spans="1:2">
      <c r="A17" s="3">
        <f ca="1">IFERROR(__xludf.DUMMYFUNCTION("""COMPUTED_VALUE"""),29243.6666666666)</f>
        <v>29243.666666666599</v>
      </c>
      <c r="B17" s="1">
        <f ca="1">IFERROR(__xludf.DUMMYFUNCTION("""COMPUTED_VALUE"""),113.44)</f>
        <v>113.44</v>
      </c>
    </row>
    <row r="18" spans="1:2">
      <c r="A18" s="3">
        <f ca="1">IFERROR(__xludf.DUMMYFUNCTION("""COMPUTED_VALUE"""),29244.6666666666)</f>
        <v>29244.666666666599</v>
      </c>
      <c r="B18" s="1">
        <f ca="1">IFERROR(__xludf.DUMMYFUNCTION("""COMPUTED_VALUE"""),113.7)</f>
        <v>113.7</v>
      </c>
    </row>
    <row r="19" spans="1:2">
      <c r="A19" s="3">
        <f ca="1">IFERROR(__xludf.DUMMYFUNCTION("""COMPUTED_VALUE"""),29245.6666666666)</f>
        <v>29245.666666666599</v>
      </c>
      <c r="B19" s="1">
        <f ca="1">IFERROR(__xludf.DUMMYFUNCTION("""COMPUTED_VALUE"""),113.61)</f>
        <v>113.61</v>
      </c>
    </row>
    <row r="20" spans="1:2">
      <c r="A20" s="3">
        <f ca="1">IFERROR(__xludf.DUMMYFUNCTION("""COMPUTED_VALUE"""),29248.6666666666)</f>
        <v>29248.666666666599</v>
      </c>
      <c r="B20" s="1">
        <f ca="1">IFERROR(__xludf.DUMMYFUNCTION("""COMPUTED_VALUE"""),114.85)</f>
        <v>114.85</v>
      </c>
    </row>
    <row r="21" spans="1:2">
      <c r="A21" s="3">
        <f ca="1">IFERROR(__xludf.DUMMYFUNCTION("""COMPUTED_VALUE"""),29249.6666666666)</f>
        <v>29249.666666666599</v>
      </c>
      <c r="B21" s="1">
        <f ca="1">IFERROR(__xludf.DUMMYFUNCTION("""COMPUTED_VALUE"""),114.07)</f>
        <v>114.07</v>
      </c>
    </row>
    <row r="22" spans="1:2">
      <c r="A22" s="3">
        <f ca="1">IFERROR(__xludf.DUMMYFUNCTION("""COMPUTED_VALUE"""),29250.6666666666)</f>
        <v>29250.666666666599</v>
      </c>
      <c r="B22" s="1">
        <f ca="1">IFERROR(__xludf.DUMMYFUNCTION("""COMPUTED_VALUE"""),115.2)</f>
        <v>115.2</v>
      </c>
    </row>
    <row r="23" spans="1:2">
      <c r="A23" s="3">
        <f ca="1">IFERROR(__xludf.DUMMYFUNCTION("""COMPUTED_VALUE"""),29251.6666666666)</f>
        <v>29251.666666666599</v>
      </c>
      <c r="B23" s="1">
        <f ca="1">IFERROR(__xludf.DUMMYFUNCTION("""COMPUTED_VALUE"""),114.16)</f>
        <v>114.16</v>
      </c>
    </row>
    <row r="24" spans="1:2">
      <c r="A24" s="3">
        <f ca="1">IFERROR(__xludf.DUMMYFUNCTION("""COMPUTED_VALUE"""),29252.6666666666)</f>
        <v>29252.666666666599</v>
      </c>
      <c r="B24" s="1">
        <f ca="1">IFERROR(__xludf.DUMMYFUNCTION("""COMPUTED_VALUE"""),115.12)</f>
        <v>115.12</v>
      </c>
    </row>
    <row r="25" spans="1:2">
      <c r="A25" s="3">
        <f ca="1">IFERROR(__xludf.DUMMYFUNCTION("""COMPUTED_VALUE"""),29255.6666666666)</f>
        <v>29255.666666666599</v>
      </c>
      <c r="B25" s="1">
        <f ca="1">IFERROR(__xludf.DUMMYFUNCTION("""COMPUTED_VALUE"""),114.37)</f>
        <v>114.37</v>
      </c>
    </row>
    <row r="26" spans="1:2">
      <c r="A26" s="3">
        <f ca="1">IFERROR(__xludf.DUMMYFUNCTION("""COMPUTED_VALUE"""),29256.6666666666)</f>
        <v>29256.666666666599</v>
      </c>
      <c r="B26" s="1">
        <f ca="1">IFERROR(__xludf.DUMMYFUNCTION("""COMPUTED_VALUE"""),114.66)</f>
        <v>114.66</v>
      </c>
    </row>
    <row r="27" spans="1:2">
      <c r="A27" s="3">
        <f ca="1">IFERROR(__xludf.DUMMYFUNCTION("""COMPUTED_VALUE"""),29257.6666666666)</f>
        <v>29257.666666666599</v>
      </c>
      <c r="B27" s="1">
        <f ca="1">IFERROR(__xludf.DUMMYFUNCTION("""COMPUTED_VALUE"""),115.72)</f>
        <v>115.72</v>
      </c>
    </row>
    <row r="28" spans="1:2">
      <c r="A28" s="3">
        <f ca="1">IFERROR(__xludf.DUMMYFUNCTION("""COMPUTED_VALUE"""),29258.6666666666)</f>
        <v>29258.666666666599</v>
      </c>
      <c r="B28" s="1">
        <f ca="1">IFERROR(__xludf.DUMMYFUNCTION("""COMPUTED_VALUE"""),116.28)</f>
        <v>116.28</v>
      </c>
    </row>
    <row r="29" spans="1:2">
      <c r="A29" s="3">
        <f ca="1">IFERROR(__xludf.DUMMYFUNCTION("""COMPUTED_VALUE"""),29259.6666666666)</f>
        <v>29259.666666666599</v>
      </c>
      <c r="B29" s="1">
        <f ca="1">IFERROR(__xludf.DUMMYFUNCTION("""COMPUTED_VALUE"""),117.95)</f>
        <v>117.95</v>
      </c>
    </row>
    <row r="30" spans="1:2">
      <c r="A30" s="3">
        <f ca="1">IFERROR(__xludf.DUMMYFUNCTION("""COMPUTED_VALUE"""),29262.6666666666)</f>
        <v>29262.666666666599</v>
      </c>
      <c r="B30" s="1">
        <f ca="1">IFERROR(__xludf.DUMMYFUNCTION("""COMPUTED_VALUE"""),117.12)</f>
        <v>117.12</v>
      </c>
    </row>
    <row r="31" spans="1:2">
      <c r="A31" s="3">
        <f ca="1">IFERROR(__xludf.DUMMYFUNCTION("""COMPUTED_VALUE"""),29263.6666666666)</f>
        <v>29263.666666666599</v>
      </c>
      <c r="B31" s="1">
        <f ca="1">IFERROR(__xludf.DUMMYFUNCTION("""COMPUTED_VALUE"""),117.9)</f>
        <v>117.9</v>
      </c>
    </row>
    <row r="32" spans="1:2">
      <c r="A32" s="3">
        <f ca="1">IFERROR(__xludf.DUMMYFUNCTION("""COMPUTED_VALUE"""),29264.6666666666)</f>
        <v>29264.666666666599</v>
      </c>
      <c r="B32" s="1">
        <f ca="1">IFERROR(__xludf.DUMMYFUNCTION("""COMPUTED_VALUE"""),118.44)</f>
        <v>118.44</v>
      </c>
    </row>
    <row r="33" spans="1:2">
      <c r="A33" s="3">
        <f ca="1">IFERROR(__xludf.DUMMYFUNCTION("""COMPUTED_VALUE"""),29265.6666666666)</f>
        <v>29265.666666666599</v>
      </c>
      <c r="B33" s="1">
        <f ca="1">IFERROR(__xludf.DUMMYFUNCTION("""COMPUTED_VALUE"""),116.72)</f>
        <v>116.72</v>
      </c>
    </row>
    <row r="34" spans="1:2">
      <c r="A34" s="3">
        <f ca="1">IFERROR(__xludf.DUMMYFUNCTION("""COMPUTED_VALUE"""),29266.6666666666)</f>
        <v>29266.666666666599</v>
      </c>
      <c r="B34" s="1">
        <f ca="1">IFERROR(__xludf.DUMMYFUNCTION("""COMPUTED_VALUE"""),115.41)</f>
        <v>115.41</v>
      </c>
    </row>
    <row r="35" spans="1:2">
      <c r="A35" s="3">
        <f ca="1">IFERROR(__xludf.DUMMYFUNCTION("""COMPUTED_VALUE"""),29270.6666666666)</f>
        <v>29270.666666666599</v>
      </c>
      <c r="B35" s="1">
        <f ca="1">IFERROR(__xludf.DUMMYFUNCTION("""COMPUTED_VALUE"""),114.6)</f>
        <v>114.6</v>
      </c>
    </row>
    <row r="36" spans="1:2">
      <c r="A36" s="3">
        <f ca="1">IFERROR(__xludf.DUMMYFUNCTION("""COMPUTED_VALUE"""),29271.6666666666)</f>
        <v>29271.666666666599</v>
      </c>
      <c r="B36" s="1">
        <f ca="1">IFERROR(__xludf.DUMMYFUNCTION("""COMPUTED_VALUE"""),116.47)</f>
        <v>116.47</v>
      </c>
    </row>
    <row r="37" spans="1:2">
      <c r="A37" s="3">
        <f ca="1">IFERROR(__xludf.DUMMYFUNCTION("""COMPUTED_VALUE"""),29272.6666666666)</f>
        <v>29272.666666666599</v>
      </c>
      <c r="B37" s="1">
        <f ca="1">IFERROR(__xludf.DUMMYFUNCTION("""COMPUTED_VALUE"""),115.28)</f>
        <v>115.28</v>
      </c>
    </row>
    <row r="38" spans="1:2">
      <c r="A38" s="3">
        <f ca="1">IFERROR(__xludf.DUMMYFUNCTION("""COMPUTED_VALUE"""),29273.6666666666)</f>
        <v>29273.666666666599</v>
      </c>
      <c r="B38" s="1">
        <f ca="1">IFERROR(__xludf.DUMMYFUNCTION("""COMPUTED_VALUE"""),115.04)</f>
        <v>115.04</v>
      </c>
    </row>
    <row r="39" spans="1:2">
      <c r="A39" s="3">
        <f ca="1">IFERROR(__xludf.DUMMYFUNCTION("""COMPUTED_VALUE"""),29276.6666666666)</f>
        <v>29276.666666666599</v>
      </c>
      <c r="B39" s="1">
        <f ca="1">IFERROR(__xludf.DUMMYFUNCTION("""COMPUTED_VALUE"""),113.33)</f>
        <v>113.33</v>
      </c>
    </row>
    <row r="40" spans="1:2">
      <c r="A40" s="3">
        <f ca="1">IFERROR(__xludf.DUMMYFUNCTION("""COMPUTED_VALUE"""),29277.6666666666)</f>
        <v>29277.666666666599</v>
      </c>
      <c r="B40" s="1">
        <f ca="1">IFERROR(__xludf.DUMMYFUNCTION("""COMPUTED_VALUE"""),113.98)</f>
        <v>113.98</v>
      </c>
    </row>
    <row r="41" spans="1:2">
      <c r="A41" s="3">
        <f ca="1">IFERROR(__xludf.DUMMYFUNCTION("""COMPUTED_VALUE"""),29278.6666666666)</f>
        <v>29278.666666666599</v>
      </c>
      <c r="B41" s="1">
        <f ca="1">IFERROR(__xludf.DUMMYFUNCTION("""COMPUTED_VALUE"""),112.38)</f>
        <v>112.38</v>
      </c>
    </row>
    <row r="42" spans="1:2">
      <c r="A42" s="3">
        <f ca="1">IFERROR(__xludf.DUMMYFUNCTION("""COMPUTED_VALUE"""),29279.6666666666)</f>
        <v>29279.666666666599</v>
      </c>
      <c r="B42" s="1">
        <f ca="1">IFERROR(__xludf.DUMMYFUNCTION("""COMPUTED_VALUE"""),112.35)</f>
        <v>112.35</v>
      </c>
    </row>
    <row r="43" spans="1:2">
      <c r="A43" s="3">
        <f ca="1">IFERROR(__xludf.DUMMYFUNCTION("""COMPUTED_VALUE"""),29280.6666666666)</f>
        <v>29280.666666666599</v>
      </c>
      <c r="B43" s="1">
        <f ca="1">IFERROR(__xludf.DUMMYFUNCTION("""COMPUTED_VALUE"""),113.66)</f>
        <v>113.66</v>
      </c>
    </row>
    <row r="44" spans="1:2">
      <c r="A44" s="3">
        <f ca="1">IFERROR(__xludf.DUMMYFUNCTION("""COMPUTED_VALUE"""),29283.6666666666)</f>
        <v>29283.666666666599</v>
      </c>
      <c r="B44" s="1">
        <f ca="1">IFERROR(__xludf.DUMMYFUNCTION("""COMPUTED_VALUE"""),112.5)</f>
        <v>112.5</v>
      </c>
    </row>
    <row r="45" spans="1:2">
      <c r="A45" s="3">
        <f ca="1">IFERROR(__xludf.DUMMYFUNCTION("""COMPUTED_VALUE"""),29284.6666666666)</f>
        <v>29284.666666666599</v>
      </c>
      <c r="B45" s="1">
        <f ca="1">IFERROR(__xludf.DUMMYFUNCTION("""COMPUTED_VALUE"""),112.78)</f>
        <v>112.78</v>
      </c>
    </row>
    <row r="46" spans="1:2">
      <c r="A46" s="3">
        <f ca="1">IFERROR(__xludf.DUMMYFUNCTION("""COMPUTED_VALUE"""),29285.6666666666)</f>
        <v>29285.666666666599</v>
      </c>
      <c r="B46" s="1">
        <f ca="1">IFERROR(__xludf.DUMMYFUNCTION("""COMPUTED_VALUE"""),111.13)</f>
        <v>111.13</v>
      </c>
    </row>
    <row r="47" spans="1:2">
      <c r="A47" s="3">
        <f ca="1">IFERROR(__xludf.DUMMYFUNCTION("""COMPUTED_VALUE"""),29286.6666666666)</f>
        <v>29286.666666666599</v>
      </c>
      <c r="B47" s="1">
        <f ca="1">IFERROR(__xludf.DUMMYFUNCTION("""COMPUTED_VALUE"""),108.65)</f>
        <v>108.65</v>
      </c>
    </row>
    <row r="48" spans="1:2">
      <c r="A48" s="3">
        <f ca="1">IFERROR(__xludf.DUMMYFUNCTION("""COMPUTED_VALUE"""),29287.6666666666)</f>
        <v>29287.666666666599</v>
      </c>
      <c r="B48" s="1">
        <f ca="1">IFERROR(__xludf.DUMMYFUNCTION("""COMPUTED_VALUE"""),106.9)</f>
        <v>106.9</v>
      </c>
    </row>
    <row r="49" spans="1:2">
      <c r="A49" s="3">
        <f ca="1">IFERROR(__xludf.DUMMYFUNCTION("""COMPUTED_VALUE"""),29290.6666666666)</f>
        <v>29290.666666666599</v>
      </c>
      <c r="B49" s="1">
        <f ca="1">IFERROR(__xludf.DUMMYFUNCTION("""COMPUTED_VALUE"""),106.51)</f>
        <v>106.51</v>
      </c>
    </row>
    <row r="50" spans="1:2">
      <c r="A50" s="3">
        <f ca="1">IFERROR(__xludf.DUMMYFUNCTION("""COMPUTED_VALUE"""),29291.6666666666)</f>
        <v>29291.666666666599</v>
      </c>
      <c r="B50" s="1">
        <f ca="1">IFERROR(__xludf.DUMMYFUNCTION("""COMPUTED_VALUE"""),107.78)</f>
        <v>107.78</v>
      </c>
    </row>
    <row r="51" spans="1:2">
      <c r="A51" s="3">
        <f ca="1">IFERROR(__xludf.DUMMYFUNCTION("""COMPUTED_VALUE"""),29292.6666666666)</f>
        <v>29292.666666666599</v>
      </c>
      <c r="B51" s="1">
        <f ca="1">IFERROR(__xludf.DUMMYFUNCTION("""COMPUTED_VALUE"""),106.87)</f>
        <v>106.87</v>
      </c>
    </row>
    <row r="52" spans="1:2">
      <c r="A52" s="3">
        <f ca="1">IFERROR(__xludf.DUMMYFUNCTION("""COMPUTED_VALUE"""),29293.6666666666)</f>
        <v>29293.666666666599</v>
      </c>
      <c r="B52" s="1">
        <f ca="1">IFERROR(__xludf.DUMMYFUNCTION("""COMPUTED_VALUE"""),105.62)</f>
        <v>105.62</v>
      </c>
    </row>
    <row r="53" spans="1:2">
      <c r="A53" s="3">
        <f ca="1">IFERROR(__xludf.DUMMYFUNCTION("""COMPUTED_VALUE"""),29294.6666666666)</f>
        <v>29294.666666666599</v>
      </c>
      <c r="B53" s="1">
        <f ca="1">IFERROR(__xludf.DUMMYFUNCTION("""COMPUTED_VALUE"""),105.43)</f>
        <v>105.43</v>
      </c>
    </row>
    <row r="54" spans="1:2">
      <c r="A54" s="3">
        <f ca="1">IFERROR(__xludf.DUMMYFUNCTION("""COMPUTED_VALUE"""),29297.6666666666)</f>
        <v>29297.666666666599</v>
      </c>
      <c r="B54" s="1">
        <f ca="1">IFERROR(__xludf.DUMMYFUNCTION("""COMPUTED_VALUE"""),102.26)</f>
        <v>102.26</v>
      </c>
    </row>
    <row r="55" spans="1:2">
      <c r="A55" s="3">
        <f ca="1">IFERROR(__xludf.DUMMYFUNCTION("""COMPUTED_VALUE"""),29298.6666666666)</f>
        <v>29298.666666666599</v>
      </c>
      <c r="B55" s="1">
        <f ca="1">IFERROR(__xludf.DUMMYFUNCTION("""COMPUTED_VALUE"""),104.1)</f>
        <v>104.1</v>
      </c>
    </row>
    <row r="56" spans="1:2">
      <c r="A56" s="3">
        <f ca="1">IFERROR(__xludf.DUMMYFUNCTION("""COMPUTED_VALUE"""),29299.6666666666)</f>
        <v>29299.666666666599</v>
      </c>
      <c r="B56" s="1">
        <f ca="1">IFERROR(__xludf.DUMMYFUNCTION("""COMPUTED_VALUE"""),104.31)</f>
        <v>104.31</v>
      </c>
    </row>
    <row r="57" spans="1:2">
      <c r="A57" s="3">
        <f ca="1">IFERROR(__xludf.DUMMYFUNCTION("""COMPUTED_VALUE"""),29300.6666666666)</f>
        <v>29300.666666666599</v>
      </c>
      <c r="B57" s="1">
        <f ca="1">IFERROR(__xludf.DUMMYFUNCTION("""COMPUTED_VALUE"""),103.12)</f>
        <v>103.12</v>
      </c>
    </row>
    <row r="58" spans="1:2">
      <c r="A58" s="3">
        <f ca="1">IFERROR(__xludf.DUMMYFUNCTION("""COMPUTED_VALUE"""),29301.6666666666)</f>
        <v>29301.666666666599</v>
      </c>
      <c r="B58" s="1">
        <f ca="1">IFERROR(__xludf.DUMMYFUNCTION("""COMPUTED_VALUE"""),102.31)</f>
        <v>102.31</v>
      </c>
    </row>
    <row r="59" spans="1:2">
      <c r="A59" s="3">
        <f ca="1">IFERROR(__xludf.DUMMYFUNCTION("""COMPUTED_VALUE"""),29304.6666666666)</f>
        <v>29304.666666666599</v>
      </c>
      <c r="B59" s="1">
        <f ca="1">IFERROR(__xludf.DUMMYFUNCTION("""COMPUTED_VALUE"""),99.28)</f>
        <v>99.28</v>
      </c>
    </row>
    <row r="60" spans="1:2">
      <c r="A60" s="3">
        <f ca="1">IFERROR(__xludf.DUMMYFUNCTION("""COMPUTED_VALUE"""),29305.6666666666)</f>
        <v>29305.666666666599</v>
      </c>
      <c r="B60" s="1">
        <f ca="1">IFERROR(__xludf.DUMMYFUNCTION("""COMPUTED_VALUE"""),99.19)</f>
        <v>99.19</v>
      </c>
    </row>
    <row r="61" spans="1:2">
      <c r="A61" s="3">
        <f ca="1">IFERROR(__xludf.DUMMYFUNCTION("""COMPUTED_VALUE"""),29306.6666666666)</f>
        <v>29306.666666666599</v>
      </c>
      <c r="B61" s="1">
        <f ca="1">IFERROR(__xludf.DUMMYFUNCTION("""COMPUTED_VALUE"""),98.68)</f>
        <v>98.68</v>
      </c>
    </row>
    <row r="62" spans="1:2">
      <c r="A62" s="3">
        <f ca="1">IFERROR(__xludf.DUMMYFUNCTION("""COMPUTED_VALUE"""),29307.6666666666)</f>
        <v>29307.666666666599</v>
      </c>
      <c r="B62" s="1">
        <f ca="1">IFERROR(__xludf.DUMMYFUNCTION("""COMPUTED_VALUE"""),98.22)</f>
        <v>98.22</v>
      </c>
    </row>
    <row r="63" spans="1:2">
      <c r="A63" s="3">
        <f ca="1">IFERROR(__xludf.DUMMYFUNCTION("""COMPUTED_VALUE"""),29308.6666666666)</f>
        <v>29308.666666666599</v>
      </c>
      <c r="B63" s="1">
        <f ca="1">IFERROR(__xludf.DUMMYFUNCTION("""COMPUTED_VALUE"""),100.68)</f>
        <v>100.68</v>
      </c>
    </row>
    <row r="64" spans="1:2">
      <c r="A64" s="3">
        <f ca="1">IFERROR(__xludf.DUMMYFUNCTION("""COMPUTED_VALUE"""),29311.6666666666)</f>
        <v>29311.666666666599</v>
      </c>
      <c r="B64" s="1">
        <f ca="1">IFERROR(__xludf.DUMMYFUNCTION("""COMPUTED_VALUE"""),102.09)</f>
        <v>102.09</v>
      </c>
    </row>
    <row r="65" spans="1:2">
      <c r="A65" s="3">
        <f ca="1">IFERROR(__xludf.DUMMYFUNCTION("""COMPUTED_VALUE"""),29312.6666666666)</f>
        <v>29312.666666666599</v>
      </c>
      <c r="B65" s="1">
        <f ca="1">IFERROR(__xludf.DUMMYFUNCTION("""COMPUTED_VALUE"""),102.18)</f>
        <v>102.18</v>
      </c>
    </row>
    <row r="66" spans="1:2">
      <c r="A66" s="3">
        <f ca="1">IFERROR(__xludf.DUMMYFUNCTION("""COMPUTED_VALUE"""),29313.6666666666)</f>
        <v>29313.666666666599</v>
      </c>
      <c r="B66" s="1">
        <f ca="1">IFERROR(__xludf.DUMMYFUNCTION("""COMPUTED_VALUE"""),102.68)</f>
        <v>102.68</v>
      </c>
    </row>
    <row r="67" spans="1:2">
      <c r="A67" s="3">
        <f ca="1">IFERROR(__xludf.DUMMYFUNCTION("""COMPUTED_VALUE"""),29314.6666666666)</f>
        <v>29314.666666666599</v>
      </c>
      <c r="B67" s="1">
        <f ca="1">IFERROR(__xludf.DUMMYFUNCTION("""COMPUTED_VALUE"""),102.15)</f>
        <v>102.15</v>
      </c>
    </row>
    <row r="68" spans="1:2">
      <c r="A68" s="3">
        <f ca="1">IFERROR(__xludf.DUMMYFUNCTION("""COMPUTED_VALUE"""),29318.6666666666)</f>
        <v>29318.666666666599</v>
      </c>
      <c r="B68" s="1">
        <f ca="1">IFERROR(__xludf.DUMMYFUNCTION("""COMPUTED_VALUE"""),100.19)</f>
        <v>100.19</v>
      </c>
    </row>
    <row r="69" spans="1:2">
      <c r="A69" s="3">
        <f ca="1">IFERROR(__xludf.DUMMYFUNCTION("""COMPUTED_VALUE"""),29319.6666666666)</f>
        <v>29319.666666666599</v>
      </c>
      <c r="B69" s="1">
        <f ca="1">IFERROR(__xludf.DUMMYFUNCTION("""COMPUTED_VALUE"""),101.2)</f>
        <v>101.2</v>
      </c>
    </row>
    <row r="70" spans="1:2">
      <c r="A70" s="3">
        <f ca="1">IFERROR(__xludf.DUMMYFUNCTION("""COMPUTED_VALUE"""),29320.6666666666)</f>
        <v>29320.666666666599</v>
      </c>
      <c r="B70" s="1">
        <f ca="1">IFERROR(__xludf.DUMMYFUNCTION("""COMPUTED_VALUE"""),103.11)</f>
        <v>103.11</v>
      </c>
    </row>
    <row r="71" spans="1:2">
      <c r="A71" s="3">
        <f ca="1">IFERROR(__xludf.DUMMYFUNCTION("""COMPUTED_VALUE"""),29321.6666666666)</f>
        <v>29321.666666666599</v>
      </c>
      <c r="B71" s="1">
        <f ca="1">IFERROR(__xludf.DUMMYFUNCTION("""COMPUTED_VALUE"""),104.08)</f>
        <v>104.08</v>
      </c>
    </row>
    <row r="72" spans="1:2">
      <c r="A72" s="3">
        <f ca="1">IFERROR(__xludf.DUMMYFUNCTION("""COMPUTED_VALUE"""),29322.6666666666)</f>
        <v>29322.666666666599</v>
      </c>
      <c r="B72" s="1">
        <f ca="1">IFERROR(__xludf.DUMMYFUNCTION("""COMPUTED_VALUE"""),103.79)</f>
        <v>103.79</v>
      </c>
    </row>
    <row r="73" spans="1:2">
      <c r="A73" s="3">
        <f ca="1">IFERROR(__xludf.DUMMYFUNCTION("""COMPUTED_VALUE"""),29325.6666666666)</f>
        <v>29325.666666666599</v>
      </c>
      <c r="B73" s="1">
        <f ca="1">IFERROR(__xludf.DUMMYFUNCTION("""COMPUTED_VALUE"""),102.84)</f>
        <v>102.84</v>
      </c>
    </row>
    <row r="74" spans="1:2">
      <c r="A74" s="3">
        <f ca="1">IFERROR(__xludf.DUMMYFUNCTION("""COMPUTED_VALUE"""),29326.6666666666)</f>
        <v>29326.666666666599</v>
      </c>
      <c r="B74" s="1">
        <f ca="1">IFERROR(__xludf.DUMMYFUNCTION("""COMPUTED_VALUE"""),102.63)</f>
        <v>102.63</v>
      </c>
    </row>
    <row r="75" spans="1:2">
      <c r="A75" s="3">
        <f ca="1">IFERROR(__xludf.DUMMYFUNCTION("""COMPUTED_VALUE"""),29327.6666666666)</f>
        <v>29327.666666666599</v>
      </c>
      <c r="B75" s="1">
        <f ca="1">IFERROR(__xludf.DUMMYFUNCTION("""COMPUTED_VALUE"""),101.54)</f>
        <v>101.54</v>
      </c>
    </row>
    <row r="76" spans="1:2">
      <c r="A76" s="3">
        <f ca="1">IFERROR(__xludf.DUMMYFUNCTION("""COMPUTED_VALUE"""),29328.6666666666)</f>
        <v>29328.666666666599</v>
      </c>
      <c r="B76" s="1">
        <f ca="1">IFERROR(__xludf.DUMMYFUNCTION("""COMPUTED_VALUE"""),101.05)</f>
        <v>101.05</v>
      </c>
    </row>
    <row r="77" spans="1:2">
      <c r="A77" s="3">
        <f ca="1">IFERROR(__xludf.DUMMYFUNCTION("""COMPUTED_VALUE"""),29329.6666666666)</f>
        <v>29329.666666666599</v>
      </c>
      <c r="B77" s="1">
        <f ca="1">IFERROR(__xludf.DUMMYFUNCTION("""COMPUTED_VALUE"""),100.55)</f>
        <v>100.55</v>
      </c>
    </row>
    <row r="78" spans="1:2">
      <c r="A78" s="3">
        <f ca="1">IFERROR(__xludf.DUMMYFUNCTION("""COMPUTED_VALUE"""),29332.6666666666)</f>
        <v>29332.666666666599</v>
      </c>
      <c r="B78" s="1">
        <f ca="1">IFERROR(__xludf.DUMMYFUNCTION("""COMPUTED_VALUE"""),99.8)</f>
        <v>99.8</v>
      </c>
    </row>
    <row r="79" spans="1:2">
      <c r="A79" s="3">
        <f ca="1">IFERROR(__xludf.DUMMYFUNCTION("""COMPUTED_VALUE"""),29333.6666666666)</f>
        <v>29333.666666666599</v>
      </c>
      <c r="B79" s="1">
        <f ca="1">IFERROR(__xludf.DUMMYFUNCTION("""COMPUTED_VALUE"""),103.43)</f>
        <v>103.43</v>
      </c>
    </row>
    <row r="80" spans="1:2">
      <c r="A80" s="3">
        <f ca="1">IFERROR(__xludf.DUMMYFUNCTION("""COMPUTED_VALUE"""),29334.6666666666)</f>
        <v>29334.666666666599</v>
      </c>
      <c r="B80" s="1">
        <f ca="1">IFERROR(__xludf.DUMMYFUNCTION("""COMPUTED_VALUE"""),103.73)</f>
        <v>103.73</v>
      </c>
    </row>
    <row r="81" spans="1:2">
      <c r="A81" s="3">
        <f ca="1">IFERROR(__xludf.DUMMYFUNCTION("""COMPUTED_VALUE"""),29335.6666666666)</f>
        <v>29335.666666666599</v>
      </c>
      <c r="B81" s="1">
        <f ca="1">IFERROR(__xludf.DUMMYFUNCTION("""COMPUTED_VALUE"""),104.4)</f>
        <v>104.4</v>
      </c>
    </row>
    <row r="82" spans="1:2">
      <c r="A82" s="3">
        <f ca="1">IFERROR(__xludf.DUMMYFUNCTION("""COMPUTED_VALUE"""),29336.6666666666)</f>
        <v>29336.666666666599</v>
      </c>
      <c r="B82" s="1">
        <f ca="1">IFERROR(__xludf.DUMMYFUNCTION("""COMPUTED_VALUE"""),105.16)</f>
        <v>105.16</v>
      </c>
    </row>
    <row r="83" spans="1:2">
      <c r="A83" s="3">
        <f ca="1">IFERROR(__xludf.DUMMYFUNCTION("""COMPUTED_VALUE"""),29339.6666666666)</f>
        <v>29339.666666666599</v>
      </c>
      <c r="B83" s="1">
        <f ca="1">IFERROR(__xludf.DUMMYFUNCTION("""COMPUTED_VALUE"""),105.64)</f>
        <v>105.64</v>
      </c>
    </row>
    <row r="84" spans="1:2">
      <c r="A84" s="3">
        <f ca="1">IFERROR(__xludf.DUMMYFUNCTION("""COMPUTED_VALUE"""),29340.6666666666)</f>
        <v>29340.666666666599</v>
      </c>
      <c r="B84" s="1">
        <f ca="1">IFERROR(__xludf.DUMMYFUNCTION("""COMPUTED_VALUE"""),105.86)</f>
        <v>105.86</v>
      </c>
    </row>
    <row r="85" spans="1:2">
      <c r="A85" s="3">
        <f ca="1">IFERROR(__xludf.DUMMYFUNCTION("""COMPUTED_VALUE"""),29341.6666666666)</f>
        <v>29341.666666666599</v>
      </c>
      <c r="B85" s="1">
        <f ca="1">IFERROR(__xludf.DUMMYFUNCTION("""COMPUTED_VALUE"""),106.29)</f>
        <v>106.29</v>
      </c>
    </row>
    <row r="86" spans="1:2">
      <c r="A86" s="3">
        <f ca="1">IFERROR(__xludf.DUMMYFUNCTION("""COMPUTED_VALUE"""),29342.6666666666)</f>
        <v>29342.666666666599</v>
      </c>
      <c r="B86" s="1">
        <f ca="1">IFERROR(__xludf.DUMMYFUNCTION("""COMPUTED_VALUE"""),105.46)</f>
        <v>105.46</v>
      </c>
    </row>
    <row r="87" spans="1:2">
      <c r="A87" s="3">
        <f ca="1">IFERROR(__xludf.DUMMYFUNCTION("""COMPUTED_VALUE"""),29343.6666666666)</f>
        <v>29343.666666666599</v>
      </c>
      <c r="B87" s="1">
        <f ca="1">IFERROR(__xludf.DUMMYFUNCTION("""COMPUTED_VALUE"""),105.58)</f>
        <v>105.58</v>
      </c>
    </row>
    <row r="88" spans="1:2">
      <c r="A88" s="3">
        <f ca="1">IFERROR(__xludf.DUMMYFUNCTION("""COMPUTED_VALUE"""),29346.6666666666)</f>
        <v>29346.666666666599</v>
      </c>
      <c r="B88" s="1">
        <f ca="1">IFERROR(__xludf.DUMMYFUNCTION("""COMPUTED_VALUE"""),106.38)</f>
        <v>106.38</v>
      </c>
    </row>
    <row r="89" spans="1:2">
      <c r="A89" s="3">
        <f ca="1">IFERROR(__xludf.DUMMYFUNCTION("""COMPUTED_VALUE"""),29347.6666666666)</f>
        <v>29347.666666666599</v>
      </c>
      <c r="B89" s="1">
        <f ca="1">IFERROR(__xludf.DUMMYFUNCTION("""COMPUTED_VALUE"""),106.25)</f>
        <v>106.25</v>
      </c>
    </row>
    <row r="90" spans="1:2">
      <c r="A90" s="3">
        <f ca="1">IFERROR(__xludf.DUMMYFUNCTION("""COMPUTED_VALUE"""),29348.6666666666)</f>
        <v>29348.666666666599</v>
      </c>
      <c r="B90" s="1">
        <f ca="1">IFERROR(__xludf.DUMMYFUNCTION("""COMPUTED_VALUE"""),107.18)</f>
        <v>107.18</v>
      </c>
    </row>
    <row r="91" spans="1:2">
      <c r="A91" s="3">
        <f ca="1">IFERROR(__xludf.DUMMYFUNCTION("""COMPUTED_VALUE"""),29349.6666666666)</f>
        <v>29349.666666666599</v>
      </c>
      <c r="B91" s="1">
        <f ca="1">IFERROR(__xludf.DUMMYFUNCTION("""COMPUTED_VALUE"""),106.13)</f>
        <v>106.13</v>
      </c>
    </row>
    <row r="92" spans="1:2">
      <c r="A92" s="3">
        <f ca="1">IFERROR(__xludf.DUMMYFUNCTION("""COMPUTED_VALUE"""),29350.6666666666)</f>
        <v>29350.666666666599</v>
      </c>
      <c r="B92" s="1">
        <f ca="1">IFERROR(__xludf.DUMMYFUNCTION("""COMPUTED_VALUE"""),104.72)</f>
        <v>104.72</v>
      </c>
    </row>
    <row r="93" spans="1:2">
      <c r="A93" s="3">
        <f ca="1">IFERROR(__xludf.DUMMYFUNCTION("""COMPUTED_VALUE"""),29353.6666666666)</f>
        <v>29353.666666666599</v>
      </c>
      <c r="B93" s="1">
        <f ca="1">IFERROR(__xludf.DUMMYFUNCTION("""COMPUTED_VALUE"""),104.78)</f>
        <v>104.78</v>
      </c>
    </row>
    <row r="94" spans="1:2">
      <c r="A94" s="3">
        <f ca="1">IFERROR(__xludf.DUMMYFUNCTION("""COMPUTED_VALUE"""),29354.6666666666)</f>
        <v>29354.666666666599</v>
      </c>
      <c r="B94" s="1">
        <f ca="1">IFERROR(__xludf.DUMMYFUNCTION("""COMPUTED_VALUE"""),106.3)</f>
        <v>106.3</v>
      </c>
    </row>
    <row r="95" spans="1:2">
      <c r="A95" s="3">
        <f ca="1">IFERROR(__xludf.DUMMYFUNCTION("""COMPUTED_VALUE"""),29355.6666666666)</f>
        <v>29355.666666666599</v>
      </c>
      <c r="B95" s="1">
        <f ca="1">IFERROR(__xludf.DUMMYFUNCTION("""COMPUTED_VALUE"""),106.85)</f>
        <v>106.85</v>
      </c>
    </row>
    <row r="96" spans="1:2">
      <c r="A96" s="3">
        <f ca="1">IFERROR(__xludf.DUMMYFUNCTION("""COMPUTED_VALUE"""),29356.6666666666)</f>
        <v>29356.666666666599</v>
      </c>
      <c r="B96" s="1">
        <f ca="1">IFERROR(__xludf.DUMMYFUNCTION("""COMPUTED_VALUE"""),106.99)</f>
        <v>106.99</v>
      </c>
    </row>
    <row r="97" spans="1:2">
      <c r="A97" s="3">
        <f ca="1">IFERROR(__xludf.DUMMYFUNCTION("""COMPUTED_VALUE"""),29357.6666666666)</f>
        <v>29357.666666666599</v>
      </c>
      <c r="B97" s="1">
        <f ca="1">IFERROR(__xludf.DUMMYFUNCTION("""COMPUTED_VALUE"""),107.35)</f>
        <v>107.35</v>
      </c>
    </row>
    <row r="98" spans="1:2">
      <c r="A98" s="3">
        <f ca="1">IFERROR(__xludf.DUMMYFUNCTION("""COMPUTED_VALUE"""),29360.6666666666)</f>
        <v>29360.666666666599</v>
      </c>
      <c r="B98" s="1">
        <f ca="1">IFERROR(__xludf.DUMMYFUNCTION("""COMPUTED_VALUE"""),107.67)</f>
        <v>107.67</v>
      </c>
    </row>
    <row r="99" spans="1:2">
      <c r="A99" s="3">
        <f ca="1">IFERROR(__xludf.DUMMYFUNCTION("""COMPUTED_VALUE"""),29361.6666666666)</f>
        <v>29361.666666666599</v>
      </c>
      <c r="B99" s="1">
        <f ca="1">IFERROR(__xludf.DUMMYFUNCTION("""COMPUTED_VALUE"""),107.62)</f>
        <v>107.62</v>
      </c>
    </row>
    <row r="100" spans="1:2">
      <c r="A100" s="3">
        <f ca="1">IFERROR(__xludf.DUMMYFUNCTION("""COMPUTED_VALUE"""),29362.6666666666)</f>
        <v>29362.666666666599</v>
      </c>
      <c r="B100" s="1">
        <f ca="1">IFERROR(__xludf.DUMMYFUNCTION("""COMPUTED_VALUE"""),107.72)</f>
        <v>107.72</v>
      </c>
    </row>
    <row r="101" spans="1:2">
      <c r="A101" s="3">
        <f ca="1">IFERROR(__xludf.DUMMYFUNCTION("""COMPUTED_VALUE"""),29363.6666666666)</f>
        <v>29363.666666666599</v>
      </c>
      <c r="B101" s="1">
        <f ca="1">IFERROR(__xludf.DUMMYFUNCTION("""COMPUTED_VALUE"""),109.01)</f>
        <v>109.01</v>
      </c>
    </row>
    <row r="102" spans="1:2">
      <c r="A102" s="3">
        <f ca="1">IFERROR(__xludf.DUMMYFUNCTION("""COMPUTED_VALUE"""),29364.6666666666)</f>
        <v>29364.666666666599</v>
      </c>
      <c r="B102" s="1">
        <f ca="1">IFERROR(__xludf.DUMMYFUNCTION("""COMPUTED_VALUE"""),110.62)</f>
        <v>110.62</v>
      </c>
    </row>
    <row r="103" spans="1:2">
      <c r="A103" s="3">
        <f ca="1">IFERROR(__xludf.DUMMYFUNCTION("""COMPUTED_VALUE"""),29367.6666666666)</f>
        <v>29367.666666666599</v>
      </c>
      <c r="B103" s="1">
        <f ca="1">IFERROR(__xludf.DUMMYFUNCTION("""COMPUTED_VALUE"""),111.4)</f>
        <v>111.4</v>
      </c>
    </row>
    <row r="104" spans="1:2">
      <c r="A104" s="3">
        <f ca="1">IFERROR(__xludf.DUMMYFUNCTION("""COMPUTED_VALUE"""),29368.6666666666)</f>
        <v>29368.666666666599</v>
      </c>
      <c r="B104" s="1">
        <f ca="1">IFERROR(__xludf.DUMMYFUNCTION("""COMPUTED_VALUE"""),111.4)</f>
        <v>111.4</v>
      </c>
    </row>
    <row r="105" spans="1:2">
      <c r="A105" s="3">
        <f ca="1">IFERROR(__xludf.DUMMYFUNCTION("""COMPUTED_VALUE"""),29369.6666666666)</f>
        <v>29369.666666666599</v>
      </c>
      <c r="B105" s="1">
        <f ca="1">IFERROR(__xludf.DUMMYFUNCTION("""COMPUTED_VALUE"""),112.06)</f>
        <v>112.06</v>
      </c>
    </row>
    <row r="106" spans="1:2">
      <c r="A106" s="3">
        <f ca="1">IFERROR(__xludf.DUMMYFUNCTION("""COMPUTED_VALUE"""),29370.6666666666)</f>
        <v>29370.666666666599</v>
      </c>
      <c r="B106" s="1">
        <f ca="1">IFERROR(__xludf.DUMMYFUNCTION("""COMPUTED_VALUE"""),110.27)</f>
        <v>110.27</v>
      </c>
    </row>
    <row r="107" spans="1:2">
      <c r="A107" s="3">
        <f ca="1">IFERROR(__xludf.DUMMYFUNCTION("""COMPUTED_VALUE"""),29371.6666666666)</f>
        <v>29371.666666666599</v>
      </c>
      <c r="B107" s="1">
        <f ca="1">IFERROR(__xludf.DUMMYFUNCTION("""COMPUTED_VALUE"""),111.24)</f>
        <v>111.24</v>
      </c>
    </row>
    <row r="108" spans="1:2">
      <c r="A108" s="3">
        <f ca="1">IFERROR(__xludf.DUMMYFUNCTION("""COMPUTED_VALUE"""),29374.6666666666)</f>
        <v>29374.666666666599</v>
      </c>
      <c r="B108" s="1">
        <f ca="1">IFERROR(__xludf.DUMMYFUNCTION("""COMPUTED_VALUE"""),110.76)</f>
        <v>110.76</v>
      </c>
    </row>
    <row r="109" spans="1:2">
      <c r="A109" s="3">
        <f ca="1">IFERROR(__xludf.DUMMYFUNCTION("""COMPUTED_VALUE"""),29375.6666666666)</f>
        <v>29375.666666666599</v>
      </c>
      <c r="B109" s="1">
        <f ca="1">IFERROR(__xludf.DUMMYFUNCTION("""COMPUTED_VALUE"""),110.51)</f>
        <v>110.51</v>
      </c>
    </row>
    <row r="110" spans="1:2">
      <c r="A110" s="3">
        <f ca="1">IFERROR(__xludf.DUMMYFUNCTION("""COMPUTED_VALUE"""),29376.6666666666)</f>
        <v>29376.666666666599</v>
      </c>
      <c r="B110" s="1">
        <f ca="1">IFERROR(__xludf.DUMMYFUNCTION("""COMPUTED_VALUE"""),112.61)</f>
        <v>112.61</v>
      </c>
    </row>
    <row r="111" spans="1:2">
      <c r="A111" s="3">
        <f ca="1">IFERROR(__xludf.DUMMYFUNCTION("""COMPUTED_VALUE"""),29377.6666666666)</f>
        <v>29377.666666666599</v>
      </c>
      <c r="B111" s="1">
        <f ca="1">IFERROR(__xludf.DUMMYFUNCTION("""COMPUTED_VALUE"""),112.78)</f>
        <v>112.78</v>
      </c>
    </row>
    <row r="112" spans="1:2">
      <c r="A112" s="3">
        <f ca="1">IFERROR(__xludf.DUMMYFUNCTION("""COMPUTED_VALUE"""),29378.6666666666)</f>
        <v>29378.666666666599</v>
      </c>
      <c r="B112" s="1">
        <f ca="1">IFERROR(__xludf.DUMMYFUNCTION("""COMPUTED_VALUE"""),113.2)</f>
        <v>113.2</v>
      </c>
    </row>
    <row r="113" spans="1:2">
      <c r="A113" s="3">
        <f ca="1">IFERROR(__xludf.DUMMYFUNCTION("""COMPUTED_VALUE"""),29381.6666666666)</f>
        <v>29381.666666666599</v>
      </c>
      <c r="B113" s="1">
        <f ca="1">IFERROR(__xludf.DUMMYFUNCTION("""COMPUTED_VALUE"""),113.71)</f>
        <v>113.71</v>
      </c>
    </row>
    <row r="114" spans="1:2">
      <c r="A114" s="3">
        <f ca="1">IFERROR(__xludf.DUMMYFUNCTION("""COMPUTED_VALUE"""),29382.6666666666)</f>
        <v>29382.666666666599</v>
      </c>
      <c r="B114" s="1">
        <f ca="1">IFERROR(__xludf.DUMMYFUNCTION("""COMPUTED_VALUE"""),114.66)</f>
        <v>114.66</v>
      </c>
    </row>
    <row r="115" spans="1:2">
      <c r="A115" s="3">
        <f ca="1">IFERROR(__xludf.DUMMYFUNCTION("""COMPUTED_VALUE"""),29383.6666666666)</f>
        <v>29383.666666666599</v>
      </c>
      <c r="B115" s="1">
        <f ca="1">IFERROR(__xludf.DUMMYFUNCTION("""COMPUTED_VALUE"""),116.02)</f>
        <v>116.02</v>
      </c>
    </row>
    <row r="116" spans="1:2">
      <c r="A116" s="3">
        <f ca="1">IFERROR(__xludf.DUMMYFUNCTION("""COMPUTED_VALUE"""),29384.6666666666)</f>
        <v>29384.666666666599</v>
      </c>
      <c r="B116" s="1">
        <f ca="1">IFERROR(__xludf.DUMMYFUNCTION("""COMPUTED_VALUE"""),115.52)</f>
        <v>115.52</v>
      </c>
    </row>
    <row r="117" spans="1:2">
      <c r="A117" s="3">
        <f ca="1">IFERROR(__xludf.DUMMYFUNCTION("""COMPUTED_VALUE"""),29385.6666666666)</f>
        <v>29385.666666666599</v>
      </c>
      <c r="B117" s="1">
        <f ca="1">IFERROR(__xludf.DUMMYFUNCTION("""COMPUTED_VALUE"""),115.81)</f>
        <v>115.81</v>
      </c>
    </row>
    <row r="118" spans="1:2">
      <c r="A118" s="3">
        <f ca="1">IFERROR(__xludf.DUMMYFUNCTION("""COMPUTED_VALUE"""),29388.6666666666)</f>
        <v>29388.666666666599</v>
      </c>
      <c r="B118" s="1">
        <f ca="1">IFERROR(__xludf.DUMMYFUNCTION("""COMPUTED_VALUE"""),116.09)</f>
        <v>116.09</v>
      </c>
    </row>
    <row r="119" spans="1:2">
      <c r="A119" s="3">
        <f ca="1">IFERROR(__xludf.DUMMYFUNCTION("""COMPUTED_VALUE"""),29389.6666666666)</f>
        <v>29389.666666666599</v>
      </c>
      <c r="B119" s="1">
        <f ca="1">IFERROR(__xludf.DUMMYFUNCTION("""COMPUTED_VALUE"""),116.03)</f>
        <v>116.03</v>
      </c>
    </row>
    <row r="120" spans="1:2">
      <c r="A120" s="3">
        <f ca="1">IFERROR(__xludf.DUMMYFUNCTION("""COMPUTED_VALUE"""),29390.6666666666)</f>
        <v>29390.666666666599</v>
      </c>
      <c r="B120" s="1">
        <f ca="1">IFERROR(__xludf.DUMMYFUNCTION("""COMPUTED_VALUE"""),116.26)</f>
        <v>116.26</v>
      </c>
    </row>
    <row r="121" spans="1:2">
      <c r="A121" s="3">
        <f ca="1">IFERROR(__xludf.DUMMYFUNCTION("""COMPUTED_VALUE"""),29391.6666666666)</f>
        <v>29391.666666666599</v>
      </c>
      <c r="B121" s="1">
        <f ca="1">IFERROR(__xludf.DUMMYFUNCTION("""COMPUTED_VALUE"""),114.66)</f>
        <v>114.66</v>
      </c>
    </row>
    <row r="122" spans="1:2">
      <c r="A122" s="3">
        <f ca="1">IFERROR(__xludf.DUMMYFUNCTION("""COMPUTED_VALUE"""),29392.6666666666)</f>
        <v>29392.666666666599</v>
      </c>
      <c r="B122" s="1">
        <f ca="1">IFERROR(__xludf.DUMMYFUNCTION("""COMPUTED_VALUE"""),114.06)</f>
        <v>114.06</v>
      </c>
    </row>
    <row r="123" spans="1:2">
      <c r="A123" s="3">
        <f ca="1">IFERROR(__xludf.DUMMYFUNCTION("""COMPUTED_VALUE"""),29395.6666666666)</f>
        <v>29395.666666666599</v>
      </c>
      <c r="B123" s="1">
        <f ca="1">IFERROR(__xludf.DUMMYFUNCTION("""COMPUTED_VALUE"""),114.51)</f>
        <v>114.51</v>
      </c>
    </row>
    <row r="124" spans="1:2">
      <c r="A124" s="3">
        <f ca="1">IFERROR(__xludf.DUMMYFUNCTION("""COMPUTED_VALUE"""),29396.6666666666)</f>
        <v>29396.666666666599</v>
      </c>
      <c r="B124" s="1">
        <f ca="1">IFERROR(__xludf.DUMMYFUNCTION("""COMPUTED_VALUE"""),115.14)</f>
        <v>115.14</v>
      </c>
    </row>
    <row r="125" spans="1:2">
      <c r="A125" s="3">
        <f ca="1">IFERROR(__xludf.DUMMYFUNCTION("""COMPUTED_VALUE"""),29397.6666666666)</f>
        <v>29397.666666666599</v>
      </c>
      <c r="B125" s="1">
        <f ca="1">IFERROR(__xludf.DUMMYFUNCTION("""COMPUTED_VALUE"""),116.72)</f>
        <v>116.72</v>
      </c>
    </row>
    <row r="126" spans="1:2">
      <c r="A126" s="3">
        <f ca="1">IFERROR(__xludf.DUMMYFUNCTION("""COMPUTED_VALUE"""),29398.6666666666)</f>
        <v>29398.666666666599</v>
      </c>
      <c r="B126" s="1">
        <f ca="1">IFERROR(__xludf.DUMMYFUNCTION("""COMPUTED_VALUE"""),116.19)</f>
        <v>116.19</v>
      </c>
    </row>
    <row r="127" spans="1:2">
      <c r="A127" s="3">
        <f ca="1">IFERROR(__xludf.DUMMYFUNCTION("""COMPUTED_VALUE"""),29399.6666666666)</f>
        <v>29399.666666666599</v>
      </c>
      <c r="B127" s="1">
        <f ca="1">IFERROR(__xludf.DUMMYFUNCTION("""COMPUTED_VALUE"""),116)</f>
        <v>116</v>
      </c>
    </row>
    <row r="128" spans="1:2">
      <c r="A128" s="3">
        <f ca="1">IFERROR(__xludf.DUMMYFUNCTION("""COMPUTED_VALUE"""),29402.6666666666)</f>
        <v>29402.666666666599</v>
      </c>
      <c r="B128" s="1">
        <f ca="1">IFERROR(__xludf.DUMMYFUNCTION("""COMPUTED_VALUE"""),114.24)</f>
        <v>114.24</v>
      </c>
    </row>
    <row r="129" spans="1:2">
      <c r="A129" s="3">
        <f ca="1">IFERROR(__xludf.DUMMYFUNCTION("""COMPUTED_VALUE"""),29403.6666666666)</f>
        <v>29403.666666666599</v>
      </c>
      <c r="B129" s="1">
        <f ca="1">IFERROR(__xludf.DUMMYFUNCTION("""COMPUTED_VALUE"""),114.93)</f>
        <v>114.93</v>
      </c>
    </row>
    <row r="130" spans="1:2">
      <c r="A130" s="3">
        <f ca="1">IFERROR(__xludf.DUMMYFUNCTION("""COMPUTED_VALUE"""),29404.6666666666)</f>
        <v>29404.666666666599</v>
      </c>
      <c r="B130" s="1">
        <f ca="1">IFERROR(__xludf.DUMMYFUNCTION("""COMPUTED_VALUE"""),115.68)</f>
        <v>115.68</v>
      </c>
    </row>
    <row r="131" spans="1:2">
      <c r="A131" s="3">
        <f ca="1">IFERROR(__xludf.DUMMYFUNCTION("""COMPUTED_VALUE"""),29405.6666666666)</f>
        <v>29405.666666666599</v>
      </c>
      <c r="B131" s="1">
        <f ca="1">IFERROR(__xludf.DUMMYFUNCTION("""COMPUTED_VALUE"""),117.46)</f>
        <v>117.46</v>
      </c>
    </row>
    <row r="132" spans="1:2">
      <c r="A132" s="3">
        <f ca="1">IFERROR(__xludf.DUMMYFUNCTION("""COMPUTED_VALUE"""),29409.6666666666)</f>
        <v>29409.666666666599</v>
      </c>
      <c r="B132" s="1">
        <f ca="1">IFERROR(__xludf.DUMMYFUNCTION("""COMPUTED_VALUE"""),118.29)</f>
        <v>118.29</v>
      </c>
    </row>
    <row r="133" spans="1:2">
      <c r="A133" s="3">
        <f ca="1">IFERROR(__xludf.DUMMYFUNCTION("""COMPUTED_VALUE"""),29410.6666666666)</f>
        <v>29410.666666666599</v>
      </c>
      <c r="B133" s="1">
        <f ca="1">IFERROR(__xludf.DUMMYFUNCTION("""COMPUTED_VALUE"""),117.84)</f>
        <v>117.84</v>
      </c>
    </row>
    <row r="134" spans="1:2">
      <c r="A134" s="3">
        <f ca="1">IFERROR(__xludf.DUMMYFUNCTION("""COMPUTED_VALUE"""),29411.6666666666)</f>
        <v>29411.666666666599</v>
      </c>
      <c r="B134" s="1">
        <f ca="1">IFERROR(__xludf.DUMMYFUNCTION("""COMPUTED_VALUE"""),117.98)</f>
        <v>117.98</v>
      </c>
    </row>
    <row r="135" spans="1:2">
      <c r="A135" s="3">
        <f ca="1">IFERROR(__xludf.DUMMYFUNCTION("""COMPUTED_VALUE"""),29412.6666666666)</f>
        <v>29412.666666666599</v>
      </c>
      <c r="B135" s="1">
        <f ca="1">IFERROR(__xludf.DUMMYFUNCTION("""COMPUTED_VALUE"""),116.95)</f>
        <v>116.95</v>
      </c>
    </row>
    <row r="136" spans="1:2">
      <c r="A136" s="3">
        <f ca="1">IFERROR(__xludf.DUMMYFUNCTION("""COMPUTED_VALUE"""),29413.6666666666)</f>
        <v>29413.666666666599</v>
      </c>
      <c r="B136" s="1">
        <f ca="1">IFERROR(__xludf.DUMMYFUNCTION("""COMPUTED_VALUE"""),117.84)</f>
        <v>117.84</v>
      </c>
    </row>
    <row r="137" spans="1:2">
      <c r="A137" s="3">
        <f ca="1">IFERROR(__xludf.DUMMYFUNCTION("""COMPUTED_VALUE"""),29416.6666666666)</f>
        <v>29416.666666666599</v>
      </c>
      <c r="B137" s="1">
        <f ca="1">IFERROR(__xludf.DUMMYFUNCTION("""COMPUTED_VALUE"""),120.01)</f>
        <v>120.01</v>
      </c>
    </row>
    <row r="138" spans="1:2">
      <c r="A138" s="3">
        <f ca="1">IFERROR(__xludf.DUMMYFUNCTION("""COMPUTED_VALUE"""),29417.6666666666)</f>
        <v>29417.666666666599</v>
      </c>
      <c r="B138" s="1">
        <f ca="1">IFERROR(__xludf.DUMMYFUNCTION("""COMPUTED_VALUE"""),119.3)</f>
        <v>119.3</v>
      </c>
    </row>
    <row r="139" spans="1:2">
      <c r="A139" s="3">
        <f ca="1">IFERROR(__xludf.DUMMYFUNCTION("""COMPUTED_VALUE"""),29418.6666666666)</f>
        <v>29418.666666666599</v>
      </c>
      <c r="B139" s="1">
        <f ca="1">IFERROR(__xludf.DUMMYFUNCTION("""COMPUTED_VALUE"""),119.63)</f>
        <v>119.63</v>
      </c>
    </row>
    <row r="140" spans="1:2">
      <c r="A140" s="3">
        <f ca="1">IFERROR(__xludf.DUMMYFUNCTION("""COMPUTED_VALUE"""),29419.6666666666)</f>
        <v>29419.666666666599</v>
      </c>
      <c r="B140" s="1">
        <f ca="1">IFERROR(__xludf.DUMMYFUNCTION("""COMPUTED_VALUE"""),121.44)</f>
        <v>121.44</v>
      </c>
    </row>
    <row r="141" spans="1:2">
      <c r="A141" s="3">
        <f ca="1">IFERROR(__xludf.DUMMYFUNCTION("""COMPUTED_VALUE"""),29420.6666666666)</f>
        <v>29420.666666666599</v>
      </c>
      <c r="B141" s="1">
        <f ca="1">IFERROR(__xludf.DUMMYFUNCTION("""COMPUTED_VALUE"""),122.04)</f>
        <v>122.04</v>
      </c>
    </row>
    <row r="142" spans="1:2">
      <c r="A142" s="3">
        <f ca="1">IFERROR(__xludf.DUMMYFUNCTION("""COMPUTED_VALUE"""),29423.6666666666)</f>
        <v>29423.666666666599</v>
      </c>
      <c r="B142" s="1">
        <f ca="1">IFERROR(__xludf.DUMMYFUNCTION("""COMPUTED_VALUE"""),122.51)</f>
        <v>122.51</v>
      </c>
    </row>
    <row r="143" spans="1:2">
      <c r="A143" s="3">
        <f ca="1">IFERROR(__xludf.DUMMYFUNCTION("""COMPUTED_VALUE"""),29424.6666666666)</f>
        <v>29424.666666666599</v>
      </c>
      <c r="B143" s="1">
        <f ca="1">IFERROR(__xludf.DUMMYFUNCTION("""COMPUTED_VALUE"""),122.19)</f>
        <v>122.19</v>
      </c>
    </row>
    <row r="144" spans="1:2">
      <c r="A144" s="3">
        <f ca="1">IFERROR(__xludf.DUMMYFUNCTION("""COMPUTED_VALUE"""),29425.6666666666)</f>
        <v>29425.666666666599</v>
      </c>
      <c r="B144" s="1">
        <f ca="1">IFERROR(__xludf.DUMMYFUNCTION("""COMPUTED_VALUE"""),121.93)</f>
        <v>121.93</v>
      </c>
    </row>
    <row r="145" spans="1:2">
      <c r="A145" s="3">
        <f ca="1">IFERROR(__xludf.DUMMYFUNCTION("""COMPUTED_VALUE"""),29426.6666666666)</f>
        <v>29426.666666666599</v>
      </c>
      <c r="B145" s="1">
        <f ca="1">IFERROR(__xludf.DUMMYFUNCTION("""COMPUTED_VALUE"""),121.79)</f>
        <v>121.79</v>
      </c>
    </row>
    <row r="146" spans="1:2">
      <c r="A146" s="3">
        <f ca="1">IFERROR(__xludf.DUMMYFUNCTION("""COMPUTED_VALUE"""),29427.6666666666)</f>
        <v>29427.666666666599</v>
      </c>
      <c r="B146" s="1">
        <f ca="1">IFERROR(__xludf.DUMMYFUNCTION("""COMPUTED_VALUE"""),120.78)</f>
        <v>120.78</v>
      </c>
    </row>
    <row r="147" spans="1:2">
      <c r="A147" s="3">
        <f ca="1">IFERROR(__xludf.DUMMYFUNCTION("""COMPUTED_VALUE"""),29430.6666666666)</f>
        <v>29430.666666666599</v>
      </c>
      <c r="B147" s="1">
        <f ca="1">IFERROR(__xludf.DUMMYFUNCTION("""COMPUTED_VALUE"""),121.43)</f>
        <v>121.43</v>
      </c>
    </row>
    <row r="148" spans="1:2">
      <c r="A148" s="3">
        <f ca="1">IFERROR(__xludf.DUMMYFUNCTION("""COMPUTED_VALUE"""),29431.6666666666)</f>
        <v>29431.666666666599</v>
      </c>
      <c r="B148" s="1">
        <f ca="1">IFERROR(__xludf.DUMMYFUNCTION("""COMPUTED_VALUE"""),122.4)</f>
        <v>122.4</v>
      </c>
    </row>
    <row r="149" spans="1:2">
      <c r="A149" s="3">
        <f ca="1">IFERROR(__xludf.DUMMYFUNCTION("""COMPUTED_VALUE"""),29432.6666666666)</f>
        <v>29432.666666666599</v>
      </c>
      <c r="B149" s="1">
        <f ca="1">IFERROR(__xludf.DUMMYFUNCTION("""COMPUTED_VALUE"""),122.23)</f>
        <v>122.23</v>
      </c>
    </row>
    <row r="150" spans="1:2">
      <c r="A150" s="3">
        <f ca="1">IFERROR(__xludf.DUMMYFUNCTION("""COMPUTED_VALUE"""),29433.6666666666)</f>
        <v>29433.666666666599</v>
      </c>
      <c r="B150" s="1">
        <f ca="1">IFERROR(__xludf.DUMMYFUNCTION("""COMPUTED_VALUE"""),121.67)</f>
        <v>121.67</v>
      </c>
    </row>
    <row r="151" spans="1:2">
      <c r="A151" s="3">
        <f ca="1">IFERROR(__xludf.DUMMYFUNCTION("""COMPUTED_VALUE"""),29434.6666666666)</f>
        <v>29434.666666666599</v>
      </c>
      <c r="B151" s="1">
        <f ca="1">IFERROR(__xludf.DUMMYFUNCTION("""COMPUTED_VALUE"""),121.21)</f>
        <v>121.21</v>
      </c>
    </row>
    <row r="152" spans="1:2">
      <c r="A152" s="3">
        <f ca="1">IFERROR(__xludf.DUMMYFUNCTION("""COMPUTED_VALUE"""),29437.6666666666)</f>
        <v>29437.666666666599</v>
      </c>
      <c r="B152" s="1">
        <f ca="1">IFERROR(__xludf.DUMMYFUNCTION("""COMPUTED_VALUE"""),120.98)</f>
        <v>120.98</v>
      </c>
    </row>
    <row r="153" spans="1:2">
      <c r="A153" s="3">
        <f ca="1">IFERROR(__xludf.DUMMYFUNCTION("""COMPUTED_VALUE"""),29438.6666666666)</f>
        <v>29438.666666666599</v>
      </c>
      <c r="B153" s="1">
        <f ca="1">IFERROR(__xludf.DUMMYFUNCTION("""COMPUTED_VALUE"""),120.74)</f>
        <v>120.74</v>
      </c>
    </row>
    <row r="154" spans="1:2">
      <c r="A154" s="3">
        <f ca="1">IFERROR(__xludf.DUMMYFUNCTION("""COMPUTED_VALUE"""),29439.6666666666)</f>
        <v>29439.666666666599</v>
      </c>
      <c r="B154" s="1">
        <f ca="1">IFERROR(__xludf.DUMMYFUNCTION("""COMPUTED_VALUE"""),121.55)</f>
        <v>121.55</v>
      </c>
    </row>
    <row r="155" spans="1:2">
      <c r="A155" s="3">
        <f ca="1">IFERROR(__xludf.DUMMYFUNCTION("""COMPUTED_VALUE"""),29440.6666666666)</f>
        <v>29440.666666666599</v>
      </c>
      <c r="B155" s="1">
        <f ca="1">IFERROR(__xludf.DUMMYFUNCTION("""COMPUTED_VALUE"""),123.3)</f>
        <v>123.3</v>
      </c>
    </row>
    <row r="156" spans="1:2">
      <c r="A156" s="3">
        <f ca="1">IFERROR(__xludf.DUMMYFUNCTION("""COMPUTED_VALUE"""),29441.6666666666)</f>
        <v>29441.666666666599</v>
      </c>
      <c r="B156" s="1">
        <f ca="1">IFERROR(__xludf.DUMMYFUNCTION("""COMPUTED_VALUE"""),123.61)</f>
        <v>123.61</v>
      </c>
    </row>
    <row r="157" spans="1:2">
      <c r="A157" s="3">
        <f ca="1">IFERROR(__xludf.DUMMYFUNCTION("""COMPUTED_VALUE"""),29444.6666666666)</f>
        <v>29444.666666666599</v>
      </c>
      <c r="B157" s="1">
        <f ca="1">IFERROR(__xludf.DUMMYFUNCTION("""COMPUTED_VALUE"""),124.78)</f>
        <v>124.78</v>
      </c>
    </row>
    <row r="158" spans="1:2">
      <c r="A158" s="3">
        <f ca="1">IFERROR(__xludf.DUMMYFUNCTION("""COMPUTED_VALUE"""),29445.6666666666)</f>
        <v>29445.666666666599</v>
      </c>
      <c r="B158" s="1">
        <f ca="1">IFERROR(__xludf.DUMMYFUNCTION("""COMPUTED_VALUE"""),123.79)</f>
        <v>123.79</v>
      </c>
    </row>
    <row r="159" spans="1:2">
      <c r="A159" s="3">
        <f ca="1">IFERROR(__xludf.DUMMYFUNCTION("""COMPUTED_VALUE"""),29446.6666666666)</f>
        <v>29446.666666666599</v>
      </c>
      <c r="B159" s="1">
        <f ca="1">IFERROR(__xludf.DUMMYFUNCTION("""COMPUTED_VALUE"""),123.28)</f>
        <v>123.28</v>
      </c>
    </row>
    <row r="160" spans="1:2">
      <c r="A160" s="3">
        <f ca="1">IFERROR(__xludf.DUMMYFUNCTION("""COMPUTED_VALUE"""),29447.6666666666)</f>
        <v>29447.666666666599</v>
      </c>
      <c r="B160" s="1">
        <f ca="1">IFERROR(__xludf.DUMMYFUNCTION("""COMPUTED_VALUE"""),125.25)</f>
        <v>125.25</v>
      </c>
    </row>
    <row r="161" spans="1:2">
      <c r="A161" s="3">
        <f ca="1">IFERROR(__xludf.DUMMYFUNCTION("""COMPUTED_VALUE"""),29448.6666666666)</f>
        <v>29448.666666666599</v>
      </c>
      <c r="B161" s="1">
        <f ca="1">IFERROR(__xludf.DUMMYFUNCTION("""COMPUTED_VALUE"""),125.72)</f>
        <v>125.72</v>
      </c>
    </row>
    <row r="162" spans="1:2">
      <c r="A162" s="3">
        <f ca="1">IFERROR(__xludf.DUMMYFUNCTION("""COMPUTED_VALUE"""),29451.6666666666)</f>
        <v>29451.666666666599</v>
      </c>
      <c r="B162" s="1">
        <f ca="1">IFERROR(__xludf.DUMMYFUNCTION("""COMPUTED_VALUE"""),123.39)</f>
        <v>123.39</v>
      </c>
    </row>
    <row r="163" spans="1:2">
      <c r="A163" s="3">
        <f ca="1">IFERROR(__xludf.DUMMYFUNCTION("""COMPUTED_VALUE"""),29452.6666666666)</f>
        <v>29452.666666666599</v>
      </c>
      <c r="B163" s="1">
        <f ca="1">IFERROR(__xludf.DUMMYFUNCTION("""COMPUTED_VALUE"""),122.6)</f>
        <v>122.6</v>
      </c>
    </row>
    <row r="164" spans="1:2">
      <c r="A164" s="3">
        <f ca="1">IFERROR(__xludf.DUMMYFUNCTION("""COMPUTED_VALUE"""),29453.6666666666)</f>
        <v>29453.666666666599</v>
      </c>
      <c r="B164" s="1">
        <f ca="1">IFERROR(__xludf.DUMMYFUNCTION("""COMPUTED_VALUE"""),123.77)</f>
        <v>123.77</v>
      </c>
    </row>
    <row r="165" spans="1:2">
      <c r="A165" s="3">
        <f ca="1">IFERROR(__xludf.DUMMYFUNCTION("""COMPUTED_VALUE"""),29454.6666666666)</f>
        <v>29454.666666666599</v>
      </c>
      <c r="B165" s="1">
        <f ca="1">IFERROR(__xludf.DUMMYFUNCTION("""COMPUTED_VALUE"""),125.46)</f>
        <v>125.46</v>
      </c>
    </row>
    <row r="166" spans="1:2">
      <c r="A166" s="3">
        <f ca="1">IFERROR(__xludf.DUMMYFUNCTION("""COMPUTED_VALUE"""),29455.6666666666)</f>
        <v>29455.666666666599</v>
      </c>
      <c r="B166" s="1">
        <f ca="1">IFERROR(__xludf.DUMMYFUNCTION("""COMPUTED_VALUE"""),126.02)</f>
        <v>126.02</v>
      </c>
    </row>
    <row r="167" spans="1:2">
      <c r="A167" s="3">
        <f ca="1">IFERROR(__xludf.DUMMYFUNCTION("""COMPUTED_VALUE"""),29458.6666666666)</f>
        <v>29458.666666666599</v>
      </c>
      <c r="B167" s="1">
        <f ca="1">IFERROR(__xludf.DUMMYFUNCTION("""COMPUTED_VALUE"""),125.16)</f>
        <v>125.16</v>
      </c>
    </row>
    <row r="168" spans="1:2">
      <c r="A168" s="3">
        <f ca="1">IFERROR(__xludf.DUMMYFUNCTION("""COMPUTED_VALUE"""),29459.6666666666)</f>
        <v>29459.666666666599</v>
      </c>
      <c r="B168" s="1">
        <f ca="1">IFERROR(__xludf.DUMMYFUNCTION("""COMPUTED_VALUE"""),124.84)</f>
        <v>124.84</v>
      </c>
    </row>
    <row r="169" spans="1:2">
      <c r="A169" s="3">
        <f ca="1">IFERROR(__xludf.DUMMYFUNCTION("""COMPUTED_VALUE"""),29460.6666666666)</f>
        <v>29460.666666666599</v>
      </c>
      <c r="B169" s="1">
        <f ca="1">IFERROR(__xludf.DUMMYFUNCTION("""COMPUTED_VALUE"""),123.52)</f>
        <v>123.52</v>
      </c>
    </row>
    <row r="170" spans="1:2">
      <c r="A170" s="3">
        <f ca="1">IFERROR(__xludf.DUMMYFUNCTION("""COMPUTED_VALUE"""),29461.6666666666)</f>
        <v>29461.666666666599</v>
      </c>
      <c r="B170" s="1">
        <f ca="1">IFERROR(__xludf.DUMMYFUNCTION("""COMPUTED_VALUE"""),122.08)</f>
        <v>122.08</v>
      </c>
    </row>
    <row r="171" spans="1:2">
      <c r="A171" s="3">
        <f ca="1">IFERROR(__xludf.DUMMYFUNCTION("""COMPUTED_VALUE"""),29462.6666666666)</f>
        <v>29462.666666666599</v>
      </c>
      <c r="B171" s="1">
        <f ca="1">IFERROR(__xludf.DUMMYFUNCTION("""COMPUTED_VALUE"""),122.38)</f>
        <v>122.38</v>
      </c>
    </row>
    <row r="172" spans="1:2">
      <c r="A172" s="3">
        <f ca="1">IFERROR(__xludf.DUMMYFUNCTION("""COMPUTED_VALUE"""),29466.6666666666)</f>
        <v>29466.666666666599</v>
      </c>
      <c r="B172" s="1">
        <f ca="1">IFERROR(__xludf.DUMMYFUNCTION("""COMPUTED_VALUE"""),123.74)</f>
        <v>123.74</v>
      </c>
    </row>
    <row r="173" spans="1:2">
      <c r="A173" s="3">
        <f ca="1">IFERROR(__xludf.DUMMYFUNCTION("""COMPUTED_VALUE"""),29467.6666666666)</f>
        <v>29467.666666666599</v>
      </c>
      <c r="B173" s="1">
        <f ca="1">IFERROR(__xludf.DUMMYFUNCTION("""COMPUTED_VALUE"""),126.12)</f>
        <v>126.12</v>
      </c>
    </row>
    <row r="174" spans="1:2">
      <c r="A174" s="3">
        <f ca="1">IFERROR(__xludf.DUMMYFUNCTION("""COMPUTED_VALUE"""),29468.6666666666)</f>
        <v>29468.666666666599</v>
      </c>
      <c r="B174" s="1">
        <f ca="1">IFERROR(__xludf.DUMMYFUNCTION("""COMPUTED_VALUE"""),125.42)</f>
        <v>125.42</v>
      </c>
    </row>
    <row r="175" spans="1:2">
      <c r="A175" s="3">
        <f ca="1">IFERROR(__xludf.DUMMYFUNCTION("""COMPUTED_VALUE"""),29469.6666666666)</f>
        <v>29469.666666666599</v>
      </c>
      <c r="B175" s="1">
        <f ca="1">IFERROR(__xludf.DUMMYFUNCTION("""COMPUTED_VALUE"""),124.88)</f>
        <v>124.88</v>
      </c>
    </row>
    <row r="176" spans="1:2">
      <c r="A176" s="3">
        <f ca="1">IFERROR(__xludf.DUMMYFUNCTION("""COMPUTED_VALUE"""),29472.6666666666)</f>
        <v>29472.666666666599</v>
      </c>
      <c r="B176" s="1">
        <f ca="1">IFERROR(__xludf.DUMMYFUNCTION("""COMPUTED_VALUE"""),123.31)</f>
        <v>123.31</v>
      </c>
    </row>
    <row r="177" spans="1:2">
      <c r="A177" s="3">
        <f ca="1">IFERROR(__xludf.DUMMYFUNCTION("""COMPUTED_VALUE"""),29473.6666666666)</f>
        <v>29473.666666666599</v>
      </c>
      <c r="B177" s="1">
        <f ca="1">IFERROR(__xludf.DUMMYFUNCTION("""COMPUTED_VALUE"""),124.07)</f>
        <v>124.07</v>
      </c>
    </row>
    <row r="178" spans="1:2">
      <c r="A178" s="3">
        <f ca="1">IFERROR(__xludf.DUMMYFUNCTION("""COMPUTED_VALUE"""),29474.6666666666)</f>
        <v>29474.666666666599</v>
      </c>
      <c r="B178" s="1">
        <f ca="1">IFERROR(__xludf.DUMMYFUNCTION("""COMPUTED_VALUE"""),124.81)</f>
        <v>124.81</v>
      </c>
    </row>
    <row r="179" spans="1:2">
      <c r="A179" s="3">
        <f ca="1">IFERROR(__xludf.DUMMYFUNCTION("""COMPUTED_VALUE"""),29475.6666666666)</f>
        <v>29475.666666666599</v>
      </c>
      <c r="B179" s="1">
        <f ca="1">IFERROR(__xludf.DUMMYFUNCTION("""COMPUTED_VALUE"""),125.66)</f>
        <v>125.66</v>
      </c>
    </row>
    <row r="180" spans="1:2">
      <c r="A180" s="3">
        <f ca="1">IFERROR(__xludf.DUMMYFUNCTION("""COMPUTED_VALUE"""),29476.6666666666)</f>
        <v>29476.666666666599</v>
      </c>
      <c r="B180" s="1">
        <f ca="1">IFERROR(__xludf.DUMMYFUNCTION("""COMPUTED_VALUE"""),125.54)</f>
        <v>125.54</v>
      </c>
    </row>
    <row r="181" spans="1:2">
      <c r="A181" s="3">
        <f ca="1">IFERROR(__xludf.DUMMYFUNCTION("""COMPUTED_VALUE"""),29479.6666666666)</f>
        <v>29479.666666666599</v>
      </c>
      <c r="B181" s="1">
        <f ca="1">IFERROR(__xludf.DUMMYFUNCTION("""COMPUTED_VALUE"""),125.67)</f>
        <v>125.67</v>
      </c>
    </row>
    <row r="182" spans="1:2">
      <c r="A182" s="3">
        <f ca="1">IFERROR(__xludf.DUMMYFUNCTION("""COMPUTED_VALUE"""),29480.6666666666)</f>
        <v>29480.666666666599</v>
      </c>
      <c r="B182" s="1">
        <f ca="1">IFERROR(__xludf.DUMMYFUNCTION("""COMPUTED_VALUE"""),126.74)</f>
        <v>126.74</v>
      </c>
    </row>
    <row r="183" spans="1:2">
      <c r="A183" s="3">
        <f ca="1">IFERROR(__xludf.DUMMYFUNCTION("""COMPUTED_VALUE"""),29481.6666666666)</f>
        <v>29481.666666666599</v>
      </c>
      <c r="B183" s="1">
        <f ca="1">IFERROR(__xludf.DUMMYFUNCTION("""COMPUTED_VALUE"""),128.87)</f>
        <v>128.87</v>
      </c>
    </row>
    <row r="184" spans="1:2">
      <c r="A184" s="3">
        <f ca="1">IFERROR(__xludf.DUMMYFUNCTION("""COMPUTED_VALUE"""),29482.6666666666)</f>
        <v>29482.666666666599</v>
      </c>
      <c r="B184" s="1">
        <f ca="1">IFERROR(__xludf.DUMMYFUNCTION("""COMPUTED_VALUE"""),128.4)</f>
        <v>128.4</v>
      </c>
    </row>
    <row r="185" spans="1:2">
      <c r="A185" s="3">
        <f ca="1">IFERROR(__xludf.DUMMYFUNCTION("""COMPUTED_VALUE"""),29483.6666666666)</f>
        <v>29483.666666666599</v>
      </c>
      <c r="B185" s="1">
        <f ca="1">IFERROR(__xludf.DUMMYFUNCTION("""COMPUTED_VALUE"""),129.25)</f>
        <v>129.25</v>
      </c>
    </row>
    <row r="186" spans="1:2">
      <c r="A186" s="3">
        <f ca="1">IFERROR(__xludf.DUMMYFUNCTION("""COMPUTED_VALUE"""),29486.6666666666)</f>
        <v>29486.666666666599</v>
      </c>
      <c r="B186" s="1">
        <f ca="1">IFERROR(__xludf.DUMMYFUNCTION("""COMPUTED_VALUE"""),130.4)</f>
        <v>130.4</v>
      </c>
    </row>
    <row r="187" spans="1:2">
      <c r="A187" s="3">
        <f ca="1">IFERROR(__xludf.DUMMYFUNCTION("""COMPUTED_VALUE"""),29487.6666666666)</f>
        <v>29487.666666666599</v>
      </c>
      <c r="B187" s="1">
        <f ca="1">IFERROR(__xludf.DUMMYFUNCTION("""COMPUTED_VALUE"""),129.43)</f>
        <v>129.43</v>
      </c>
    </row>
    <row r="188" spans="1:2">
      <c r="A188" s="3">
        <f ca="1">IFERROR(__xludf.DUMMYFUNCTION("""COMPUTED_VALUE"""),29488.6666666666)</f>
        <v>29488.666666666599</v>
      </c>
      <c r="B188" s="1">
        <f ca="1">IFERROR(__xludf.DUMMYFUNCTION("""COMPUTED_VALUE"""),130.37)</f>
        <v>130.37</v>
      </c>
    </row>
    <row r="189" spans="1:2">
      <c r="A189" s="3">
        <f ca="1">IFERROR(__xludf.DUMMYFUNCTION("""COMPUTED_VALUE"""),29489.6666666666)</f>
        <v>29489.666666666599</v>
      </c>
      <c r="B189" s="1">
        <f ca="1">IFERROR(__xludf.DUMMYFUNCTION("""COMPUTED_VALUE"""),128.72)</f>
        <v>128.72</v>
      </c>
    </row>
    <row r="190" spans="1:2">
      <c r="A190" s="3">
        <f ca="1">IFERROR(__xludf.DUMMYFUNCTION("""COMPUTED_VALUE"""),29490.6666666666)</f>
        <v>29490.666666666599</v>
      </c>
      <c r="B190" s="1">
        <f ca="1">IFERROR(__xludf.DUMMYFUNCTION("""COMPUTED_VALUE"""),126.35)</f>
        <v>126.35</v>
      </c>
    </row>
    <row r="191" spans="1:2">
      <c r="A191" s="3">
        <f ca="1">IFERROR(__xludf.DUMMYFUNCTION("""COMPUTED_VALUE"""),29493.6666666666)</f>
        <v>29493.666666666599</v>
      </c>
      <c r="B191" s="1">
        <f ca="1">IFERROR(__xludf.DUMMYFUNCTION("""COMPUTED_VALUE"""),123.54)</f>
        <v>123.54</v>
      </c>
    </row>
    <row r="192" spans="1:2">
      <c r="A192" s="3">
        <f ca="1">IFERROR(__xludf.DUMMYFUNCTION("""COMPUTED_VALUE"""),29494.6666666666)</f>
        <v>29494.666666666599</v>
      </c>
      <c r="B192" s="1">
        <f ca="1">IFERROR(__xludf.DUMMYFUNCTION("""COMPUTED_VALUE"""),125.46)</f>
        <v>125.46</v>
      </c>
    </row>
    <row r="193" spans="1:2">
      <c r="A193" s="3">
        <f ca="1">IFERROR(__xludf.DUMMYFUNCTION("""COMPUTED_VALUE"""),29495.6666666666)</f>
        <v>29495.666666666599</v>
      </c>
      <c r="B193" s="1">
        <f ca="1">IFERROR(__xludf.DUMMYFUNCTION("""COMPUTED_VALUE"""),127.13)</f>
        <v>127.13</v>
      </c>
    </row>
    <row r="194" spans="1:2">
      <c r="A194" s="3">
        <f ca="1">IFERROR(__xludf.DUMMYFUNCTION("""COMPUTED_VALUE"""),29496.6666666666)</f>
        <v>29496.666666666599</v>
      </c>
      <c r="B194" s="1">
        <f ca="1">IFERROR(__xludf.DUMMYFUNCTION("""COMPUTED_VALUE"""),128.09)</f>
        <v>128.09</v>
      </c>
    </row>
    <row r="195" spans="1:2">
      <c r="A195" s="3">
        <f ca="1">IFERROR(__xludf.DUMMYFUNCTION("""COMPUTED_VALUE"""),29497.6666666666)</f>
        <v>29497.666666666599</v>
      </c>
      <c r="B195" s="1">
        <f ca="1">IFERROR(__xludf.DUMMYFUNCTION("""COMPUTED_VALUE"""),129.33)</f>
        <v>129.33000000000001</v>
      </c>
    </row>
    <row r="196" spans="1:2">
      <c r="A196" s="3">
        <f ca="1">IFERROR(__xludf.DUMMYFUNCTION("""COMPUTED_VALUE"""),29500.6666666666)</f>
        <v>29500.666666666599</v>
      </c>
      <c r="B196" s="1">
        <f ca="1">IFERROR(__xludf.DUMMYFUNCTION("""COMPUTED_VALUE"""),131.73)</f>
        <v>131.72999999999999</v>
      </c>
    </row>
    <row r="197" spans="1:2">
      <c r="A197" s="3">
        <f ca="1">IFERROR(__xludf.DUMMYFUNCTION("""COMPUTED_VALUE"""),29501.6666666666)</f>
        <v>29501.666666666599</v>
      </c>
      <c r="B197" s="1">
        <f ca="1">IFERROR(__xludf.DUMMYFUNCTION("""COMPUTED_VALUE"""),131)</f>
        <v>131</v>
      </c>
    </row>
    <row r="198" spans="1:2">
      <c r="A198" s="3">
        <f ca="1">IFERROR(__xludf.DUMMYFUNCTION("""COMPUTED_VALUE"""),29502.6666666666)</f>
        <v>29502.666666666599</v>
      </c>
      <c r="B198" s="1">
        <f ca="1">IFERROR(__xludf.DUMMYFUNCTION("""COMPUTED_VALUE"""),131.65)</f>
        <v>131.65</v>
      </c>
    </row>
    <row r="199" spans="1:2">
      <c r="A199" s="3">
        <f ca="1">IFERROR(__xludf.DUMMYFUNCTION("""COMPUTED_VALUE"""),29503.6666666666)</f>
        <v>29503.666666666599</v>
      </c>
      <c r="B199" s="1">
        <f ca="1">IFERROR(__xludf.DUMMYFUNCTION("""COMPUTED_VALUE"""),131.04)</f>
        <v>131.04</v>
      </c>
    </row>
    <row r="200" spans="1:2">
      <c r="A200" s="3">
        <f ca="1">IFERROR(__xludf.DUMMYFUNCTION("""COMPUTED_VALUE"""),29504.6666666666)</f>
        <v>29504.666666666599</v>
      </c>
      <c r="B200" s="1">
        <f ca="1">IFERROR(__xludf.DUMMYFUNCTION("""COMPUTED_VALUE"""),130.29)</f>
        <v>130.29</v>
      </c>
    </row>
    <row r="201" spans="1:2">
      <c r="A201" s="3">
        <f ca="1">IFERROR(__xludf.DUMMYFUNCTION("""COMPUTED_VALUE"""),29507.6666666666)</f>
        <v>29507.666666666599</v>
      </c>
      <c r="B201" s="1">
        <f ca="1">IFERROR(__xludf.DUMMYFUNCTION("""COMPUTED_VALUE"""),132.03)</f>
        <v>132.03</v>
      </c>
    </row>
    <row r="202" spans="1:2">
      <c r="A202" s="3">
        <f ca="1">IFERROR(__xludf.DUMMYFUNCTION("""COMPUTED_VALUE"""),29508.6666666666)</f>
        <v>29508.666666666599</v>
      </c>
      <c r="B202" s="1">
        <f ca="1">IFERROR(__xludf.DUMMYFUNCTION("""COMPUTED_VALUE"""),132.02)</f>
        <v>132.02000000000001</v>
      </c>
    </row>
    <row r="203" spans="1:2">
      <c r="A203" s="3">
        <f ca="1">IFERROR(__xludf.DUMMYFUNCTION("""COMPUTED_VALUE"""),29509.6666666666)</f>
        <v>29509.666666666599</v>
      </c>
      <c r="B203" s="1">
        <f ca="1">IFERROR(__xludf.DUMMYFUNCTION("""COMPUTED_VALUE"""),133.7)</f>
        <v>133.69999999999999</v>
      </c>
    </row>
    <row r="204" spans="1:2">
      <c r="A204" s="3">
        <f ca="1">IFERROR(__xludf.DUMMYFUNCTION("""COMPUTED_VALUE"""),29510.6666666666)</f>
        <v>29510.666666666599</v>
      </c>
      <c r="B204" s="1">
        <f ca="1">IFERROR(__xludf.DUMMYFUNCTION("""COMPUTED_VALUE"""),132.22)</f>
        <v>132.22</v>
      </c>
    </row>
    <row r="205" spans="1:2">
      <c r="A205" s="3">
        <f ca="1">IFERROR(__xludf.DUMMYFUNCTION("""COMPUTED_VALUE"""),29511.6666666666)</f>
        <v>29511.666666666599</v>
      </c>
      <c r="B205" s="1">
        <f ca="1">IFERROR(__xludf.DUMMYFUNCTION("""COMPUTED_VALUE"""),131.52)</f>
        <v>131.52000000000001</v>
      </c>
    </row>
    <row r="206" spans="1:2">
      <c r="A206" s="3">
        <f ca="1">IFERROR(__xludf.DUMMYFUNCTION("""COMPUTED_VALUE"""),29514.6666666666)</f>
        <v>29514.666666666599</v>
      </c>
      <c r="B206" s="1">
        <f ca="1">IFERROR(__xludf.DUMMYFUNCTION("""COMPUTED_VALUE"""),132.61)</f>
        <v>132.61000000000001</v>
      </c>
    </row>
    <row r="207" spans="1:2">
      <c r="A207" s="3">
        <f ca="1">IFERROR(__xludf.DUMMYFUNCTION("""COMPUTED_VALUE"""),29515.6666666666)</f>
        <v>29515.666666666599</v>
      </c>
      <c r="B207" s="1">
        <f ca="1">IFERROR(__xludf.DUMMYFUNCTION("""COMPUTED_VALUE"""),131.84)</f>
        <v>131.84</v>
      </c>
    </row>
    <row r="208" spans="1:2">
      <c r="A208" s="3">
        <f ca="1">IFERROR(__xludf.DUMMYFUNCTION("""COMPUTED_VALUE"""),29516.6666666666)</f>
        <v>29516.666666666599</v>
      </c>
      <c r="B208" s="1">
        <f ca="1">IFERROR(__xludf.DUMMYFUNCTION("""COMPUTED_VALUE"""),131.92)</f>
        <v>131.91999999999999</v>
      </c>
    </row>
    <row r="209" spans="1:2">
      <c r="A209" s="3">
        <f ca="1">IFERROR(__xludf.DUMMYFUNCTION("""COMPUTED_VALUE"""),29517.6666666666)</f>
        <v>29517.666666666599</v>
      </c>
      <c r="B209" s="1">
        <f ca="1">IFERROR(__xludf.DUMMYFUNCTION("""COMPUTED_VALUE"""),129.53)</f>
        <v>129.53</v>
      </c>
    </row>
    <row r="210" spans="1:2">
      <c r="A210" s="3">
        <f ca="1">IFERROR(__xludf.DUMMYFUNCTION("""COMPUTED_VALUE"""),29518.6666666666)</f>
        <v>29518.666666666599</v>
      </c>
      <c r="B210" s="1">
        <f ca="1">IFERROR(__xludf.DUMMYFUNCTION("""COMPUTED_VALUE"""),129.85)</f>
        <v>129.85</v>
      </c>
    </row>
    <row r="211" spans="1:2">
      <c r="A211" s="3">
        <f ca="1">IFERROR(__xludf.DUMMYFUNCTION("""COMPUTED_VALUE"""),29521.6666666666)</f>
        <v>29521.666666666599</v>
      </c>
      <c r="B211" s="1">
        <f ca="1">IFERROR(__xludf.DUMMYFUNCTION("""COMPUTED_VALUE"""),127.88)</f>
        <v>127.88</v>
      </c>
    </row>
    <row r="212" spans="1:2">
      <c r="A212" s="3">
        <f ca="1">IFERROR(__xludf.DUMMYFUNCTION("""COMPUTED_VALUE"""),29522.6666666666)</f>
        <v>29522.666666666599</v>
      </c>
      <c r="B212" s="1">
        <f ca="1">IFERROR(__xludf.DUMMYFUNCTION("""COMPUTED_VALUE"""),128.05)</f>
        <v>128.05000000000001</v>
      </c>
    </row>
    <row r="213" spans="1:2">
      <c r="A213" s="3">
        <f ca="1">IFERROR(__xludf.DUMMYFUNCTION("""COMPUTED_VALUE"""),29523.6666666666)</f>
        <v>29523.666666666599</v>
      </c>
      <c r="B213" s="1">
        <f ca="1">IFERROR(__xludf.DUMMYFUNCTION("""COMPUTED_VALUE"""),127.91)</f>
        <v>127.91</v>
      </c>
    </row>
    <row r="214" spans="1:2">
      <c r="A214" s="3">
        <f ca="1">IFERROR(__xludf.DUMMYFUNCTION("""COMPUTED_VALUE"""),29524.6666666666)</f>
        <v>29524.666666666599</v>
      </c>
      <c r="B214" s="1">
        <f ca="1">IFERROR(__xludf.DUMMYFUNCTION("""COMPUTED_VALUE"""),126.29)</f>
        <v>126.29</v>
      </c>
    </row>
    <row r="215" spans="1:2">
      <c r="A215" s="3">
        <f ca="1">IFERROR(__xludf.DUMMYFUNCTION("""COMPUTED_VALUE"""),29525.6666666666)</f>
        <v>29525.666666666599</v>
      </c>
      <c r="B215" s="1">
        <f ca="1">IFERROR(__xludf.DUMMYFUNCTION("""COMPUTED_VALUE"""),127.47)</f>
        <v>127.47</v>
      </c>
    </row>
    <row r="216" spans="1:2">
      <c r="A216" s="3">
        <f ca="1">IFERROR(__xludf.DUMMYFUNCTION("""COMPUTED_VALUE"""),29528.6666666666)</f>
        <v>29528.666666666599</v>
      </c>
      <c r="B216" s="1">
        <f ca="1">IFERROR(__xludf.DUMMYFUNCTION("""COMPUTED_VALUE"""),129.04)</f>
        <v>129.04</v>
      </c>
    </row>
    <row r="217" spans="1:2">
      <c r="A217" s="3">
        <f ca="1">IFERROR(__xludf.DUMMYFUNCTION("""COMPUTED_VALUE"""),29529.6666666666)</f>
        <v>29529.666666666599</v>
      </c>
      <c r="B217" s="1">
        <f ca="1">IFERROR(__xludf.DUMMYFUNCTION("""COMPUTED_VALUE"""),131.33)</f>
        <v>131.33000000000001</v>
      </c>
    </row>
    <row r="218" spans="1:2">
      <c r="A218" s="3">
        <f ca="1">IFERROR(__xludf.DUMMYFUNCTION("""COMPUTED_VALUE"""),29530.6666666666)</f>
        <v>29530.666666666599</v>
      </c>
      <c r="B218" s="1">
        <f ca="1">IFERROR(__xludf.DUMMYFUNCTION("""COMPUTED_VALUE"""),131.33)</f>
        <v>131.33000000000001</v>
      </c>
    </row>
    <row r="219" spans="1:2">
      <c r="A219" s="3">
        <f ca="1">IFERROR(__xludf.DUMMYFUNCTION("""COMPUTED_VALUE"""),29531.6666666666)</f>
        <v>29531.666666666599</v>
      </c>
      <c r="B219" s="1">
        <f ca="1">IFERROR(__xludf.DUMMYFUNCTION("""COMPUTED_VALUE"""),128.91)</f>
        <v>128.91</v>
      </c>
    </row>
    <row r="220" spans="1:2">
      <c r="A220" s="3">
        <f ca="1">IFERROR(__xludf.DUMMYFUNCTION("""COMPUTED_VALUE"""),29532.6666666666)</f>
        <v>29532.666666666599</v>
      </c>
      <c r="B220" s="1">
        <f ca="1">IFERROR(__xludf.DUMMYFUNCTION("""COMPUTED_VALUE"""),129.18)</f>
        <v>129.18</v>
      </c>
    </row>
    <row r="221" spans="1:2">
      <c r="A221" s="3">
        <f ca="1">IFERROR(__xludf.DUMMYFUNCTION("""COMPUTED_VALUE"""),29535.6666666666)</f>
        <v>29535.666666666599</v>
      </c>
      <c r="B221" s="1">
        <f ca="1">IFERROR(__xludf.DUMMYFUNCTION("""COMPUTED_VALUE"""),129.48)</f>
        <v>129.47999999999999</v>
      </c>
    </row>
    <row r="222" spans="1:2">
      <c r="A222" s="3">
        <f ca="1">IFERROR(__xludf.DUMMYFUNCTION("""COMPUTED_VALUE"""),29536.6666666666)</f>
        <v>29536.666666666599</v>
      </c>
      <c r="B222" s="1">
        <f ca="1">IFERROR(__xludf.DUMMYFUNCTION("""COMPUTED_VALUE"""),131.26)</f>
        <v>131.26</v>
      </c>
    </row>
    <row r="223" spans="1:2">
      <c r="A223" s="3">
        <f ca="1">IFERROR(__xludf.DUMMYFUNCTION("""COMPUTED_VALUE"""),29537.6666666666)</f>
        <v>29537.666666666599</v>
      </c>
      <c r="B223" s="1">
        <f ca="1">IFERROR(__xludf.DUMMYFUNCTION("""COMPUTED_VALUE"""),134.59)</f>
        <v>134.59</v>
      </c>
    </row>
    <row r="224" spans="1:2">
      <c r="A224" s="3">
        <f ca="1">IFERROR(__xludf.DUMMYFUNCTION("""COMPUTED_VALUE"""),29538.6666666666)</f>
        <v>29538.666666666599</v>
      </c>
      <c r="B224" s="1">
        <f ca="1">IFERROR(__xludf.DUMMYFUNCTION("""COMPUTED_VALUE"""),136.49)</f>
        <v>136.49</v>
      </c>
    </row>
    <row r="225" spans="1:2">
      <c r="A225" s="3">
        <f ca="1">IFERROR(__xludf.DUMMYFUNCTION("""COMPUTED_VALUE"""),29539.6666666666)</f>
        <v>29539.666666666599</v>
      </c>
      <c r="B225" s="1">
        <f ca="1">IFERROR(__xludf.DUMMYFUNCTION("""COMPUTED_VALUE"""),137.15)</f>
        <v>137.15</v>
      </c>
    </row>
    <row r="226" spans="1:2">
      <c r="A226" s="3">
        <f ca="1">IFERROR(__xludf.DUMMYFUNCTION("""COMPUTED_VALUE"""),29542.6666666666)</f>
        <v>29542.666666666599</v>
      </c>
      <c r="B226" s="1">
        <f ca="1">IFERROR(__xludf.DUMMYFUNCTION("""COMPUTED_VALUE"""),137.75)</f>
        <v>137.75</v>
      </c>
    </row>
    <row r="227" spans="1:2">
      <c r="A227" s="3">
        <f ca="1">IFERROR(__xludf.DUMMYFUNCTION("""COMPUTED_VALUE"""),29543.6666666666)</f>
        <v>29543.666666666599</v>
      </c>
      <c r="B227" s="1">
        <f ca="1">IFERROR(__xludf.DUMMYFUNCTION("""COMPUTED_VALUE"""),139.7)</f>
        <v>139.69999999999999</v>
      </c>
    </row>
    <row r="228" spans="1:2">
      <c r="A228" s="3">
        <f ca="1">IFERROR(__xludf.DUMMYFUNCTION("""COMPUTED_VALUE"""),29544.6666666666)</f>
        <v>29544.666666666599</v>
      </c>
      <c r="B228" s="1">
        <f ca="1">IFERROR(__xludf.DUMMYFUNCTION("""COMPUTED_VALUE"""),139.06)</f>
        <v>139.06</v>
      </c>
    </row>
    <row r="229" spans="1:2">
      <c r="A229" s="3">
        <f ca="1">IFERROR(__xludf.DUMMYFUNCTION("""COMPUTED_VALUE"""),29545.6666666666)</f>
        <v>29545.666666666599</v>
      </c>
      <c r="B229" s="1">
        <f ca="1">IFERROR(__xludf.DUMMYFUNCTION("""COMPUTED_VALUE"""),140.4)</f>
        <v>140.4</v>
      </c>
    </row>
    <row r="230" spans="1:2">
      <c r="A230" s="3">
        <f ca="1">IFERROR(__xludf.DUMMYFUNCTION("""COMPUTED_VALUE"""),29546.6666666666)</f>
        <v>29546.666666666599</v>
      </c>
      <c r="B230" s="1">
        <f ca="1">IFERROR(__xludf.DUMMYFUNCTION("""COMPUTED_VALUE"""),139.11)</f>
        <v>139.11000000000001</v>
      </c>
    </row>
    <row r="231" spans="1:2">
      <c r="A231" s="3">
        <f ca="1">IFERROR(__xludf.DUMMYFUNCTION("""COMPUTED_VALUE"""),29549.6666666666)</f>
        <v>29549.666666666599</v>
      </c>
      <c r="B231" s="1">
        <f ca="1">IFERROR(__xludf.DUMMYFUNCTION("""COMPUTED_VALUE"""),138.31)</f>
        <v>138.31</v>
      </c>
    </row>
    <row r="232" spans="1:2">
      <c r="A232" s="3">
        <f ca="1">IFERROR(__xludf.DUMMYFUNCTION("""COMPUTED_VALUE"""),29550.6666666666)</f>
        <v>29550.666666666599</v>
      </c>
      <c r="B232" s="1">
        <f ca="1">IFERROR(__xludf.DUMMYFUNCTION("""COMPUTED_VALUE"""),139.33)</f>
        <v>139.33000000000001</v>
      </c>
    </row>
    <row r="233" spans="1:2">
      <c r="A233" s="3">
        <f ca="1">IFERROR(__xludf.DUMMYFUNCTION("""COMPUTED_VALUE"""),29551.6666666666)</f>
        <v>29551.666666666599</v>
      </c>
      <c r="B233" s="1">
        <f ca="1">IFERROR(__xludf.DUMMYFUNCTION("""COMPUTED_VALUE"""),140.17)</f>
        <v>140.16999999999999</v>
      </c>
    </row>
    <row r="234" spans="1:2">
      <c r="A234" s="3">
        <f ca="1">IFERROR(__xludf.DUMMYFUNCTION("""COMPUTED_VALUE"""),29552.6666666666)</f>
        <v>29552.666666666599</v>
      </c>
      <c r="B234" s="1">
        <f ca="1">IFERROR(__xludf.DUMMYFUNCTION("""COMPUTED_VALUE"""),140.52)</f>
        <v>140.52000000000001</v>
      </c>
    </row>
    <row r="235" spans="1:2">
      <c r="A235" s="3">
        <f ca="1">IFERROR(__xludf.DUMMYFUNCTION("""COMPUTED_VALUE"""),29553.6666666666)</f>
        <v>29553.666666666599</v>
      </c>
      <c r="B235" s="1">
        <f ca="1">IFERROR(__xludf.DUMMYFUNCTION("""COMPUTED_VALUE"""),140.52)</f>
        <v>140.52000000000001</v>
      </c>
    </row>
    <row r="236" spans="1:2">
      <c r="A236" s="3">
        <f ca="1">IFERROR(__xludf.DUMMYFUNCTION("""COMPUTED_VALUE"""),29556.6666666666)</f>
        <v>29556.666666666599</v>
      </c>
      <c r="B236" s="1">
        <f ca="1">IFERROR(__xludf.DUMMYFUNCTION("""COMPUTED_VALUE"""),137.21)</f>
        <v>137.21</v>
      </c>
    </row>
    <row r="237" spans="1:2">
      <c r="A237" s="3">
        <f ca="1">IFERROR(__xludf.DUMMYFUNCTION("""COMPUTED_VALUE"""),29557.6666666666)</f>
        <v>29557.666666666599</v>
      </c>
      <c r="B237" s="1">
        <f ca="1">IFERROR(__xludf.DUMMYFUNCTION("""COMPUTED_VALUE"""),136.97)</f>
        <v>136.97</v>
      </c>
    </row>
    <row r="238" spans="1:2">
      <c r="A238" s="3">
        <f ca="1">IFERROR(__xludf.DUMMYFUNCTION("""COMPUTED_VALUE"""),29558.6666666666)</f>
        <v>29558.666666666599</v>
      </c>
      <c r="B238" s="1">
        <f ca="1">IFERROR(__xludf.DUMMYFUNCTION("""COMPUTED_VALUE"""),136.71)</f>
        <v>136.71</v>
      </c>
    </row>
    <row r="239" spans="1:2">
      <c r="A239" s="3">
        <f ca="1">IFERROR(__xludf.DUMMYFUNCTION("""COMPUTED_VALUE"""),29559.6666666666)</f>
        <v>29559.666666666599</v>
      </c>
      <c r="B239" s="1">
        <f ca="1">IFERROR(__xludf.DUMMYFUNCTION("""COMPUTED_VALUE"""),136.48)</f>
        <v>136.47999999999999</v>
      </c>
    </row>
    <row r="240" spans="1:2">
      <c r="A240" s="3">
        <f ca="1">IFERROR(__xludf.DUMMYFUNCTION("""COMPUTED_VALUE"""),29560.6666666666)</f>
        <v>29560.666666666599</v>
      </c>
      <c r="B240" s="1">
        <f ca="1">IFERROR(__xludf.DUMMYFUNCTION("""COMPUTED_VALUE"""),134.03)</f>
        <v>134.03</v>
      </c>
    </row>
    <row r="241" spans="1:2">
      <c r="A241" s="3">
        <f ca="1">IFERROR(__xludf.DUMMYFUNCTION("""COMPUTED_VALUE"""),29563.6666666666)</f>
        <v>29563.666666666599</v>
      </c>
      <c r="B241" s="1">
        <f ca="1">IFERROR(__xludf.DUMMYFUNCTION("""COMPUTED_VALUE"""),130.61)</f>
        <v>130.61000000000001</v>
      </c>
    </row>
    <row r="242" spans="1:2">
      <c r="A242" s="3">
        <f ca="1">IFERROR(__xludf.DUMMYFUNCTION("""COMPUTED_VALUE"""),29564.6666666666)</f>
        <v>29564.666666666599</v>
      </c>
      <c r="B242" s="1">
        <f ca="1">IFERROR(__xludf.DUMMYFUNCTION("""COMPUTED_VALUE"""),130.48)</f>
        <v>130.47999999999999</v>
      </c>
    </row>
    <row r="243" spans="1:2">
      <c r="A243" s="3">
        <f ca="1">IFERROR(__xludf.DUMMYFUNCTION("""COMPUTED_VALUE"""),29565.6666666666)</f>
        <v>29565.666666666599</v>
      </c>
      <c r="B243" s="1">
        <f ca="1">IFERROR(__xludf.DUMMYFUNCTION("""COMPUTED_VALUE"""),128.26)</f>
        <v>128.26</v>
      </c>
    </row>
    <row r="244" spans="1:2">
      <c r="A244" s="3">
        <f ca="1">IFERROR(__xludf.DUMMYFUNCTION("""COMPUTED_VALUE"""),29566.6666666666)</f>
        <v>29566.666666666599</v>
      </c>
      <c r="B244" s="1">
        <f ca="1">IFERROR(__xludf.DUMMYFUNCTION("""COMPUTED_VALUE"""),127.36)</f>
        <v>127.36</v>
      </c>
    </row>
    <row r="245" spans="1:2">
      <c r="A245" s="3">
        <f ca="1">IFERROR(__xludf.DUMMYFUNCTION("""COMPUTED_VALUE"""),29567.6666666666)</f>
        <v>29567.666666666599</v>
      </c>
      <c r="B245" s="1">
        <f ca="1">IFERROR(__xludf.DUMMYFUNCTION("""COMPUTED_VALUE"""),129.23)</f>
        <v>129.22999999999999</v>
      </c>
    </row>
    <row r="246" spans="1:2">
      <c r="A246" s="3">
        <f ca="1">IFERROR(__xludf.DUMMYFUNCTION("""COMPUTED_VALUE"""),29570.6666666666)</f>
        <v>29570.666666666599</v>
      </c>
      <c r="B246" s="1">
        <f ca="1">IFERROR(__xludf.DUMMYFUNCTION("""COMPUTED_VALUE"""),129.45)</f>
        <v>129.44999999999999</v>
      </c>
    </row>
    <row r="247" spans="1:2">
      <c r="A247" s="3">
        <f ca="1">IFERROR(__xludf.DUMMYFUNCTION("""COMPUTED_VALUE"""),29571.6666666666)</f>
        <v>29571.666666666599</v>
      </c>
      <c r="B247" s="1">
        <f ca="1">IFERROR(__xludf.DUMMYFUNCTION("""COMPUTED_VALUE"""),130.6)</f>
        <v>130.6</v>
      </c>
    </row>
    <row r="248" spans="1:2">
      <c r="A248" s="3">
        <f ca="1">IFERROR(__xludf.DUMMYFUNCTION("""COMPUTED_VALUE"""),29572.6666666666)</f>
        <v>29572.666666666599</v>
      </c>
      <c r="B248" s="1">
        <f ca="1">IFERROR(__xludf.DUMMYFUNCTION("""COMPUTED_VALUE"""),132.89)</f>
        <v>132.88999999999999</v>
      </c>
    </row>
    <row r="249" spans="1:2">
      <c r="A249" s="3">
        <f ca="1">IFERROR(__xludf.DUMMYFUNCTION("""COMPUTED_VALUE"""),29573.6666666666)</f>
        <v>29573.666666666599</v>
      </c>
      <c r="B249" s="1">
        <f ca="1">IFERROR(__xludf.DUMMYFUNCTION("""COMPUTED_VALUE"""),133)</f>
        <v>133</v>
      </c>
    </row>
    <row r="250" spans="1:2">
      <c r="A250" s="3">
        <f ca="1">IFERROR(__xludf.DUMMYFUNCTION("""COMPUTED_VALUE"""),29574.6666666666)</f>
        <v>29574.666666666599</v>
      </c>
      <c r="B250" s="1">
        <f ca="1">IFERROR(__xludf.DUMMYFUNCTION("""COMPUTED_VALUE"""),133.7)</f>
        <v>133.69999999999999</v>
      </c>
    </row>
    <row r="251" spans="1:2">
      <c r="A251" s="3">
        <f ca="1">IFERROR(__xludf.DUMMYFUNCTION("""COMPUTED_VALUE"""),29577.6666666666)</f>
        <v>29577.666666666599</v>
      </c>
      <c r="B251" s="1">
        <f ca="1">IFERROR(__xludf.DUMMYFUNCTION("""COMPUTED_VALUE"""),135.78)</f>
        <v>135.78</v>
      </c>
    </row>
    <row r="252" spans="1:2">
      <c r="A252" s="3">
        <f ca="1">IFERROR(__xludf.DUMMYFUNCTION("""COMPUTED_VALUE"""),29578.6666666666)</f>
        <v>29578.666666666599</v>
      </c>
      <c r="B252" s="1">
        <f ca="1">IFERROR(__xludf.DUMMYFUNCTION("""COMPUTED_VALUE"""),135.3)</f>
        <v>135.30000000000001</v>
      </c>
    </row>
    <row r="253" spans="1:2">
      <c r="A253" s="3">
        <f ca="1">IFERROR(__xludf.DUMMYFUNCTION("""COMPUTED_VALUE"""),29579.6666666666)</f>
        <v>29579.666666666599</v>
      </c>
      <c r="B253" s="1">
        <f ca="1">IFERROR(__xludf.DUMMYFUNCTION("""COMPUTED_VALUE"""),135.88)</f>
        <v>135.88</v>
      </c>
    </row>
    <row r="254" spans="1:2">
      <c r="A254" s="3">
        <f ca="1">IFERROR(__xludf.DUMMYFUNCTION("""COMPUTED_VALUE"""),29581.6666666666)</f>
        <v>29581.666666666599</v>
      </c>
      <c r="B254" s="1">
        <f ca="1">IFERROR(__xludf.DUMMYFUNCTION("""COMPUTED_VALUE"""),136.57)</f>
        <v>136.57</v>
      </c>
    </row>
    <row r="255" spans="1:2">
      <c r="A255" s="3">
        <f ca="1">IFERROR(__xludf.DUMMYFUNCTION("""COMPUTED_VALUE"""),29584.6666666666)</f>
        <v>29584.666666666599</v>
      </c>
      <c r="B255" s="1">
        <f ca="1">IFERROR(__xludf.DUMMYFUNCTION("""COMPUTED_VALUE"""),135.03)</f>
        <v>135.03</v>
      </c>
    </row>
    <row r="256" spans="1:2">
      <c r="A256" s="3">
        <f ca="1">IFERROR(__xludf.DUMMYFUNCTION("""COMPUTED_VALUE"""),29585.6666666666)</f>
        <v>29585.666666666599</v>
      </c>
      <c r="B256" s="1">
        <f ca="1">IFERROR(__xludf.DUMMYFUNCTION("""COMPUTED_VALUE"""),135.33)</f>
        <v>135.33000000000001</v>
      </c>
    </row>
    <row r="257" spans="1:2">
      <c r="A257" s="3">
        <f ca="1">IFERROR(__xludf.DUMMYFUNCTION("""COMPUTED_VALUE"""),29586.6666666666)</f>
        <v>29586.666666666599</v>
      </c>
      <c r="B257" s="1">
        <f ca="1">IFERROR(__xludf.DUMMYFUNCTION("""COMPUTED_VALUE"""),135.76)</f>
        <v>135.76</v>
      </c>
    </row>
    <row r="258" spans="1:2">
      <c r="A258" s="3">
        <f ca="1">IFERROR(__xludf.DUMMYFUNCTION("""COMPUTED_VALUE"""),29588.6666666666)</f>
        <v>29588.666666666599</v>
      </c>
      <c r="B258" s="1">
        <f ca="1">IFERROR(__xludf.DUMMYFUNCTION("""COMPUTED_VALUE"""),136.34)</f>
        <v>136.34</v>
      </c>
    </row>
    <row r="259" spans="1:2">
      <c r="A259" s="3">
        <f ca="1">IFERROR(__xludf.DUMMYFUNCTION("""COMPUTED_VALUE"""),29591.6666666666)</f>
        <v>29591.666666666599</v>
      </c>
      <c r="B259" s="1">
        <f ca="1">IFERROR(__xludf.DUMMYFUNCTION("""COMPUTED_VALUE"""),137.97)</f>
        <v>137.97</v>
      </c>
    </row>
    <row r="260" spans="1:2">
      <c r="A260" s="3">
        <f ca="1">IFERROR(__xludf.DUMMYFUNCTION("""COMPUTED_VALUE"""),29592.6666666666)</f>
        <v>29592.666666666599</v>
      </c>
      <c r="B260" s="1">
        <f ca="1">IFERROR(__xludf.DUMMYFUNCTION("""COMPUTED_VALUE"""),138.12)</f>
        <v>138.12</v>
      </c>
    </row>
    <row r="261" spans="1:2">
      <c r="A261" s="3">
        <f ca="1">IFERROR(__xludf.DUMMYFUNCTION("""COMPUTED_VALUE"""),29593.6666666666)</f>
        <v>29593.666666666599</v>
      </c>
      <c r="B261" s="1">
        <f ca="1">IFERROR(__xludf.DUMMYFUNCTION("""COMPUTED_VALUE"""),135.08)</f>
        <v>135.08000000000001</v>
      </c>
    </row>
    <row r="262" spans="1:2">
      <c r="A262" s="3">
        <f ca="1">IFERROR(__xludf.DUMMYFUNCTION("""COMPUTED_VALUE"""),29594.6666666666)</f>
        <v>29594.666666666599</v>
      </c>
      <c r="B262" s="1">
        <f ca="1">IFERROR(__xludf.DUMMYFUNCTION("""COMPUTED_VALUE"""),133.06)</f>
        <v>133.06</v>
      </c>
    </row>
    <row r="263" spans="1:2">
      <c r="A263" s="3">
        <f ca="1">IFERROR(__xludf.DUMMYFUNCTION("""COMPUTED_VALUE"""),29595.6666666666)</f>
        <v>29595.666666666599</v>
      </c>
      <c r="B263" s="1">
        <f ca="1">IFERROR(__xludf.DUMMYFUNCTION("""COMPUTED_VALUE"""),133.48)</f>
        <v>133.47999999999999</v>
      </c>
    </row>
    <row r="264" spans="1:2">
      <c r="A264" s="3">
        <f ca="1">IFERROR(__xludf.DUMMYFUNCTION("""COMPUTED_VALUE"""),29598.6666666666)</f>
        <v>29598.666666666599</v>
      </c>
      <c r="B264" s="1">
        <f ca="1">IFERROR(__xludf.DUMMYFUNCTION("""COMPUTED_VALUE"""),133.52)</f>
        <v>133.52000000000001</v>
      </c>
    </row>
    <row r="265" spans="1:2">
      <c r="A265" s="3">
        <f ca="1">IFERROR(__xludf.DUMMYFUNCTION("""COMPUTED_VALUE"""),29599.6666666666)</f>
        <v>29599.666666666599</v>
      </c>
      <c r="B265" s="1">
        <f ca="1">IFERROR(__xludf.DUMMYFUNCTION("""COMPUTED_VALUE"""),133.29)</f>
        <v>133.29</v>
      </c>
    </row>
    <row r="266" spans="1:2">
      <c r="A266" s="3">
        <f ca="1">IFERROR(__xludf.DUMMYFUNCTION("""COMPUTED_VALUE"""),29600.6666666666)</f>
        <v>29600.666666666599</v>
      </c>
      <c r="B266" s="1">
        <f ca="1">IFERROR(__xludf.DUMMYFUNCTION("""COMPUTED_VALUE"""),133.47)</f>
        <v>133.47</v>
      </c>
    </row>
    <row r="267" spans="1:2">
      <c r="A267" s="3">
        <f ca="1">IFERROR(__xludf.DUMMYFUNCTION("""COMPUTED_VALUE"""),29601.6666666666)</f>
        <v>29601.666666666599</v>
      </c>
      <c r="B267" s="1">
        <f ca="1">IFERROR(__xludf.DUMMYFUNCTION("""COMPUTED_VALUE"""),134.22)</f>
        <v>134.22</v>
      </c>
    </row>
    <row r="268" spans="1:2">
      <c r="A268" s="3">
        <f ca="1">IFERROR(__xludf.DUMMYFUNCTION("""COMPUTED_VALUE"""),29602.6666666666)</f>
        <v>29602.666666666599</v>
      </c>
      <c r="B268" s="1">
        <f ca="1">IFERROR(__xludf.DUMMYFUNCTION("""COMPUTED_VALUE"""),134.77)</f>
        <v>134.77000000000001</v>
      </c>
    </row>
    <row r="269" spans="1:2">
      <c r="A269" s="3">
        <f ca="1">IFERROR(__xludf.DUMMYFUNCTION("""COMPUTED_VALUE"""),29605.6666666666)</f>
        <v>29605.666666666599</v>
      </c>
      <c r="B269" s="1">
        <f ca="1">IFERROR(__xludf.DUMMYFUNCTION("""COMPUTED_VALUE"""),134.37)</f>
        <v>134.37</v>
      </c>
    </row>
    <row r="270" spans="1:2">
      <c r="A270" s="3">
        <f ca="1">IFERROR(__xludf.DUMMYFUNCTION("""COMPUTED_VALUE"""),29606.6666666666)</f>
        <v>29606.666666666599</v>
      </c>
      <c r="B270" s="1">
        <f ca="1">IFERROR(__xludf.DUMMYFUNCTION("""COMPUTED_VALUE"""),131.65)</f>
        <v>131.65</v>
      </c>
    </row>
    <row r="271" spans="1:2">
      <c r="A271" s="3">
        <f ca="1">IFERROR(__xludf.DUMMYFUNCTION("""COMPUTED_VALUE"""),29607.6666666666)</f>
        <v>29607.666666666599</v>
      </c>
      <c r="B271" s="1">
        <f ca="1">IFERROR(__xludf.DUMMYFUNCTION("""COMPUTED_VALUE"""),131.36)</f>
        <v>131.36000000000001</v>
      </c>
    </row>
    <row r="272" spans="1:2">
      <c r="A272" s="3">
        <f ca="1">IFERROR(__xludf.DUMMYFUNCTION("""COMPUTED_VALUE"""),29608.6666666666)</f>
        <v>29608.666666666599</v>
      </c>
      <c r="B272" s="1">
        <f ca="1">IFERROR(__xludf.DUMMYFUNCTION("""COMPUTED_VALUE"""),130.26)</f>
        <v>130.26</v>
      </c>
    </row>
    <row r="273" spans="1:2">
      <c r="A273" s="3">
        <f ca="1">IFERROR(__xludf.DUMMYFUNCTION("""COMPUTED_VALUE"""),29609.6666666666)</f>
        <v>29609.666666666599</v>
      </c>
      <c r="B273" s="1">
        <f ca="1">IFERROR(__xludf.DUMMYFUNCTION("""COMPUTED_VALUE"""),130.23)</f>
        <v>130.22999999999999</v>
      </c>
    </row>
    <row r="274" spans="1:2">
      <c r="A274" s="3">
        <f ca="1">IFERROR(__xludf.DUMMYFUNCTION("""COMPUTED_VALUE"""),29612.6666666666)</f>
        <v>29612.666666666599</v>
      </c>
      <c r="B274" s="1">
        <f ca="1">IFERROR(__xludf.DUMMYFUNCTION("""COMPUTED_VALUE"""),129.84)</f>
        <v>129.84</v>
      </c>
    </row>
    <row r="275" spans="1:2">
      <c r="A275" s="3">
        <f ca="1">IFERROR(__xludf.DUMMYFUNCTION("""COMPUTED_VALUE"""),29613.6666666666)</f>
        <v>29613.666666666599</v>
      </c>
      <c r="B275" s="1">
        <f ca="1">IFERROR(__xludf.DUMMYFUNCTION("""COMPUTED_VALUE"""),131.12)</f>
        <v>131.12</v>
      </c>
    </row>
    <row r="276" spans="1:2">
      <c r="A276" s="3">
        <f ca="1">IFERROR(__xludf.DUMMYFUNCTION("""COMPUTED_VALUE"""),29614.6666666666)</f>
        <v>29614.666666666599</v>
      </c>
      <c r="B276" s="1">
        <f ca="1">IFERROR(__xludf.DUMMYFUNCTION("""COMPUTED_VALUE"""),130.34)</f>
        <v>130.34</v>
      </c>
    </row>
    <row r="277" spans="1:2">
      <c r="A277" s="3">
        <f ca="1">IFERROR(__xludf.DUMMYFUNCTION("""COMPUTED_VALUE"""),29615.6666666666)</f>
        <v>29615.666666666599</v>
      </c>
      <c r="B277" s="1">
        <f ca="1">IFERROR(__xludf.DUMMYFUNCTION("""COMPUTED_VALUE"""),130.24)</f>
        <v>130.24</v>
      </c>
    </row>
    <row r="278" spans="1:2">
      <c r="A278" s="3">
        <f ca="1">IFERROR(__xludf.DUMMYFUNCTION("""COMPUTED_VALUE"""),29616.6666666666)</f>
        <v>29616.666666666599</v>
      </c>
      <c r="B278" s="1">
        <f ca="1">IFERROR(__xludf.DUMMYFUNCTION("""COMPUTED_VALUE"""),129.55)</f>
        <v>129.55000000000001</v>
      </c>
    </row>
    <row r="279" spans="1:2">
      <c r="A279" s="3">
        <f ca="1">IFERROR(__xludf.DUMMYFUNCTION("""COMPUTED_VALUE"""),29619.6666666666)</f>
        <v>29619.666666666599</v>
      </c>
      <c r="B279" s="1">
        <f ca="1">IFERROR(__xludf.DUMMYFUNCTION("""COMPUTED_VALUE"""),126.91)</f>
        <v>126.91</v>
      </c>
    </row>
    <row r="280" spans="1:2">
      <c r="A280" s="3">
        <f ca="1">IFERROR(__xludf.DUMMYFUNCTION("""COMPUTED_VALUE"""),29620.6666666666)</f>
        <v>29620.666666666599</v>
      </c>
      <c r="B280" s="1">
        <f ca="1">IFERROR(__xludf.DUMMYFUNCTION("""COMPUTED_VALUE"""),128.46)</f>
        <v>128.46</v>
      </c>
    </row>
    <row r="281" spans="1:2">
      <c r="A281" s="3">
        <f ca="1">IFERROR(__xludf.DUMMYFUNCTION("""COMPUTED_VALUE"""),29621.6666666666)</f>
        <v>29621.666666666599</v>
      </c>
      <c r="B281" s="1">
        <f ca="1">IFERROR(__xludf.DUMMYFUNCTION("""COMPUTED_VALUE"""),128.59)</f>
        <v>128.59</v>
      </c>
    </row>
    <row r="282" spans="1:2">
      <c r="A282" s="3">
        <f ca="1">IFERROR(__xludf.DUMMYFUNCTION("""COMPUTED_VALUE"""),29622.6666666666)</f>
        <v>29622.666666666599</v>
      </c>
      <c r="B282" s="1">
        <f ca="1">IFERROR(__xludf.DUMMYFUNCTION("""COMPUTED_VALUE"""),129.63)</f>
        <v>129.63</v>
      </c>
    </row>
    <row r="283" spans="1:2">
      <c r="A283" s="3">
        <f ca="1">IFERROR(__xludf.DUMMYFUNCTION("""COMPUTED_VALUE"""),29623.6666666666)</f>
        <v>29623.666666666599</v>
      </c>
      <c r="B283" s="1">
        <f ca="1">IFERROR(__xludf.DUMMYFUNCTION("""COMPUTED_VALUE"""),130.6)</f>
        <v>130.6</v>
      </c>
    </row>
    <row r="284" spans="1:2">
      <c r="A284" s="3">
        <f ca="1">IFERROR(__xludf.DUMMYFUNCTION("""COMPUTED_VALUE"""),29626.6666666666)</f>
        <v>29626.666666666599</v>
      </c>
      <c r="B284" s="1">
        <f ca="1">IFERROR(__xludf.DUMMYFUNCTION("""COMPUTED_VALUE"""),129.27)</f>
        <v>129.27000000000001</v>
      </c>
    </row>
    <row r="285" spans="1:2">
      <c r="A285" s="3">
        <f ca="1">IFERROR(__xludf.DUMMYFUNCTION("""COMPUTED_VALUE"""),29627.6666666666)</f>
        <v>29627.666666666599</v>
      </c>
      <c r="B285" s="1">
        <f ca="1">IFERROR(__xludf.DUMMYFUNCTION("""COMPUTED_VALUE"""),129.24)</f>
        <v>129.24</v>
      </c>
    </row>
    <row r="286" spans="1:2">
      <c r="A286" s="3">
        <f ca="1">IFERROR(__xludf.DUMMYFUNCTION("""COMPUTED_VALUE"""),29628.6666666666)</f>
        <v>29628.666666666599</v>
      </c>
      <c r="B286" s="1">
        <f ca="1">IFERROR(__xludf.DUMMYFUNCTION("""COMPUTED_VALUE"""),128.24)</f>
        <v>128.24</v>
      </c>
    </row>
    <row r="287" spans="1:2">
      <c r="A287" s="3">
        <f ca="1">IFERROR(__xludf.DUMMYFUNCTION("""COMPUTED_VALUE"""),29629.6666666666)</f>
        <v>29629.666666666599</v>
      </c>
      <c r="B287" s="1">
        <f ca="1">IFERROR(__xludf.DUMMYFUNCTION("""COMPUTED_VALUE"""),127.48)</f>
        <v>127.48</v>
      </c>
    </row>
    <row r="288" spans="1:2">
      <c r="A288" s="3">
        <f ca="1">IFERROR(__xludf.DUMMYFUNCTION("""COMPUTED_VALUE"""),29630.6666666666)</f>
        <v>29630.666666666599</v>
      </c>
      <c r="B288" s="1">
        <f ca="1">IFERROR(__xludf.DUMMYFUNCTION("""COMPUTED_VALUE"""),126.98)</f>
        <v>126.98</v>
      </c>
    </row>
    <row r="289" spans="1:2">
      <c r="A289" s="3">
        <f ca="1">IFERROR(__xludf.DUMMYFUNCTION("""COMPUTED_VALUE"""),29633.6666666666)</f>
        <v>29633.666666666599</v>
      </c>
      <c r="B289" s="1">
        <f ca="1">IFERROR(__xludf.DUMMYFUNCTION("""COMPUTED_VALUE"""),128.37)</f>
        <v>128.37</v>
      </c>
    </row>
    <row r="290" spans="1:2">
      <c r="A290" s="3">
        <f ca="1">IFERROR(__xludf.DUMMYFUNCTION("""COMPUTED_VALUE"""),29634.6666666666)</f>
        <v>29634.666666666599</v>
      </c>
      <c r="B290" s="1">
        <f ca="1">IFERROR(__xludf.DUMMYFUNCTION("""COMPUTED_VALUE"""),127.81)</f>
        <v>127.81</v>
      </c>
    </row>
    <row r="291" spans="1:2">
      <c r="A291" s="3">
        <f ca="1">IFERROR(__xludf.DUMMYFUNCTION("""COMPUTED_VALUE"""),29635.6666666666)</f>
        <v>29635.666666666599</v>
      </c>
      <c r="B291" s="1">
        <f ca="1">IFERROR(__xludf.DUMMYFUNCTION("""COMPUTED_VALUE"""),128.48)</f>
        <v>128.47999999999999</v>
      </c>
    </row>
    <row r="292" spans="1:2">
      <c r="A292" s="3">
        <f ca="1">IFERROR(__xludf.DUMMYFUNCTION("""COMPUTED_VALUE"""),29636.6666666666)</f>
        <v>29636.666666666599</v>
      </c>
      <c r="B292" s="1">
        <f ca="1">IFERROR(__xludf.DUMMYFUNCTION("""COMPUTED_VALUE"""),126.61)</f>
        <v>126.61</v>
      </c>
    </row>
    <row r="293" spans="1:2">
      <c r="A293" s="3">
        <f ca="1">IFERROR(__xludf.DUMMYFUNCTION("""COMPUTED_VALUE"""),29637.6666666666)</f>
        <v>29637.666666666599</v>
      </c>
      <c r="B293" s="1">
        <f ca="1">IFERROR(__xludf.DUMMYFUNCTION("""COMPUTED_VALUE"""),126.58)</f>
        <v>126.58</v>
      </c>
    </row>
    <row r="294" spans="1:2">
      <c r="A294" s="3">
        <f ca="1">IFERROR(__xludf.DUMMYFUNCTION("""COMPUTED_VALUE"""),29640.6666666666)</f>
        <v>29640.666666666599</v>
      </c>
      <c r="B294" s="1">
        <f ca="1">IFERROR(__xludf.DUMMYFUNCTION("""COMPUTED_VALUE"""),127.35)</f>
        <v>127.35</v>
      </c>
    </row>
    <row r="295" spans="1:2">
      <c r="A295" s="3">
        <f ca="1">IFERROR(__xludf.DUMMYFUNCTION("""COMPUTED_VALUE"""),29641.6666666666)</f>
        <v>29641.666666666599</v>
      </c>
      <c r="B295" s="1">
        <f ca="1">IFERROR(__xludf.DUMMYFUNCTION("""COMPUTED_VALUE"""),127.39)</f>
        <v>127.39</v>
      </c>
    </row>
    <row r="296" spans="1:2">
      <c r="A296" s="3">
        <f ca="1">IFERROR(__xludf.DUMMYFUNCTION("""COMPUTED_VALUE"""),29642.6666666666)</f>
        <v>29642.666666666599</v>
      </c>
      <c r="B296" s="1">
        <f ca="1">IFERROR(__xludf.DUMMYFUNCTION("""COMPUTED_VALUE"""),128.52)</f>
        <v>128.52000000000001</v>
      </c>
    </row>
    <row r="297" spans="1:2">
      <c r="A297" s="3">
        <f ca="1">IFERROR(__xludf.DUMMYFUNCTION("""COMPUTED_VALUE"""),29643.6666666666)</f>
        <v>29643.666666666599</v>
      </c>
      <c r="B297" s="1">
        <f ca="1">IFERROR(__xludf.DUMMYFUNCTION("""COMPUTED_VALUE"""),130.1)</f>
        <v>130.1</v>
      </c>
    </row>
    <row r="298" spans="1:2">
      <c r="A298" s="3">
        <f ca="1">IFERROR(__xludf.DUMMYFUNCTION("""COMPUTED_VALUE"""),29644.6666666666)</f>
        <v>29644.666666666599</v>
      </c>
      <c r="B298" s="1">
        <f ca="1">IFERROR(__xludf.DUMMYFUNCTION("""COMPUTED_VALUE"""),131.27)</f>
        <v>131.27000000000001</v>
      </c>
    </row>
    <row r="299" spans="1:2">
      <c r="A299" s="3">
        <f ca="1">IFERROR(__xludf.DUMMYFUNCTION("""COMPUTED_VALUE"""),29647.6666666666)</f>
        <v>29647.666666666599</v>
      </c>
      <c r="B299" s="1">
        <f ca="1">IFERROR(__xludf.DUMMYFUNCTION("""COMPUTED_VALUE"""),132.01)</f>
        <v>132.01</v>
      </c>
    </row>
    <row r="300" spans="1:2">
      <c r="A300" s="3">
        <f ca="1">IFERROR(__xludf.DUMMYFUNCTION("""COMPUTED_VALUE"""),29648.6666666666)</f>
        <v>29648.666666666599</v>
      </c>
      <c r="B300" s="1">
        <f ca="1">IFERROR(__xludf.DUMMYFUNCTION("""COMPUTED_VALUE"""),130.56)</f>
        <v>130.56</v>
      </c>
    </row>
    <row r="301" spans="1:2">
      <c r="A301" s="3">
        <f ca="1">IFERROR(__xludf.DUMMYFUNCTION("""COMPUTED_VALUE"""),29649.6666666666)</f>
        <v>29649.666666666599</v>
      </c>
      <c r="B301" s="1">
        <f ca="1">IFERROR(__xludf.DUMMYFUNCTION("""COMPUTED_VALUE"""),130.86)</f>
        <v>130.86000000000001</v>
      </c>
    </row>
    <row r="302" spans="1:2">
      <c r="A302" s="3">
        <f ca="1">IFERROR(__xludf.DUMMYFUNCTION("""COMPUTED_VALUE"""),29650.6666666666)</f>
        <v>29650.666666666599</v>
      </c>
      <c r="B302" s="1">
        <f ca="1">IFERROR(__xludf.DUMMYFUNCTION("""COMPUTED_VALUE"""),129.93)</f>
        <v>129.93</v>
      </c>
    </row>
    <row r="303" spans="1:2">
      <c r="A303" s="3">
        <f ca="1">IFERROR(__xludf.DUMMYFUNCTION("""COMPUTED_VALUE"""),29651.6666666666)</f>
        <v>29651.666666666599</v>
      </c>
      <c r="B303" s="1">
        <f ca="1">IFERROR(__xludf.DUMMYFUNCTION("""COMPUTED_VALUE"""),129.85)</f>
        <v>129.85</v>
      </c>
    </row>
    <row r="304" spans="1:2">
      <c r="A304" s="3">
        <f ca="1">IFERROR(__xludf.DUMMYFUNCTION("""COMPUTED_VALUE"""),29654.6666666666)</f>
        <v>29654.666666666599</v>
      </c>
      <c r="B304" s="1">
        <f ca="1">IFERROR(__xludf.DUMMYFUNCTION("""COMPUTED_VALUE"""),131.12)</f>
        <v>131.12</v>
      </c>
    </row>
    <row r="305" spans="1:2">
      <c r="A305" s="3">
        <f ca="1">IFERROR(__xludf.DUMMYFUNCTION("""COMPUTED_VALUE"""),29655.6666666666)</f>
        <v>29655.666666666599</v>
      </c>
      <c r="B305" s="1">
        <f ca="1">IFERROR(__xludf.DUMMYFUNCTION("""COMPUTED_VALUE"""),130.46)</f>
        <v>130.46</v>
      </c>
    </row>
    <row r="306" spans="1:2">
      <c r="A306" s="3">
        <f ca="1">IFERROR(__xludf.DUMMYFUNCTION("""COMPUTED_VALUE"""),29656.6666666666)</f>
        <v>29656.666666666599</v>
      </c>
      <c r="B306" s="1">
        <f ca="1">IFERROR(__xludf.DUMMYFUNCTION("""COMPUTED_VALUE"""),129.95)</f>
        <v>129.94999999999999</v>
      </c>
    </row>
    <row r="307" spans="1:2">
      <c r="A307" s="3">
        <f ca="1">IFERROR(__xludf.DUMMYFUNCTION("""COMPUTED_VALUE"""),29657.6666666666)</f>
        <v>29657.666666666599</v>
      </c>
      <c r="B307" s="1">
        <f ca="1">IFERROR(__xludf.DUMMYFUNCTION("""COMPUTED_VALUE"""),133.19)</f>
        <v>133.19</v>
      </c>
    </row>
    <row r="308" spans="1:2">
      <c r="A308" s="3">
        <f ca="1">IFERROR(__xludf.DUMMYFUNCTION("""COMPUTED_VALUE"""),29658.6666666666)</f>
        <v>29658.666666666599</v>
      </c>
      <c r="B308" s="1">
        <f ca="1">IFERROR(__xludf.DUMMYFUNCTION("""COMPUTED_VALUE"""),133.11)</f>
        <v>133.11000000000001</v>
      </c>
    </row>
    <row r="309" spans="1:2">
      <c r="A309" s="3">
        <f ca="1">IFERROR(__xludf.DUMMYFUNCTION("""COMPUTED_VALUE"""),29661.6666666666)</f>
        <v>29661.666666666599</v>
      </c>
      <c r="B309" s="1">
        <f ca="1">IFERROR(__xludf.DUMMYFUNCTION("""COMPUTED_VALUE"""),134.68)</f>
        <v>134.68</v>
      </c>
    </row>
    <row r="310" spans="1:2">
      <c r="A310" s="3">
        <f ca="1">IFERROR(__xludf.DUMMYFUNCTION("""COMPUTED_VALUE"""),29662.6666666666)</f>
        <v>29662.666666666599</v>
      </c>
      <c r="B310" s="1">
        <f ca="1">IFERROR(__xludf.DUMMYFUNCTION("""COMPUTED_VALUE"""),133.92)</f>
        <v>133.91999999999999</v>
      </c>
    </row>
    <row r="311" spans="1:2">
      <c r="A311" s="3">
        <f ca="1">IFERROR(__xludf.DUMMYFUNCTION("""COMPUTED_VALUE"""),29663.6666666666)</f>
        <v>29663.666666666599</v>
      </c>
      <c r="B311" s="1">
        <f ca="1">IFERROR(__xludf.DUMMYFUNCTION("""COMPUTED_VALUE"""),134.22)</f>
        <v>134.22</v>
      </c>
    </row>
    <row r="312" spans="1:2">
      <c r="A312" s="3">
        <f ca="1">IFERROR(__xludf.DUMMYFUNCTION("""COMPUTED_VALUE"""),29664.6666666666)</f>
        <v>29664.666666666599</v>
      </c>
      <c r="B312" s="1">
        <f ca="1">IFERROR(__xludf.DUMMYFUNCTION("""COMPUTED_VALUE"""),133.46)</f>
        <v>133.46</v>
      </c>
    </row>
    <row r="313" spans="1:2">
      <c r="A313" s="3">
        <f ca="1">IFERROR(__xludf.DUMMYFUNCTION("""COMPUTED_VALUE"""),29665.6666666666)</f>
        <v>29665.666666666599</v>
      </c>
      <c r="B313" s="1">
        <f ca="1">IFERROR(__xludf.DUMMYFUNCTION("""COMPUTED_VALUE"""),134.08)</f>
        <v>134.08000000000001</v>
      </c>
    </row>
    <row r="314" spans="1:2">
      <c r="A314" s="3">
        <f ca="1">IFERROR(__xludf.DUMMYFUNCTION("""COMPUTED_VALUE"""),29668.6666666666)</f>
        <v>29668.666666666599</v>
      </c>
      <c r="B314" s="1">
        <f ca="1">IFERROR(__xludf.DUMMYFUNCTION("""COMPUTED_VALUE"""),135.69)</f>
        <v>135.69</v>
      </c>
    </row>
    <row r="315" spans="1:2">
      <c r="A315" s="3">
        <f ca="1">IFERROR(__xludf.DUMMYFUNCTION("""COMPUTED_VALUE"""),29669.6666666666)</f>
        <v>29669.666666666599</v>
      </c>
      <c r="B315" s="1">
        <f ca="1">IFERROR(__xludf.DUMMYFUNCTION("""COMPUTED_VALUE"""),134.67)</f>
        <v>134.66999999999999</v>
      </c>
    </row>
    <row r="316" spans="1:2">
      <c r="A316" s="3">
        <f ca="1">IFERROR(__xludf.DUMMYFUNCTION("""COMPUTED_VALUE"""),29670.6666666666)</f>
        <v>29670.666666666599</v>
      </c>
      <c r="B316" s="1">
        <f ca="1">IFERROR(__xludf.DUMMYFUNCTION("""COMPUTED_VALUE"""),137.11)</f>
        <v>137.11000000000001</v>
      </c>
    </row>
    <row r="317" spans="1:2">
      <c r="A317" s="3">
        <f ca="1">IFERROR(__xludf.DUMMYFUNCTION("""COMPUTED_VALUE"""),29671.6666666666)</f>
        <v>29671.666666666599</v>
      </c>
      <c r="B317" s="1">
        <f ca="1">IFERROR(__xludf.DUMMYFUNCTION("""COMPUTED_VALUE"""),136.27)</f>
        <v>136.27000000000001</v>
      </c>
    </row>
    <row r="318" spans="1:2">
      <c r="A318" s="3">
        <f ca="1">IFERROR(__xludf.DUMMYFUNCTION("""COMPUTED_VALUE"""),29672.6666666666)</f>
        <v>29672.666666666599</v>
      </c>
      <c r="B318" s="1">
        <f ca="1">IFERROR(__xludf.DUMMYFUNCTION("""COMPUTED_VALUE"""),134.65)</f>
        <v>134.65</v>
      </c>
    </row>
    <row r="319" spans="1:2">
      <c r="A319" s="3">
        <f ca="1">IFERROR(__xludf.DUMMYFUNCTION("""COMPUTED_VALUE"""),29675.6666666666)</f>
        <v>29675.666666666599</v>
      </c>
      <c r="B319" s="1">
        <f ca="1">IFERROR(__xludf.DUMMYFUNCTION("""COMPUTED_VALUE"""),134.28)</f>
        <v>134.28</v>
      </c>
    </row>
    <row r="320" spans="1:2">
      <c r="A320" s="3">
        <f ca="1">IFERROR(__xludf.DUMMYFUNCTION("""COMPUTED_VALUE"""),29676.6666666666)</f>
        <v>29676.666666666599</v>
      </c>
      <c r="B320" s="1">
        <f ca="1">IFERROR(__xludf.DUMMYFUNCTION("""COMPUTED_VALUE"""),136)</f>
        <v>136</v>
      </c>
    </row>
    <row r="321" spans="1:2">
      <c r="A321" s="3">
        <f ca="1">IFERROR(__xludf.DUMMYFUNCTION("""COMPUTED_VALUE"""),29677.6666666666)</f>
        <v>29677.666666666599</v>
      </c>
      <c r="B321" s="1">
        <f ca="1">IFERROR(__xludf.DUMMYFUNCTION("""COMPUTED_VALUE"""),136.57)</f>
        <v>136.57</v>
      </c>
    </row>
    <row r="322" spans="1:2">
      <c r="A322" s="3">
        <f ca="1">IFERROR(__xludf.DUMMYFUNCTION("""COMPUTED_VALUE"""),29678.6666666666)</f>
        <v>29678.666666666599</v>
      </c>
      <c r="B322" s="1">
        <f ca="1">IFERROR(__xludf.DUMMYFUNCTION("""COMPUTED_VALUE"""),136.32)</f>
        <v>136.32</v>
      </c>
    </row>
    <row r="323" spans="1:2">
      <c r="A323" s="3">
        <f ca="1">IFERROR(__xludf.DUMMYFUNCTION("""COMPUTED_VALUE"""),29679.6666666666)</f>
        <v>29679.666666666599</v>
      </c>
      <c r="B323" s="1">
        <f ca="1">IFERROR(__xludf.DUMMYFUNCTION("""COMPUTED_VALUE"""),135.49)</f>
        <v>135.49</v>
      </c>
    </row>
    <row r="324" spans="1:2">
      <c r="A324" s="3">
        <f ca="1">IFERROR(__xludf.DUMMYFUNCTION("""COMPUTED_VALUE"""),29682.6666666666)</f>
        <v>29682.666666666599</v>
      </c>
      <c r="B324" s="1">
        <f ca="1">IFERROR(__xludf.DUMMYFUNCTION("""COMPUTED_VALUE"""),133.93)</f>
        <v>133.93</v>
      </c>
    </row>
    <row r="325" spans="1:2">
      <c r="A325" s="3">
        <f ca="1">IFERROR(__xludf.DUMMYFUNCTION("""COMPUTED_VALUE"""),29683.6666666666)</f>
        <v>29683.666666666599</v>
      </c>
      <c r="B325" s="1">
        <f ca="1">IFERROR(__xludf.DUMMYFUNCTION("""COMPUTED_VALUE"""),133.91)</f>
        <v>133.91</v>
      </c>
    </row>
    <row r="326" spans="1:2">
      <c r="A326" s="3">
        <f ca="1">IFERROR(__xludf.DUMMYFUNCTION("""COMPUTED_VALUE"""),29684.6666666666)</f>
        <v>29684.666666666599</v>
      </c>
      <c r="B326" s="1">
        <f ca="1">IFERROR(__xludf.DUMMYFUNCTION("""COMPUTED_VALUE"""),134.31)</f>
        <v>134.31</v>
      </c>
    </row>
    <row r="327" spans="1:2">
      <c r="A327" s="3">
        <f ca="1">IFERROR(__xludf.DUMMYFUNCTION("""COMPUTED_VALUE"""),29685.6666666666)</f>
        <v>29685.666666666599</v>
      </c>
      <c r="B327" s="1">
        <f ca="1">IFERROR(__xludf.DUMMYFUNCTION("""COMPUTED_VALUE"""),134.67)</f>
        <v>134.66999999999999</v>
      </c>
    </row>
    <row r="328" spans="1:2">
      <c r="A328" s="3">
        <f ca="1">IFERROR(__xludf.DUMMYFUNCTION("""COMPUTED_VALUE"""),29686.6666666666)</f>
        <v>29686.666666666599</v>
      </c>
      <c r="B328" s="1">
        <f ca="1">IFERROR(__xludf.DUMMYFUNCTION("""COMPUTED_VALUE"""),134.51)</f>
        <v>134.51</v>
      </c>
    </row>
    <row r="329" spans="1:2">
      <c r="A329" s="3">
        <f ca="1">IFERROR(__xludf.DUMMYFUNCTION("""COMPUTED_VALUE"""),29689.6666666666)</f>
        <v>29689.666666666599</v>
      </c>
      <c r="B329" s="1">
        <f ca="1">IFERROR(__xludf.DUMMYFUNCTION("""COMPUTED_VALUE"""),133.15)</f>
        <v>133.15</v>
      </c>
    </row>
    <row r="330" spans="1:2">
      <c r="A330" s="3">
        <f ca="1">IFERROR(__xludf.DUMMYFUNCTION("""COMPUTED_VALUE"""),29690.6666666666)</f>
        <v>29690.666666666599</v>
      </c>
      <c r="B330" s="1">
        <f ca="1">IFERROR(__xludf.DUMMYFUNCTION("""COMPUTED_VALUE"""),132.68)</f>
        <v>132.68</v>
      </c>
    </row>
    <row r="331" spans="1:2">
      <c r="A331" s="3">
        <f ca="1">IFERROR(__xludf.DUMMYFUNCTION("""COMPUTED_VALUE"""),29691.6666666666)</f>
        <v>29691.666666666599</v>
      </c>
      <c r="B331" s="1">
        <f ca="1">IFERROR(__xludf.DUMMYFUNCTION("""COMPUTED_VALUE"""),134.17)</f>
        <v>134.16999999999999</v>
      </c>
    </row>
    <row r="332" spans="1:2">
      <c r="A332" s="3">
        <f ca="1">IFERROR(__xludf.DUMMYFUNCTION("""COMPUTED_VALUE"""),29692.6666666666)</f>
        <v>29692.666666666599</v>
      </c>
      <c r="B332" s="1">
        <f ca="1">IFERROR(__xludf.DUMMYFUNCTION("""COMPUTED_VALUE"""),134.7)</f>
        <v>134.69999999999999</v>
      </c>
    </row>
    <row r="333" spans="1:2">
      <c r="A333" s="3">
        <f ca="1">IFERROR(__xludf.DUMMYFUNCTION("""COMPUTED_VALUE"""),29696.6666666666)</f>
        <v>29696.666666666599</v>
      </c>
      <c r="B333" s="1">
        <f ca="1">IFERROR(__xludf.DUMMYFUNCTION("""COMPUTED_VALUE"""),135.45)</f>
        <v>135.44999999999999</v>
      </c>
    </row>
    <row r="334" spans="1:2">
      <c r="A334" s="3">
        <f ca="1">IFERROR(__xludf.DUMMYFUNCTION("""COMPUTED_VALUE"""),29697.6666666666)</f>
        <v>29697.666666666599</v>
      </c>
      <c r="B334" s="1">
        <f ca="1">IFERROR(__xludf.DUMMYFUNCTION("""COMPUTED_VALUE"""),134.23)</f>
        <v>134.22999999999999</v>
      </c>
    </row>
    <row r="335" spans="1:2">
      <c r="A335" s="3">
        <f ca="1">IFERROR(__xludf.DUMMYFUNCTION("""COMPUTED_VALUE"""),29698.6666666666)</f>
        <v>29698.666666666599</v>
      </c>
      <c r="B335" s="1">
        <f ca="1">IFERROR(__xludf.DUMMYFUNCTION("""COMPUTED_VALUE"""),134.14)</f>
        <v>134.13999999999999</v>
      </c>
    </row>
    <row r="336" spans="1:2">
      <c r="A336" s="3">
        <f ca="1">IFERROR(__xludf.DUMMYFUNCTION("""COMPUTED_VALUE"""),29699.6666666666)</f>
        <v>29699.666666666599</v>
      </c>
      <c r="B336" s="1">
        <f ca="1">IFERROR(__xludf.DUMMYFUNCTION("""COMPUTED_VALUE"""),133.94)</f>
        <v>133.94</v>
      </c>
    </row>
    <row r="337" spans="1:2">
      <c r="A337" s="3">
        <f ca="1">IFERROR(__xludf.DUMMYFUNCTION("""COMPUTED_VALUE"""),29700.6666666666)</f>
        <v>29700.666666666599</v>
      </c>
      <c r="B337" s="1">
        <f ca="1">IFERROR(__xludf.DUMMYFUNCTION("""COMPUTED_VALUE"""),135.14)</f>
        <v>135.13999999999999</v>
      </c>
    </row>
    <row r="338" spans="1:2">
      <c r="A338" s="3">
        <f ca="1">IFERROR(__xludf.DUMMYFUNCTION("""COMPUTED_VALUE"""),29703.6666666666)</f>
        <v>29703.666666666599</v>
      </c>
      <c r="B338" s="1">
        <f ca="1">IFERROR(__xludf.DUMMYFUNCTION("""COMPUTED_VALUE"""),135.48)</f>
        <v>135.47999999999999</v>
      </c>
    </row>
    <row r="339" spans="1:2">
      <c r="A339" s="3">
        <f ca="1">IFERROR(__xludf.DUMMYFUNCTION("""COMPUTED_VALUE"""),29704.6666666666)</f>
        <v>29704.666666666599</v>
      </c>
      <c r="B339" s="1">
        <f ca="1">IFERROR(__xludf.DUMMYFUNCTION("""COMPUTED_VALUE"""),134.33)</f>
        <v>134.33000000000001</v>
      </c>
    </row>
    <row r="340" spans="1:2">
      <c r="A340" s="3">
        <f ca="1">IFERROR(__xludf.DUMMYFUNCTION("""COMPUTED_VALUE"""),29705.6666666666)</f>
        <v>29705.666666666599</v>
      </c>
      <c r="B340" s="1">
        <f ca="1">IFERROR(__xludf.DUMMYFUNCTION("""COMPUTED_VALUE"""),133.05)</f>
        <v>133.05000000000001</v>
      </c>
    </row>
    <row r="341" spans="1:2">
      <c r="A341" s="3">
        <f ca="1">IFERROR(__xludf.DUMMYFUNCTION("""COMPUTED_VALUE"""),29706.6666666666)</f>
        <v>29706.666666666599</v>
      </c>
      <c r="B341" s="1">
        <f ca="1">IFERROR(__xludf.DUMMYFUNCTION("""COMPUTED_VALUE"""),132.81)</f>
        <v>132.81</v>
      </c>
    </row>
    <row r="342" spans="1:2">
      <c r="A342" s="3">
        <f ca="1">IFERROR(__xludf.DUMMYFUNCTION("""COMPUTED_VALUE"""),29707.6666666666)</f>
        <v>29707.666666666599</v>
      </c>
      <c r="B342" s="1">
        <f ca="1">IFERROR(__xludf.DUMMYFUNCTION("""COMPUTED_VALUE"""),132.72)</f>
        <v>132.72</v>
      </c>
    </row>
    <row r="343" spans="1:2">
      <c r="A343" s="3">
        <f ca="1">IFERROR(__xludf.DUMMYFUNCTION("""COMPUTED_VALUE"""),29710.6666666666)</f>
        <v>29710.666666666599</v>
      </c>
      <c r="B343" s="1">
        <f ca="1">IFERROR(__xludf.DUMMYFUNCTION("""COMPUTED_VALUE"""),130.67)</f>
        <v>130.66999999999999</v>
      </c>
    </row>
    <row r="344" spans="1:2">
      <c r="A344" s="3">
        <f ca="1">IFERROR(__xludf.DUMMYFUNCTION("""COMPUTED_VALUE"""),29711.6666666666)</f>
        <v>29711.666666666599</v>
      </c>
      <c r="B344" s="1">
        <f ca="1">IFERROR(__xludf.DUMMYFUNCTION("""COMPUTED_VALUE"""),130.32)</f>
        <v>130.32</v>
      </c>
    </row>
    <row r="345" spans="1:2">
      <c r="A345" s="3">
        <f ca="1">IFERROR(__xludf.DUMMYFUNCTION("""COMPUTED_VALUE"""),29712.6666666666)</f>
        <v>29712.666666666599</v>
      </c>
      <c r="B345" s="1">
        <f ca="1">IFERROR(__xludf.DUMMYFUNCTION("""COMPUTED_VALUE"""),130.78)</f>
        <v>130.78</v>
      </c>
    </row>
    <row r="346" spans="1:2">
      <c r="A346" s="3">
        <f ca="1">IFERROR(__xludf.DUMMYFUNCTION("""COMPUTED_VALUE"""),29713.6666666666)</f>
        <v>29713.666666666599</v>
      </c>
      <c r="B346" s="1">
        <f ca="1">IFERROR(__xludf.DUMMYFUNCTION("""COMPUTED_VALUE"""),131.67)</f>
        <v>131.66999999999999</v>
      </c>
    </row>
    <row r="347" spans="1:2">
      <c r="A347" s="3">
        <f ca="1">IFERROR(__xludf.DUMMYFUNCTION("""COMPUTED_VALUE"""),29714.6666666666)</f>
        <v>29714.666666666599</v>
      </c>
      <c r="B347" s="1">
        <f ca="1">IFERROR(__xludf.DUMMYFUNCTION("""COMPUTED_VALUE"""),131.66)</f>
        <v>131.66</v>
      </c>
    </row>
    <row r="348" spans="1:2">
      <c r="A348" s="3">
        <f ca="1">IFERROR(__xludf.DUMMYFUNCTION("""COMPUTED_VALUE"""),29717.6666666666)</f>
        <v>29717.666666666599</v>
      </c>
      <c r="B348" s="1">
        <f ca="1">IFERROR(__xludf.DUMMYFUNCTION("""COMPUTED_VALUE"""),129.71)</f>
        <v>129.71</v>
      </c>
    </row>
    <row r="349" spans="1:2">
      <c r="A349" s="3">
        <f ca="1">IFERROR(__xludf.DUMMYFUNCTION("""COMPUTED_VALUE"""),29718.6666666666)</f>
        <v>29718.666666666599</v>
      </c>
      <c r="B349" s="1">
        <f ca="1">IFERROR(__xludf.DUMMYFUNCTION("""COMPUTED_VALUE"""),130.72)</f>
        <v>130.72</v>
      </c>
    </row>
    <row r="350" spans="1:2">
      <c r="A350" s="3">
        <f ca="1">IFERROR(__xludf.DUMMYFUNCTION("""COMPUTED_VALUE"""),29719.6666666666)</f>
        <v>29719.666666666599</v>
      </c>
      <c r="B350" s="1">
        <f ca="1">IFERROR(__xludf.DUMMYFUNCTION("""COMPUTED_VALUE"""),130.55)</f>
        <v>130.55000000000001</v>
      </c>
    </row>
    <row r="351" spans="1:2">
      <c r="A351" s="3">
        <f ca="1">IFERROR(__xludf.DUMMYFUNCTION("""COMPUTED_VALUE"""),29720.6666666666)</f>
        <v>29720.666666666599</v>
      </c>
      <c r="B351" s="1">
        <f ca="1">IFERROR(__xludf.DUMMYFUNCTION("""COMPUTED_VALUE"""),131.28)</f>
        <v>131.28</v>
      </c>
    </row>
    <row r="352" spans="1:2">
      <c r="A352" s="3">
        <f ca="1">IFERROR(__xludf.DUMMYFUNCTION("""COMPUTED_VALUE"""),29721.6666666666)</f>
        <v>29721.666666666599</v>
      </c>
      <c r="B352" s="1">
        <f ca="1">IFERROR(__xludf.DUMMYFUNCTION("""COMPUTED_VALUE"""),132.17)</f>
        <v>132.16999999999999</v>
      </c>
    </row>
    <row r="353" spans="1:2">
      <c r="A353" s="3">
        <f ca="1">IFERROR(__xludf.DUMMYFUNCTION("""COMPUTED_VALUE"""),29724.6666666666)</f>
        <v>29724.666666666599</v>
      </c>
      <c r="B353" s="1">
        <f ca="1">IFERROR(__xludf.DUMMYFUNCTION("""COMPUTED_VALUE"""),132.54)</f>
        <v>132.54</v>
      </c>
    </row>
    <row r="354" spans="1:2">
      <c r="A354" s="3">
        <f ca="1">IFERROR(__xludf.DUMMYFUNCTION("""COMPUTED_VALUE"""),29725.6666666666)</f>
        <v>29725.666666666599</v>
      </c>
      <c r="B354" s="1">
        <f ca="1">IFERROR(__xludf.DUMMYFUNCTION("""COMPUTED_VALUE"""),132.09)</f>
        <v>132.09</v>
      </c>
    </row>
    <row r="355" spans="1:2">
      <c r="A355" s="3">
        <f ca="1">IFERROR(__xludf.DUMMYFUNCTION("""COMPUTED_VALUE"""),29726.6666666666)</f>
        <v>29726.666666666599</v>
      </c>
      <c r="B355" s="1">
        <f ca="1">IFERROR(__xludf.DUMMYFUNCTION("""COMPUTED_VALUE"""),132)</f>
        <v>132</v>
      </c>
    </row>
    <row r="356" spans="1:2">
      <c r="A356" s="3">
        <f ca="1">IFERROR(__xludf.DUMMYFUNCTION("""COMPUTED_VALUE"""),29727.6666666666)</f>
        <v>29727.666666666599</v>
      </c>
      <c r="B356" s="1">
        <f ca="1">IFERROR(__xludf.DUMMYFUNCTION("""COMPUTED_VALUE"""),131.75)</f>
        <v>131.75</v>
      </c>
    </row>
    <row r="357" spans="1:2">
      <c r="A357" s="3">
        <f ca="1">IFERROR(__xludf.DUMMYFUNCTION("""COMPUTED_VALUE"""),29728.6666666666)</f>
        <v>29728.666666666599</v>
      </c>
      <c r="B357" s="1">
        <f ca="1">IFERROR(__xludf.DUMMYFUNCTION("""COMPUTED_VALUE"""),131.33)</f>
        <v>131.33000000000001</v>
      </c>
    </row>
    <row r="358" spans="1:2">
      <c r="A358" s="3">
        <f ca="1">IFERROR(__xludf.DUMMYFUNCTION("""COMPUTED_VALUE"""),29731.6666666666)</f>
        <v>29731.666666666599</v>
      </c>
      <c r="B358" s="1">
        <f ca="1">IFERROR(__xludf.DUMMYFUNCTION("""COMPUTED_VALUE"""),132.77)</f>
        <v>132.77000000000001</v>
      </c>
    </row>
    <row r="359" spans="1:2">
      <c r="A359" s="3">
        <f ca="1">IFERROR(__xludf.DUMMYFUNCTION("""COMPUTED_VALUE"""),29732.6666666666)</f>
        <v>29732.666666666599</v>
      </c>
      <c r="B359" s="1">
        <f ca="1">IFERROR(__xludf.DUMMYFUNCTION("""COMPUTED_VALUE"""),132.77)</f>
        <v>132.77000000000001</v>
      </c>
    </row>
    <row r="360" spans="1:2">
      <c r="A360" s="3">
        <f ca="1">IFERROR(__xludf.DUMMYFUNCTION("""COMPUTED_VALUE"""),29733.6666666666)</f>
        <v>29733.666666666599</v>
      </c>
      <c r="B360" s="1">
        <f ca="1">IFERROR(__xludf.DUMMYFUNCTION("""COMPUTED_VALUE"""),133.77)</f>
        <v>133.77000000000001</v>
      </c>
    </row>
    <row r="361" spans="1:2">
      <c r="A361" s="3">
        <f ca="1">IFERROR(__xludf.DUMMYFUNCTION("""COMPUTED_VALUE"""),29734.6666666666)</f>
        <v>29734.666666666599</v>
      </c>
      <c r="B361" s="1">
        <f ca="1">IFERROR(__xludf.DUMMYFUNCTION("""COMPUTED_VALUE"""),133.45)</f>
        <v>133.44999999999999</v>
      </c>
    </row>
    <row r="362" spans="1:2">
      <c r="A362" s="3">
        <f ca="1">IFERROR(__xludf.DUMMYFUNCTION("""COMPUTED_VALUE"""),29735.6666666666)</f>
        <v>29735.666666666599</v>
      </c>
      <c r="B362" s="1">
        <f ca="1">IFERROR(__xludf.DUMMYFUNCTION("""COMPUTED_VALUE"""),132.59)</f>
        <v>132.59</v>
      </c>
    </row>
    <row r="363" spans="1:2">
      <c r="A363" s="3">
        <f ca="1">IFERROR(__xludf.DUMMYFUNCTION("""COMPUTED_VALUE"""),29738.6666666666)</f>
        <v>29738.666666666599</v>
      </c>
      <c r="B363" s="1">
        <f ca="1">IFERROR(__xludf.DUMMYFUNCTION("""COMPUTED_VALUE"""),132.41)</f>
        <v>132.41</v>
      </c>
    </row>
    <row r="364" spans="1:2">
      <c r="A364" s="3">
        <f ca="1">IFERROR(__xludf.DUMMYFUNCTION("""COMPUTED_VALUE"""),29739.6666666666)</f>
        <v>29739.666666666599</v>
      </c>
      <c r="B364" s="1">
        <f ca="1">IFERROR(__xludf.DUMMYFUNCTION("""COMPUTED_VALUE"""),130.62)</f>
        <v>130.62</v>
      </c>
    </row>
    <row r="365" spans="1:2">
      <c r="A365" s="3">
        <f ca="1">IFERROR(__xludf.DUMMYFUNCTION("""COMPUTED_VALUE"""),29740.6666666666)</f>
        <v>29740.666666666599</v>
      </c>
      <c r="B365" s="1">
        <f ca="1">IFERROR(__xludf.DUMMYFUNCTION("""COMPUTED_VALUE"""),130.71)</f>
        <v>130.71</v>
      </c>
    </row>
    <row r="366" spans="1:2">
      <c r="A366" s="3">
        <f ca="1">IFERROR(__xludf.DUMMYFUNCTION("""COMPUTED_VALUE"""),29741.6666666666)</f>
        <v>29741.666666666599</v>
      </c>
      <c r="B366" s="1">
        <f ca="1">IFERROR(__xludf.DUMMYFUNCTION("""COMPUTED_VALUE"""),130.96)</f>
        <v>130.96</v>
      </c>
    </row>
    <row r="367" spans="1:2">
      <c r="A367" s="3">
        <f ca="1">IFERROR(__xludf.DUMMYFUNCTION("""COMPUTED_VALUE"""),29742.6666666666)</f>
        <v>29742.666666666599</v>
      </c>
      <c r="B367" s="1">
        <f ca="1">IFERROR(__xludf.DUMMYFUNCTION("""COMPUTED_VALUE"""),132.22)</f>
        <v>132.22</v>
      </c>
    </row>
    <row r="368" spans="1:2">
      <c r="A368" s="3">
        <f ca="1">IFERROR(__xludf.DUMMYFUNCTION("""COMPUTED_VALUE"""),29745.6666666666)</f>
        <v>29745.666666666599</v>
      </c>
      <c r="B368" s="1">
        <f ca="1">IFERROR(__xludf.DUMMYFUNCTION("""COMPUTED_VALUE"""),132.24)</f>
        <v>132.24</v>
      </c>
    </row>
    <row r="369" spans="1:2">
      <c r="A369" s="3">
        <f ca="1">IFERROR(__xludf.DUMMYFUNCTION("""COMPUTED_VALUE"""),29746.6666666666)</f>
        <v>29746.666666666599</v>
      </c>
      <c r="B369" s="1">
        <f ca="1">IFERROR(__xludf.DUMMYFUNCTION("""COMPUTED_VALUE"""),131.97)</f>
        <v>131.97</v>
      </c>
    </row>
    <row r="370" spans="1:2">
      <c r="A370" s="3">
        <f ca="1">IFERROR(__xludf.DUMMYFUNCTION("""COMPUTED_VALUE"""),29747.6666666666)</f>
        <v>29747.666666666599</v>
      </c>
      <c r="B370" s="1">
        <f ca="1">IFERROR(__xludf.DUMMYFUNCTION("""COMPUTED_VALUE"""),132.32)</f>
        <v>132.32</v>
      </c>
    </row>
    <row r="371" spans="1:2">
      <c r="A371" s="3">
        <f ca="1">IFERROR(__xludf.DUMMYFUNCTION("""COMPUTED_VALUE"""),29748.6666666666)</f>
        <v>29748.666666666599</v>
      </c>
      <c r="B371" s="1">
        <f ca="1">IFERROR(__xludf.DUMMYFUNCTION("""COMPUTED_VALUE"""),133.75)</f>
        <v>133.75</v>
      </c>
    </row>
    <row r="372" spans="1:2">
      <c r="A372" s="3">
        <f ca="1">IFERROR(__xludf.DUMMYFUNCTION("""COMPUTED_VALUE"""),29749.6666666666)</f>
        <v>29749.666666666599</v>
      </c>
      <c r="B372" s="1">
        <f ca="1">IFERROR(__xludf.DUMMYFUNCTION("""COMPUTED_VALUE"""),133.49)</f>
        <v>133.49</v>
      </c>
    </row>
    <row r="373" spans="1:2">
      <c r="A373" s="3">
        <f ca="1">IFERROR(__xludf.DUMMYFUNCTION("""COMPUTED_VALUE"""),29752.6666666666)</f>
        <v>29752.666666666599</v>
      </c>
      <c r="B373" s="1">
        <f ca="1">IFERROR(__xludf.DUMMYFUNCTION("""COMPUTED_VALUE"""),133.61)</f>
        <v>133.61000000000001</v>
      </c>
    </row>
    <row r="374" spans="1:2">
      <c r="A374" s="3">
        <f ca="1">IFERROR(__xludf.DUMMYFUNCTION("""COMPUTED_VALUE"""),29753.6666666666)</f>
        <v>29753.666666666599</v>
      </c>
      <c r="B374" s="1">
        <f ca="1">IFERROR(__xludf.DUMMYFUNCTION("""COMPUTED_VALUE"""),132.15)</f>
        <v>132.15</v>
      </c>
    </row>
    <row r="375" spans="1:2">
      <c r="A375" s="3">
        <f ca="1">IFERROR(__xludf.DUMMYFUNCTION("""COMPUTED_VALUE"""),29754.6666666666)</f>
        <v>29754.666666666599</v>
      </c>
      <c r="B375" s="1">
        <f ca="1">IFERROR(__xludf.DUMMYFUNCTION("""COMPUTED_VALUE"""),133.32)</f>
        <v>133.32</v>
      </c>
    </row>
    <row r="376" spans="1:2">
      <c r="A376" s="3">
        <f ca="1">IFERROR(__xludf.DUMMYFUNCTION("""COMPUTED_VALUE"""),29755.6666666666)</f>
        <v>29755.666666666599</v>
      </c>
      <c r="B376" s="1">
        <f ca="1">IFERROR(__xludf.DUMMYFUNCTION("""COMPUTED_VALUE"""),131.64)</f>
        <v>131.63999999999999</v>
      </c>
    </row>
    <row r="377" spans="1:2">
      <c r="A377" s="3">
        <f ca="1">IFERROR(__xludf.DUMMYFUNCTION("""COMPUTED_VALUE"""),29756.6666666666)</f>
        <v>29756.666666666599</v>
      </c>
      <c r="B377" s="1">
        <f ca="1">IFERROR(__xludf.DUMMYFUNCTION("""COMPUTED_VALUE"""),132.27)</f>
        <v>132.27000000000001</v>
      </c>
    </row>
    <row r="378" spans="1:2">
      <c r="A378" s="3">
        <f ca="1">IFERROR(__xludf.DUMMYFUNCTION("""COMPUTED_VALUE"""),29759.6666666666)</f>
        <v>29759.666666666599</v>
      </c>
      <c r="B378" s="1">
        <f ca="1">IFERROR(__xludf.DUMMYFUNCTION("""COMPUTED_VALUE"""),131.95)</f>
        <v>131.94999999999999</v>
      </c>
    </row>
    <row r="379" spans="1:2">
      <c r="A379" s="3">
        <f ca="1">IFERROR(__xludf.DUMMYFUNCTION("""COMPUTED_VALUE"""),29760.6666666666)</f>
        <v>29760.666666666599</v>
      </c>
      <c r="B379" s="1">
        <f ca="1">IFERROR(__xludf.DUMMYFUNCTION("""COMPUTED_VALUE"""),133.35)</f>
        <v>133.35</v>
      </c>
    </row>
    <row r="380" spans="1:2">
      <c r="A380" s="3">
        <f ca="1">IFERROR(__xludf.DUMMYFUNCTION("""COMPUTED_VALUE"""),29761.6666666666)</f>
        <v>29761.666666666599</v>
      </c>
      <c r="B380" s="1">
        <f ca="1">IFERROR(__xludf.DUMMYFUNCTION("""COMPUTED_VALUE"""),132.66)</f>
        <v>132.66</v>
      </c>
    </row>
    <row r="381" spans="1:2">
      <c r="A381" s="3">
        <f ca="1">IFERROR(__xludf.DUMMYFUNCTION("""COMPUTED_VALUE"""),29762.6666666666)</f>
        <v>29762.666666666599</v>
      </c>
      <c r="B381" s="1">
        <f ca="1">IFERROR(__xludf.DUMMYFUNCTION("""COMPUTED_VALUE"""),132.81)</f>
        <v>132.81</v>
      </c>
    </row>
    <row r="382" spans="1:2">
      <c r="A382" s="3">
        <f ca="1">IFERROR(__xludf.DUMMYFUNCTION("""COMPUTED_VALUE"""),29763.6666666666)</f>
        <v>29763.666666666599</v>
      </c>
      <c r="B382" s="1">
        <f ca="1">IFERROR(__xludf.DUMMYFUNCTION("""COMPUTED_VALUE"""),132.56)</f>
        <v>132.56</v>
      </c>
    </row>
    <row r="383" spans="1:2">
      <c r="A383" s="3">
        <f ca="1">IFERROR(__xludf.DUMMYFUNCTION("""COMPUTED_VALUE"""),29766.6666666666)</f>
        <v>29766.666666666599</v>
      </c>
      <c r="B383" s="1">
        <f ca="1">IFERROR(__xludf.DUMMYFUNCTION("""COMPUTED_VALUE"""),131.89)</f>
        <v>131.88999999999999</v>
      </c>
    </row>
    <row r="384" spans="1:2">
      <c r="A384" s="3">
        <f ca="1">IFERROR(__xludf.DUMMYFUNCTION("""COMPUTED_VALUE"""),29767.6666666666)</f>
        <v>29767.666666666599</v>
      </c>
      <c r="B384" s="1">
        <f ca="1">IFERROR(__xludf.DUMMYFUNCTION("""COMPUTED_VALUE"""),131.21)</f>
        <v>131.21</v>
      </c>
    </row>
    <row r="385" spans="1:2">
      <c r="A385" s="3">
        <f ca="1">IFERROR(__xludf.DUMMYFUNCTION("""COMPUTED_VALUE"""),29768.6666666666)</f>
        <v>29768.666666666599</v>
      </c>
      <c r="B385" s="1">
        <f ca="1">IFERROR(__xludf.DUMMYFUNCTION("""COMPUTED_VALUE"""),129.77)</f>
        <v>129.77000000000001</v>
      </c>
    </row>
    <row r="386" spans="1:2">
      <c r="A386" s="3">
        <f ca="1">IFERROR(__xludf.DUMMYFUNCTION("""COMPUTED_VALUE"""),29769.6666666666)</f>
        <v>29769.666666666599</v>
      </c>
      <c r="B386" s="1">
        <f ca="1">IFERROR(__xludf.DUMMYFUNCTION("""COMPUTED_VALUE"""),128.64)</f>
        <v>128.63999999999999</v>
      </c>
    </row>
    <row r="387" spans="1:2">
      <c r="A387" s="3">
        <f ca="1">IFERROR(__xludf.DUMMYFUNCTION("""COMPUTED_VALUE"""),29773.6666666666)</f>
        <v>29773.666666666599</v>
      </c>
      <c r="B387" s="1">
        <f ca="1">IFERROR(__xludf.DUMMYFUNCTION("""COMPUTED_VALUE"""),127.37)</f>
        <v>127.37</v>
      </c>
    </row>
    <row r="388" spans="1:2">
      <c r="A388" s="3">
        <f ca="1">IFERROR(__xludf.DUMMYFUNCTION("""COMPUTED_VALUE"""),29774.6666666666)</f>
        <v>29774.666666666599</v>
      </c>
      <c r="B388" s="1">
        <f ca="1">IFERROR(__xludf.DUMMYFUNCTION("""COMPUTED_VALUE"""),128.24)</f>
        <v>128.24</v>
      </c>
    </row>
    <row r="389" spans="1:2">
      <c r="A389" s="3">
        <f ca="1">IFERROR(__xludf.DUMMYFUNCTION("""COMPUTED_VALUE"""),29775.6666666666)</f>
        <v>29775.666666666599</v>
      </c>
      <c r="B389" s="1">
        <f ca="1">IFERROR(__xludf.DUMMYFUNCTION("""COMPUTED_VALUE"""),128.32)</f>
        <v>128.32</v>
      </c>
    </row>
    <row r="390" spans="1:2">
      <c r="A390" s="3">
        <f ca="1">IFERROR(__xludf.DUMMYFUNCTION("""COMPUTED_VALUE"""),29776.6666666666)</f>
        <v>29776.666666666599</v>
      </c>
      <c r="B390" s="1">
        <f ca="1">IFERROR(__xludf.DUMMYFUNCTION("""COMPUTED_VALUE"""),129.3)</f>
        <v>129.30000000000001</v>
      </c>
    </row>
    <row r="391" spans="1:2">
      <c r="A391" s="3">
        <f ca="1">IFERROR(__xludf.DUMMYFUNCTION("""COMPUTED_VALUE"""),29777.6666666666)</f>
        <v>29777.666666666599</v>
      </c>
      <c r="B391" s="1">
        <f ca="1">IFERROR(__xludf.DUMMYFUNCTION("""COMPUTED_VALUE"""),129.37)</f>
        <v>129.37</v>
      </c>
    </row>
    <row r="392" spans="1:2">
      <c r="A392" s="3">
        <f ca="1">IFERROR(__xludf.DUMMYFUNCTION("""COMPUTED_VALUE"""),29780.6666666666)</f>
        <v>29780.666666666599</v>
      </c>
      <c r="B392" s="1">
        <f ca="1">IFERROR(__xludf.DUMMYFUNCTION("""COMPUTED_VALUE"""),129.64)</f>
        <v>129.63999999999999</v>
      </c>
    </row>
    <row r="393" spans="1:2">
      <c r="A393" s="3">
        <f ca="1">IFERROR(__xludf.DUMMYFUNCTION("""COMPUTED_VALUE"""),29781.6666666666)</f>
        <v>29781.666666666599</v>
      </c>
      <c r="B393" s="1">
        <f ca="1">IFERROR(__xludf.DUMMYFUNCTION("""COMPUTED_VALUE"""),129.65)</f>
        <v>129.65</v>
      </c>
    </row>
    <row r="394" spans="1:2">
      <c r="A394" s="3">
        <f ca="1">IFERROR(__xludf.DUMMYFUNCTION("""COMPUTED_VALUE"""),29782.6666666666)</f>
        <v>29782.666666666599</v>
      </c>
      <c r="B394" s="1">
        <f ca="1">IFERROR(__xludf.DUMMYFUNCTION("""COMPUTED_VALUE"""),130.23)</f>
        <v>130.22999999999999</v>
      </c>
    </row>
    <row r="395" spans="1:2">
      <c r="A395" s="3">
        <f ca="1">IFERROR(__xludf.DUMMYFUNCTION("""COMPUTED_VALUE"""),29783.6666666666)</f>
        <v>29783.666666666599</v>
      </c>
      <c r="B395" s="1">
        <f ca="1">IFERROR(__xludf.DUMMYFUNCTION("""COMPUTED_VALUE"""),130.34)</f>
        <v>130.34</v>
      </c>
    </row>
    <row r="396" spans="1:2">
      <c r="A396" s="3">
        <f ca="1">IFERROR(__xludf.DUMMYFUNCTION("""COMPUTED_VALUE"""),29784.6666666666)</f>
        <v>29784.666666666599</v>
      </c>
      <c r="B396" s="1">
        <f ca="1">IFERROR(__xludf.DUMMYFUNCTION("""COMPUTED_VALUE"""),130.76)</f>
        <v>130.76</v>
      </c>
    </row>
    <row r="397" spans="1:2">
      <c r="A397" s="3">
        <f ca="1">IFERROR(__xludf.DUMMYFUNCTION("""COMPUTED_VALUE"""),29787.6666666666)</f>
        <v>29787.666666666599</v>
      </c>
      <c r="B397" s="1">
        <f ca="1">IFERROR(__xludf.DUMMYFUNCTION("""COMPUTED_VALUE"""),128.72)</f>
        <v>128.72</v>
      </c>
    </row>
    <row r="398" spans="1:2">
      <c r="A398" s="3">
        <f ca="1">IFERROR(__xludf.DUMMYFUNCTION("""COMPUTED_VALUE"""),29788.6666666666)</f>
        <v>29788.666666666599</v>
      </c>
      <c r="B398" s="1">
        <f ca="1">IFERROR(__xludf.DUMMYFUNCTION("""COMPUTED_VALUE"""),128.34)</f>
        <v>128.34</v>
      </c>
    </row>
    <row r="399" spans="1:2">
      <c r="A399" s="3">
        <f ca="1">IFERROR(__xludf.DUMMYFUNCTION("""COMPUTED_VALUE"""),29789.6666666666)</f>
        <v>29789.666666666599</v>
      </c>
      <c r="B399" s="1">
        <f ca="1">IFERROR(__xludf.DUMMYFUNCTION("""COMPUTED_VALUE"""),127.13)</f>
        <v>127.13</v>
      </c>
    </row>
    <row r="400" spans="1:2">
      <c r="A400" s="3">
        <f ca="1">IFERROR(__xludf.DUMMYFUNCTION("""COMPUTED_VALUE"""),29790.6666666666)</f>
        <v>29790.666666666599</v>
      </c>
      <c r="B400" s="1">
        <f ca="1">IFERROR(__xludf.DUMMYFUNCTION("""COMPUTED_VALUE"""),127.4)</f>
        <v>127.4</v>
      </c>
    </row>
    <row r="401" spans="1:2">
      <c r="A401" s="3">
        <f ca="1">IFERROR(__xludf.DUMMYFUNCTION("""COMPUTED_VALUE"""),29791.6666666666)</f>
        <v>29791.666666666599</v>
      </c>
      <c r="B401" s="1">
        <f ca="1">IFERROR(__xludf.DUMMYFUNCTION("""COMPUTED_VALUE"""),128.46)</f>
        <v>128.46</v>
      </c>
    </row>
    <row r="402" spans="1:2">
      <c r="A402" s="3">
        <f ca="1">IFERROR(__xludf.DUMMYFUNCTION("""COMPUTED_VALUE"""),29794.6666666666)</f>
        <v>29794.666666666599</v>
      </c>
      <c r="B402" s="1">
        <f ca="1">IFERROR(__xludf.DUMMYFUNCTION("""COMPUTED_VALUE"""),129.9)</f>
        <v>129.9</v>
      </c>
    </row>
    <row r="403" spans="1:2">
      <c r="A403" s="3">
        <f ca="1">IFERROR(__xludf.DUMMYFUNCTION("""COMPUTED_VALUE"""),29795.6666666666)</f>
        <v>29795.666666666599</v>
      </c>
      <c r="B403" s="1">
        <f ca="1">IFERROR(__xludf.DUMMYFUNCTION("""COMPUTED_VALUE"""),129.14)</f>
        <v>129.13999999999999</v>
      </c>
    </row>
    <row r="404" spans="1:2">
      <c r="A404" s="3">
        <f ca="1">IFERROR(__xludf.DUMMYFUNCTION("""COMPUTED_VALUE"""),29796.6666666666)</f>
        <v>29796.666666666599</v>
      </c>
      <c r="B404" s="1">
        <f ca="1">IFERROR(__xludf.DUMMYFUNCTION("""COMPUTED_VALUE"""),129.16)</f>
        <v>129.16</v>
      </c>
    </row>
    <row r="405" spans="1:2">
      <c r="A405" s="3">
        <f ca="1">IFERROR(__xludf.DUMMYFUNCTION("""COMPUTED_VALUE"""),29797.6666666666)</f>
        <v>29797.666666666599</v>
      </c>
      <c r="B405" s="1">
        <f ca="1">IFERROR(__xludf.DUMMYFUNCTION("""COMPUTED_VALUE"""),130.01)</f>
        <v>130.01</v>
      </c>
    </row>
    <row r="406" spans="1:2">
      <c r="A406" s="3">
        <f ca="1">IFERROR(__xludf.DUMMYFUNCTION("""COMPUTED_VALUE"""),29798.6666666666)</f>
        <v>29798.666666666599</v>
      </c>
      <c r="B406" s="1">
        <f ca="1">IFERROR(__xludf.DUMMYFUNCTION("""COMPUTED_VALUE"""),130.92)</f>
        <v>130.91999999999999</v>
      </c>
    </row>
    <row r="407" spans="1:2">
      <c r="A407" s="3">
        <f ca="1">IFERROR(__xludf.DUMMYFUNCTION("""COMPUTED_VALUE"""),29801.6666666666)</f>
        <v>29801.666666666599</v>
      </c>
      <c r="B407" s="1">
        <f ca="1">IFERROR(__xludf.DUMMYFUNCTION("""COMPUTED_VALUE"""),130.48)</f>
        <v>130.47999999999999</v>
      </c>
    </row>
    <row r="408" spans="1:2">
      <c r="A408" s="3">
        <f ca="1">IFERROR(__xludf.DUMMYFUNCTION("""COMPUTED_VALUE"""),29802.6666666666)</f>
        <v>29802.666666666599</v>
      </c>
      <c r="B408" s="1">
        <f ca="1">IFERROR(__xludf.DUMMYFUNCTION("""COMPUTED_VALUE"""),131.18)</f>
        <v>131.18</v>
      </c>
    </row>
    <row r="409" spans="1:2">
      <c r="A409" s="3">
        <f ca="1">IFERROR(__xludf.DUMMYFUNCTION("""COMPUTED_VALUE"""),29803.6666666666)</f>
        <v>29803.666666666599</v>
      </c>
      <c r="B409" s="1">
        <f ca="1">IFERROR(__xludf.DUMMYFUNCTION("""COMPUTED_VALUE"""),132.67)</f>
        <v>132.66999999999999</v>
      </c>
    </row>
    <row r="410" spans="1:2">
      <c r="A410" s="3">
        <f ca="1">IFERROR(__xludf.DUMMYFUNCTION("""COMPUTED_VALUE"""),29804.6666666666)</f>
        <v>29804.666666666599</v>
      </c>
      <c r="B410" s="1">
        <f ca="1">IFERROR(__xludf.DUMMYFUNCTION("""COMPUTED_VALUE"""),132.64)</f>
        <v>132.63999999999999</v>
      </c>
    </row>
    <row r="411" spans="1:2">
      <c r="A411" s="3">
        <f ca="1">IFERROR(__xludf.DUMMYFUNCTION("""COMPUTED_VALUE"""),29805.6666666666)</f>
        <v>29805.666666666599</v>
      </c>
      <c r="B411" s="1">
        <f ca="1">IFERROR(__xludf.DUMMYFUNCTION("""COMPUTED_VALUE"""),131.75)</f>
        <v>131.75</v>
      </c>
    </row>
    <row r="412" spans="1:2">
      <c r="A412" s="3">
        <f ca="1">IFERROR(__xludf.DUMMYFUNCTION("""COMPUTED_VALUE"""),29808.6666666666)</f>
        <v>29808.666666666599</v>
      </c>
      <c r="B412" s="1">
        <f ca="1">IFERROR(__xludf.DUMMYFUNCTION("""COMPUTED_VALUE"""),132.54)</f>
        <v>132.54</v>
      </c>
    </row>
    <row r="413" spans="1:2">
      <c r="A413" s="3">
        <f ca="1">IFERROR(__xludf.DUMMYFUNCTION("""COMPUTED_VALUE"""),29809.6666666666)</f>
        <v>29809.666666666599</v>
      </c>
      <c r="B413" s="1">
        <f ca="1">IFERROR(__xludf.DUMMYFUNCTION("""COMPUTED_VALUE"""),133.85)</f>
        <v>133.85</v>
      </c>
    </row>
    <row r="414" spans="1:2">
      <c r="A414" s="3">
        <f ca="1">IFERROR(__xludf.DUMMYFUNCTION("""COMPUTED_VALUE"""),29810.6666666666)</f>
        <v>29810.666666666599</v>
      </c>
      <c r="B414" s="1">
        <f ca="1">IFERROR(__xludf.DUMMYFUNCTION("""COMPUTED_VALUE"""),133.4)</f>
        <v>133.4</v>
      </c>
    </row>
    <row r="415" spans="1:2">
      <c r="A415" s="3">
        <f ca="1">IFERROR(__xludf.DUMMYFUNCTION("""COMPUTED_VALUE"""),29811.6666666666)</f>
        <v>29811.666666666599</v>
      </c>
      <c r="B415" s="1">
        <f ca="1">IFERROR(__xludf.DUMMYFUNCTION("""COMPUTED_VALUE"""),133.51)</f>
        <v>133.51</v>
      </c>
    </row>
    <row r="416" spans="1:2">
      <c r="A416" s="3">
        <f ca="1">IFERROR(__xludf.DUMMYFUNCTION("""COMPUTED_VALUE"""),29812.6666666666)</f>
        <v>29812.666666666599</v>
      </c>
      <c r="B416" s="1">
        <f ca="1">IFERROR(__xludf.DUMMYFUNCTION("""COMPUTED_VALUE"""),132.49)</f>
        <v>132.49</v>
      </c>
    </row>
    <row r="417" spans="1:2">
      <c r="A417" s="3">
        <f ca="1">IFERROR(__xludf.DUMMYFUNCTION("""COMPUTED_VALUE"""),29815.6666666666)</f>
        <v>29815.666666666599</v>
      </c>
      <c r="B417" s="1">
        <f ca="1">IFERROR(__xludf.DUMMYFUNCTION("""COMPUTED_VALUE"""),131.22)</f>
        <v>131.22</v>
      </c>
    </row>
    <row r="418" spans="1:2">
      <c r="A418" s="3">
        <f ca="1">IFERROR(__xludf.DUMMYFUNCTION("""COMPUTED_VALUE"""),29816.6666666666)</f>
        <v>29816.666666666599</v>
      </c>
      <c r="B418" s="1">
        <f ca="1">IFERROR(__xludf.DUMMYFUNCTION("""COMPUTED_VALUE"""),130.11)</f>
        <v>130.11000000000001</v>
      </c>
    </row>
    <row r="419" spans="1:2">
      <c r="A419" s="3">
        <f ca="1">IFERROR(__xludf.DUMMYFUNCTION("""COMPUTED_VALUE"""),29817.6666666666)</f>
        <v>29817.666666666599</v>
      </c>
      <c r="B419" s="1">
        <f ca="1">IFERROR(__xludf.DUMMYFUNCTION("""COMPUTED_VALUE"""),130.49)</f>
        <v>130.49</v>
      </c>
    </row>
    <row r="420" spans="1:2">
      <c r="A420" s="3">
        <f ca="1">IFERROR(__xludf.DUMMYFUNCTION("""COMPUTED_VALUE"""),29818.6666666666)</f>
        <v>29818.666666666599</v>
      </c>
      <c r="B420" s="1">
        <f ca="1">IFERROR(__xludf.DUMMYFUNCTION("""COMPUTED_VALUE"""),130.69)</f>
        <v>130.69</v>
      </c>
    </row>
    <row r="421" spans="1:2">
      <c r="A421" s="3">
        <f ca="1">IFERROR(__xludf.DUMMYFUNCTION("""COMPUTED_VALUE"""),29819.6666666666)</f>
        <v>29819.666666666599</v>
      </c>
      <c r="B421" s="1">
        <f ca="1">IFERROR(__xludf.DUMMYFUNCTION("""COMPUTED_VALUE"""),129.23)</f>
        <v>129.22999999999999</v>
      </c>
    </row>
    <row r="422" spans="1:2">
      <c r="A422" s="3">
        <f ca="1">IFERROR(__xludf.DUMMYFUNCTION("""COMPUTED_VALUE"""),29822.6666666666)</f>
        <v>29822.666666666599</v>
      </c>
      <c r="B422" s="1">
        <f ca="1">IFERROR(__xludf.DUMMYFUNCTION("""COMPUTED_VALUE"""),125.5)</f>
        <v>125.5</v>
      </c>
    </row>
    <row r="423" spans="1:2">
      <c r="A423" s="3">
        <f ca="1">IFERROR(__xludf.DUMMYFUNCTION("""COMPUTED_VALUE"""),29823.6666666666)</f>
        <v>29823.666666666599</v>
      </c>
      <c r="B423" s="1">
        <f ca="1">IFERROR(__xludf.DUMMYFUNCTION("""COMPUTED_VALUE"""),125.13)</f>
        <v>125.13</v>
      </c>
    </row>
    <row r="424" spans="1:2">
      <c r="A424" s="3">
        <f ca="1">IFERROR(__xludf.DUMMYFUNCTION("""COMPUTED_VALUE"""),29824.6666666666)</f>
        <v>29824.666666666599</v>
      </c>
      <c r="B424" s="1">
        <f ca="1">IFERROR(__xludf.DUMMYFUNCTION("""COMPUTED_VALUE"""),124.96)</f>
        <v>124.96</v>
      </c>
    </row>
    <row r="425" spans="1:2">
      <c r="A425" s="3">
        <f ca="1">IFERROR(__xludf.DUMMYFUNCTION("""COMPUTED_VALUE"""),29825.6666666666)</f>
        <v>29825.666666666599</v>
      </c>
      <c r="B425" s="1">
        <f ca="1">IFERROR(__xludf.DUMMYFUNCTION("""COMPUTED_VALUE"""),123.51)</f>
        <v>123.51</v>
      </c>
    </row>
    <row r="426" spans="1:2">
      <c r="A426" s="3">
        <f ca="1">IFERROR(__xludf.DUMMYFUNCTION("""COMPUTED_VALUE"""),29826.6666666666)</f>
        <v>29826.666666666599</v>
      </c>
      <c r="B426" s="1">
        <f ca="1">IFERROR(__xludf.DUMMYFUNCTION("""COMPUTED_VALUE"""),124.08)</f>
        <v>124.08</v>
      </c>
    </row>
    <row r="427" spans="1:2">
      <c r="A427" s="3">
        <f ca="1">IFERROR(__xludf.DUMMYFUNCTION("""COMPUTED_VALUE"""),29829.6666666666)</f>
        <v>29829.666666666599</v>
      </c>
      <c r="B427" s="1">
        <f ca="1">IFERROR(__xludf.DUMMYFUNCTION("""COMPUTED_VALUE"""),122.79)</f>
        <v>122.79</v>
      </c>
    </row>
    <row r="428" spans="1:2">
      <c r="A428" s="3">
        <f ca="1">IFERROR(__xludf.DUMMYFUNCTION("""COMPUTED_VALUE"""),29830.6666666666)</f>
        <v>29830.666666666599</v>
      </c>
      <c r="B428" s="1">
        <f ca="1">IFERROR(__xludf.DUMMYFUNCTION("""COMPUTED_VALUE"""),123.02)</f>
        <v>123.02</v>
      </c>
    </row>
    <row r="429" spans="1:2">
      <c r="A429" s="3">
        <f ca="1">IFERROR(__xludf.DUMMYFUNCTION("""COMPUTED_VALUE"""),29831.6666666666)</f>
        <v>29831.666666666599</v>
      </c>
      <c r="B429" s="1">
        <f ca="1">IFERROR(__xludf.DUMMYFUNCTION("""COMPUTED_VALUE"""),123.49)</f>
        <v>123.49</v>
      </c>
    </row>
    <row r="430" spans="1:2">
      <c r="A430" s="3">
        <f ca="1">IFERROR(__xludf.DUMMYFUNCTION("""COMPUTED_VALUE"""),29832.6666666666)</f>
        <v>29832.666666666599</v>
      </c>
      <c r="B430" s="1">
        <f ca="1">IFERROR(__xludf.DUMMYFUNCTION("""COMPUTED_VALUE"""),121.24)</f>
        <v>121.24</v>
      </c>
    </row>
    <row r="431" spans="1:2">
      <c r="A431" s="3">
        <f ca="1">IFERROR(__xludf.DUMMYFUNCTION("""COMPUTED_VALUE"""),29833.6666666666)</f>
        <v>29833.666666666599</v>
      </c>
      <c r="B431" s="1">
        <f ca="1">IFERROR(__xludf.DUMMYFUNCTION("""COMPUTED_VALUE"""),120.07)</f>
        <v>120.07</v>
      </c>
    </row>
    <row r="432" spans="1:2">
      <c r="A432" s="3">
        <f ca="1">IFERROR(__xludf.DUMMYFUNCTION("""COMPUTED_VALUE"""),29836.6666666666)</f>
        <v>29836.666666666599</v>
      </c>
      <c r="B432" s="1">
        <f ca="1">IFERROR(__xludf.DUMMYFUNCTION("""COMPUTED_VALUE"""),117.98)</f>
        <v>117.98</v>
      </c>
    </row>
    <row r="433" spans="1:2">
      <c r="A433" s="3">
        <f ca="1">IFERROR(__xludf.DUMMYFUNCTION("""COMPUTED_VALUE"""),29837.6666666666)</f>
        <v>29837.666666666599</v>
      </c>
      <c r="B433" s="1">
        <f ca="1">IFERROR(__xludf.DUMMYFUNCTION("""COMPUTED_VALUE"""),117.98)</f>
        <v>117.98</v>
      </c>
    </row>
    <row r="434" spans="1:2">
      <c r="A434" s="3">
        <f ca="1">IFERROR(__xludf.DUMMYFUNCTION("""COMPUTED_VALUE"""),29838.6666666666)</f>
        <v>29838.666666666599</v>
      </c>
      <c r="B434" s="1">
        <f ca="1">IFERROR(__xludf.DUMMYFUNCTION("""COMPUTED_VALUE"""),118.4)</f>
        <v>118.4</v>
      </c>
    </row>
    <row r="435" spans="1:2">
      <c r="A435" s="3">
        <f ca="1">IFERROR(__xludf.DUMMYFUNCTION("""COMPUTED_VALUE"""),29839.6666666666)</f>
        <v>29839.666666666599</v>
      </c>
      <c r="B435" s="1">
        <f ca="1">IFERROR(__xludf.DUMMYFUNCTION("""COMPUTED_VALUE"""),120.14)</f>
        <v>120.14</v>
      </c>
    </row>
    <row r="436" spans="1:2">
      <c r="A436" s="3">
        <f ca="1">IFERROR(__xludf.DUMMYFUNCTION("""COMPUTED_VALUE"""),29840.6666666666)</f>
        <v>29840.666666666599</v>
      </c>
      <c r="B436" s="1">
        <f ca="1">IFERROR(__xludf.DUMMYFUNCTION("""COMPUTED_VALUE"""),121.61)</f>
        <v>121.61</v>
      </c>
    </row>
    <row r="437" spans="1:2">
      <c r="A437" s="3">
        <f ca="1">IFERROR(__xludf.DUMMYFUNCTION("""COMPUTED_VALUE"""),29843.6666666666)</f>
        <v>29843.666666666599</v>
      </c>
      <c r="B437" s="1">
        <f ca="1">IFERROR(__xludf.DUMMYFUNCTION("""COMPUTED_VALUE"""),120.66)</f>
        <v>120.66</v>
      </c>
    </row>
    <row r="438" spans="1:2">
      <c r="A438" s="3">
        <f ca="1">IFERROR(__xludf.DUMMYFUNCTION("""COMPUTED_VALUE"""),29844.6666666666)</f>
        <v>29844.666666666599</v>
      </c>
      <c r="B438" s="1">
        <f ca="1">IFERROR(__xludf.DUMMYFUNCTION("""COMPUTED_VALUE"""),119.77)</f>
        <v>119.77</v>
      </c>
    </row>
    <row r="439" spans="1:2">
      <c r="A439" s="3">
        <f ca="1">IFERROR(__xludf.DUMMYFUNCTION("""COMPUTED_VALUE"""),29845.6666666666)</f>
        <v>29845.666666666599</v>
      </c>
      <c r="B439" s="1">
        <f ca="1">IFERROR(__xludf.DUMMYFUNCTION("""COMPUTED_VALUE"""),118.87)</f>
        <v>118.87</v>
      </c>
    </row>
    <row r="440" spans="1:2">
      <c r="A440" s="3">
        <f ca="1">IFERROR(__xludf.DUMMYFUNCTION("""COMPUTED_VALUE"""),29846.6666666666)</f>
        <v>29846.666666666599</v>
      </c>
      <c r="B440" s="1">
        <f ca="1">IFERROR(__xludf.DUMMYFUNCTION("""COMPUTED_VALUE"""),117.15)</f>
        <v>117.15</v>
      </c>
    </row>
    <row r="441" spans="1:2">
      <c r="A441" s="3">
        <f ca="1">IFERROR(__xludf.DUMMYFUNCTION("""COMPUTED_VALUE"""),29847.6666666666)</f>
        <v>29847.666666666599</v>
      </c>
      <c r="B441" s="1">
        <f ca="1">IFERROR(__xludf.DUMMYFUNCTION("""COMPUTED_VALUE"""),116.26)</f>
        <v>116.26</v>
      </c>
    </row>
    <row r="442" spans="1:2">
      <c r="A442" s="3">
        <f ca="1">IFERROR(__xludf.DUMMYFUNCTION("""COMPUTED_VALUE"""),29850.6666666666)</f>
        <v>29850.666666666599</v>
      </c>
      <c r="B442" s="1">
        <f ca="1">IFERROR(__xludf.DUMMYFUNCTION("""COMPUTED_VALUE"""),117.24)</f>
        <v>117.24</v>
      </c>
    </row>
    <row r="443" spans="1:2">
      <c r="A443" s="3">
        <f ca="1">IFERROR(__xludf.DUMMYFUNCTION("""COMPUTED_VALUE"""),29851.6666666666)</f>
        <v>29851.666666666599</v>
      </c>
      <c r="B443" s="1">
        <f ca="1">IFERROR(__xludf.DUMMYFUNCTION("""COMPUTED_VALUE"""),116.68)</f>
        <v>116.68</v>
      </c>
    </row>
    <row r="444" spans="1:2">
      <c r="A444" s="3">
        <f ca="1">IFERROR(__xludf.DUMMYFUNCTION("""COMPUTED_VALUE"""),29852.6666666666)</f>
        <v>29852.666666666599</v>
      </c>
      <c r="B444" s="1">
        <f ca="1">IFERROR(__xludf.DUMMYFUNCTION("""COMPUTED_VALUE"""),115.65)</f>
        <v>115.65</v>
      </c>
    </row>
    <row r="445" spans="1:2">
      <c r="A445" s="3">
        <f ca="1">IFERROR(__xludf.DUMMYFUNCTION("""COMPUTED_VALUE"""),29853.6666666666)</f>
        <v>29853.666666666599</v>
      </c>
      <c r="B445" s="1">
        <f ca="1">IFERROR(__xludf.DUMMYFUNCTION("""COMPUTED_VALUE"""),115.01)</f>
        <v>115.01</v>
      </c>
    </row>
    <row r="446" spans="1:2">
      <c r="A446" s="3">
        <f ca="1">IFERROR(__xludf.DUMMYFUNCTION("""COMPUTED_VALUE"""),29854.6666666666)</f>
        <v>29854.666666666599</v>
      </c>
      <c r="B446" s="1">
        <f ca="1">IFERROR(__xludf.DUMMYFUNCTION("""COMPUTED_VALUE"""),112.77)</f>
        <v>112.77</v>
      </c>
    </row>
    <row r="447" spans="1:2">
      <c r="A447" s="3">
        <f ca="1">IFERROR(__xludf.DUMMYFUNCTION("""COMPUTED_VALUE"""),29857.6666666666)</f>
        <v>29857.666666666599</v>
      </c>
      <c r="B447" s="1">
        <f ca="1">IFERROR(__xludf.DUMMYFUNCTION("""COMPUTED_VALUE"""),115.53)</f>
        <v>115.53</v>
      </c>
    </row>
    <row r="448" spans="1:2">
      <c r="A448" s="3">
        <f ca="1">IFERROR(__xludf.DUMMYFUNCTION("""COMPUTED_VALUE"""),29858.6666666666)</f>
        <v>29858.666666666599</v>
      </c>
      <c r="B448" s="1">
        <f ca="1">IFERROR(__xludf.DUMMYFUNCTION("""COMPUTED_VALUE"""),115.94)</f>
        <v>115.94</v>
      </c>
    </row>
    <row r="449" spans="1:2">
      <c r="A449" s="3">
        <f ca="1">IFERROR(__xludf.DUMMYFUNCTION("""COMPUTED_VALUE"""),29859.6666666666)</f>
        <v>29859.666666666599</v>
      </c>
      <c r="B449" s="1">
        <f ca="1">IFERROR(__xludf.DUMMYFUNCTION("""COMPUTED_VALUE"""),116.18)</f>
        <v>116.18</v>
      </c>
    </row>
    <row r="450" spans="1:2">
      <c r="A450" s="3">
        <f ca="1">IFERROR(__xludf.DUMMYFUNCTION("""COMPUTED_VALUE"""),29860.6666666666)</f>
        <v>29860.666666666599</v>
      </c>
      <c r="B450" s="1">
        <f ca="1">IFERROR(__xludf.DUMMYFUNCTION("""COMPUTED_VALUE"""),117.08)</f>
        <v>117.08</v>
      </c>
    </row>
    <row r="451" spans="1:2">
      <c r="A451" s="3">
        <f ca="1">IFERROR(__xludf.DUMMYFUNCTION("""COMPUTED_VALUE"""),29861.6666666666)</f>
        <v>29861.666666666599</v>
      </c>
      <c r="B451" s="1">
        <f ca="1">IFERROR(__xludf.DUMMYFUNCTION("""COMPUTED_VALUE"""),119.36)</f>
        <v>119.36</v>
      </c>
    </row>
    <row r="452" spans="1:2">
      <c r="A452" s="3">
        <f ca="1">IFERROR(__xludf.DUMMYFUNCTION("""COMPUTED_VALUE"""),29864.6666666666)</f>
        <v>29864.666666666599</v>
      </c>
      <c r="B452" s="1">
        <f ca="1">IFERROR(__xludf.DUMMYFUNCTION("""COMPUTED_VALUE"""),119.51)</f>
        <v>119.51</v>
      </c>
    </row>
    <row r="453" spans="1:2">
      <c r="A453" s="3">
        <f ca="1">IFERROR(__xludf.DUMMYFUNCTION("""COMPUTED_VALUE"""),29865.6666666666)</f>
        <v>29865.666666666599</v>
      </c>
      <c r="B453" s="1">
        <f ca="1">IFERROR(__xludf.DUMMYFUNCTION("""COMPUTED_VALUE"""),119.39)</f>
        <v>119.39</v>
      </c>
    </row>
    <row r="454" spans="1:2">
      <c r="A454" s="3">
        <f ca="1">IFERROR(__xludf.DUMMYFUNCTION("""COMPUTED_VALUE"""),29866.6666666666)</f>
        <v>29866.666666666599</v>
      </c>
      <c r="B454" s="1">
        <f ca="1">IFERROR(__xludf.DUMMYFUNCTION("""COMPUTED_VALUE"""),121.31)</f>
        <v>121.31</v>
      </c>
    </row>
    <row r="455" spans="1:2">
      <c r="A455" s="3">
        <f ca="1">IFERROR(__xludf.DUMMYFUNCTION("""COMPUTED_VALUE"""),29867.6666666666)</f>
        <v>29867.666666666599</v>
      </c>
      <c r="B455" s="1">
        <f ca="1">IFERROR(__xludf.DUMMYFUNCTION("""COMPUTED_VALUE"""),122.31)</f>
        <v>122.31</v>
      </c>
    </row>
    <row r="456" spans="1:2">
      <c r="A456" s="3">
        <f ca="1">IFERROR(__xludf.DUMMYFUNCTION("""COMPUTED_VALUE"""),29868.6666666666)</f>
        <v>29868.666666666599</v>
      </c>
      <c r="B456" s="1">
        <f ca="1">IFERROR(__xludf.DUMMYFUNCTION("""COMPUTED_VALUE"""),121.45)</f>
        <v>121.45</v>
      </c>
    </row>
    <row r="457" spans="1:2">
      <c r="A457" s="3">
        <f ca="1">IFERROR(__xludf.DUMMYFUNCTION("""COMPUTED_VALUE"""),29871.6666666666)</f>
        <v>29871.666666666599</v>
      </c>
      <c r="B457" s="1">
        <f ca="1">IFERROR(__xludf.DUMMYFUNCTION("""COMPUTED_VALUE"""),121.21)</f>
        <v>121.21</v>
      </c>
    </row>
    <row r="458" spans="1:2">
      <c r="A458" s="3">
        <f ca="1">IFERROR(__xludf.DUMMYFUNCTION("""COMPUTED_VALUE"""),29872.6666666666)</f>
        <v>29872.666666666599</v>
      </c>
      <c r="B458" s="1">
        <f ca="1">IFERROR(__xludf.DUMMYFUNCTION("""COMPUTED_VALUE"""),120.78)</f>
        <v>120.78</v>
      </c>
    </row>
    <row r="459" spans="1:2">
      <c r="A459" s="3">
        <f ca="1">IFERROR(__xludf.DUMMYFUNCTION("""COMPUTED_VALUE"""),29873.6666666666)</f>
        <v>29873.666666666599</v>
      </c>
      <c r="B459" s="1">
        <f ca="1">IFERROR(__xludf.DUMMYFUNCTION("""COMPUTED_VALUE"""),118.8)</f>
        <v>118.8</v>
      </c>
    </row>
    <row r="460" spans="1:2">
      <c r="A460" s="3">
        <f ca="1">IFERROR(__xludf.DUMMYFUNCTION("""COMPUTED_VALUE"""),29874.6666666666)</f>
        <v>29874.666666666599</v>
      </c>
      <c r="B460" s="1">
        <f ca="1">IFERROR(__xludf.DUMMYFUNCTION("""COMPUTED_VALUE"""),119.71)</f>
        <v>119.71</v>
      </c>
    </row>
    <row r="461" spans="1:2">
      <c r="A461" s="3">
        <f ca="1">IFERROR(__xludf.DUMMYFUNCTION("""COMPUTED_VALUE"""),29875.6666666666)</f>
        <v>29875.666666666599</v>
      </c>
      <c r="B461" s="1">
        <f ca="1">IFERROR(__xludf.DUMMYFUNCTION("""COMPUTED_VALUE"""),119.19)</f>
        <v>119.19</v>
      </c>
    </row>
    <row r="462" spans="1:2">
      <c r="A462" s="3">
        <f ca="1">IFERROR(__xludf.DUMMYFUNCTION("""COMPUTED_VALUE"""),29878.6666666666)</f>
        <v>29878.666666666599</v>
      </c>
      <c r="B462" s="1">
        <f ca="1">IFERROR(__xludf.DUMMYFUNCTION("""COMPUTED_VALUE"""),118.98)</f>
        <v>118.98</v>
      </c>
    </row>
    <row r="463" spans="1:2">
      <c r="A463" s="3">
        <f ca="1">IFERROR(__xludf.DUMMYFUNCTION("""COMPUTED_VALUE"""),29879.6666666666)</f>
        <v>29879.666666666599</v>
      </c>
      <c r="B463" s="1">
        <f ca="1">IFERROR(__xludf.DUMMYFUNCTION("""COMPUTED_VALUE"""),120.28)</f>
        <v>120.28</v>
      </c>
    </row>
    <row r="464" spans="1:2">
      <c r="A464" s="3">
        <f ca="1">IFERROR(__xludf.DUMMYFUNCTION("""COMPUTED_VALUE"""),29880.6666666666)</f>
        <v>29880.666666666599</v>
      </c>
      <c r="B464" s="1">
        <f ca="1">IFERROR(__xludf.DUMMYFUNCTION("""COMPUTED_VALUE"""),120.1)</f>
        <v>120.1</v>
      </c>
    </row>
    <row r="465" spans="1:2">
      <c r="A465" s="3">
        <f ca="1">IFERROR(__xludf.DUMMYFUNCTION("""COMPUTED_VALUE"""),29881.6666666666)</f>
        <v>29881.666666666599</v>
      </c>
      <c r="B465" s="1">
        <f ca="1">IFERROR(__xludf.DUMMYFUNCTION("""COMPUTED_VALUE"""),119.64)</f>
        <v>119.64</v>
      </c>
    </row>
    <row r="466" spans="1:2">
      <c r="A466" s="3">
        <f ca="1">IFERROR(__xludf.DUMMYFUNCTION("""COMPUTED_VALUE"""),29882.6666666666)</f>
        <v>29882.666666666599</v>
      </c>
      <c r="B466" s="1">
        <f ca="1">IFERROR(__xludf.DUMMYFUNCTION("""COMPUTED_VALUE"""),118.6)</f>
        <v>118.6</v>
      </c>
    </row>
    <row r="467" spans="1:2">
      <c r="A467" s="3">
        <f ca="1">IFERROR(__xludf.DUMMYFUNCTION("""COMPUTED_VALUE"""),29885.6666666666)</f>
        <v>29885.666666666599</v>
      </c>
      <c r="B467" s="1">
        <f ca="1">IFERROR(__xludf.DUMMYFUNCTION("""COMPUTED_VALUE"""),118.16)</f>
        <v>118.16</v>
      </c>
    </row>
    <row r="468" spans="1:2">
      <c r="A468" s="3">
        <f ca="1">IFERROR(__xludf.DUMMYFUNCTION("""COMPUTED_VALUE"""),29886.6666666666)</f>
        <v>29886.666666666599</v>
      </c>
      <c r="B468" s="1">
        <f ca="1">IFERROR(__xludf.DUMMYFUNCTION("""COMPUTED_VALUE"""),119.29)</f>
        <v>119.29</v>
      </c>
    </row>
    <row r="469" spans="1:2">
      <c r="A469" s="3">
        <f ca="1">IFERROR(__xludf.DUMMYFUNCTION("""COMPUTED_VALUE"""),29887.6666666666)</f>
        <v>29887.666666666599</v>
      </c>
      <c r="B469" s="1">
        <f ca="1">IFERROR(__xludf.DUMMYFUNCTION("""COMPUTED_VALUE"""),119.45)</f>
        <v>119.45</v>
      </c>
    </row>
    <row r="470" spans="1:2">
      <c r="A470" s="3">
        <f ca="1">IFERROR(__xludf.DUMMYFUNCTION("""COMPUTED_VALUE"""),29888.6666666666)</f>
        <v>29888.666666666599</v>
      </c>
      <c r="B470" s="1">
        <f ca="1">IFERROR(__xludf.DUMMYFUNCTION("""COMPUTED_VALUE"""),119.06)</f>
        <v>119.06</v>
      </c>
    </row>
    <row r="471" spans="1:2">
      <c r="A471" s="3">
        <f ca="1">IFERROR(__xludf.DUMMYFUNCTION("""COMPUTED_VALUE"""),29889.6666666666)</f>
        <v>29889.666666666599</v>
      </c>
      <c r="B471" s="1">
        <f ca="1">IFERROR(__xludf.DUMMYFUNCTION("""COMPUTED_VALUE"""),121.89)</f>
        <v>121.89</v>
      </c>
    </row>
    <row r="472" spans="1:2">
      <c r="A472" s="3">
        <f ca="1">IFERROR(__xludf.DUMMYFUNCTION("""COMPUTED_VALUE"""),29892.6666666666)</f>
        <v>29892.666666666599</v>
      </c>
      <c r="B472" s="1">
        <f ca="1">IFERROR(__xludf.DUMMYFUNCTION("""COMPUTED_VALUE"""),124.2)</f>
        <v>124.2</v>
      </c>
    </row>
    <row r="473" spans="1:2">
      <c r="A473" s="3">
        <f ca="1">IFERROR(__xludf.DUMMYFUNCTION("""COMPUTED_VALUE"""),29893.6666666666)</f>
        <v>29893.666666666599</v>
      </c>
      <c r="B473" s="1">
        <f ca="1">IFERROR(__xludf.DUMMYFUNCTION("""COMPUTED_VALUE"""),124.8)</f>
        <v>124.8</v>
      </c>
    </row>
    <row r="474" spans="1:2">
      <c r="A474" s="3">
        <f ca="1">IFERROR(__xludf.DUMMYFUNCTION("""COMPUTED_VALUE"""),29894.6666666666)</f>
        <v>29894.666666666599</v>
      </c>
      <c r="B474" s="1">
        <f ca="1">IFERROR(__xludf.DUMMYFUNCTION("""COMPUTED_VALUE"""),124.74)</f>
        <v>124.74</v>
      </c>
    </row>
    <row r="475" spans="1:2">
      <c r="A475" s="3">
        <f ca="1">IFERROR(__xludf.DUMMYFUNCTION("""COMPUTED_VALUE"""),29895.6666666666)</f>
        <v>29895.666666666599</v>
      </c>
      <c r="B475" s="1">
        <f ca="1">IFERROR(__xludf.DUMMYFUNCTION("""COMPUTED_VALUE"""),123.54)</f>
        <v>123.54</v>
      </c>
    </row>
    <row r="476" spans="1:2">
      <c r="A476" s="3">
        <f ca="1">IFERROR(__xludf.DUMMYFUNCTION("""COMPUTED_VALUE"""),29896.6666666666)</f>
        <v>29896.666666666599</v>
      </c>
      <c r="B476" s="1">
        <f ca="1">IFERROR(__xludf.DUMMYFUNCTION("""COMPUTED_VALUE"""),122.67)</f>
        <v>122.67</v>
      </c>
    </row>
    <row r="477" spans="1:2">
      <c r="A477" s="3">
        <f ca="1">IFERROR(__xludf.DUMMYFUNCTION("""COMPUTED_VALUE"""),29899.6666666666)</f>
        <v>29899.666666666599</v>
      </c>
      <c r="B477" s="1">
        <f ca="1">IFERROR(__xludf.DUMMYFUNCTION("""COMPUTED_VALUE"""),123.29)</f>
        <v>123.29</v>
      </c>
    </row>
    <row r="478" spans="1:2">
      <c r="A478" s="3">
        <f ca="1">IFERROR(__xludf.DUMMYFUNCTION("""COMPUTED_VALUE"""),29900.6666666666)</f>
        <v>29900.666666666599</v>
      </c>
      <c r="B478" s="1">
        <f ca="1">IFERROR(__xludf.DUMMYFUNCTION("""COMPUTED_VALUE"""),122.7)</f>
        <v>122.7</v>
      </c>
    </row>
    <row r="479" spans="1:2">
      <c r="A479" s="3">
        <f ca="1">IFERROR(__xludf.DUMMYFUNCTION("""COMPUTED_VALUE"""),29901.6666666666)</f>
        <v>29901.666666666599</v>
      </c>
      <c r="B479" s="1">
        <f ca="1">IFERROR(__xludf.DUMMYFUNCTION("""COMPUTED_VALUE"""),122.92)</f>
        <v>122.92</v>
      </c>
    </row>
    <row r="480" spans="1:2">
      <c r="A480" s="3">
        <f ca="1">IFERROR(__xludf.DUMMYFUNCTION("""COMPUTED_VALUE"""),29902.6666666666)</f>
        <v>29902.666666666599</v>
      </c>
      <c r="B480" s="1">
        <f ca="1">IFERROR(__xludf.DUMMYFUNCTION("""COMPUTED_VALUE"""),123.19)</f>
        <v>123.19</v>
      </c>
    </row>
    <row r="481" spans="1:2">
      <c r="A481" s="3">
        <f ca="1">IFERROR(__xludf.DUMMYFUNCTION("""COMPUTED_VALUE"""),29903.6666666666)</f>
        <v>29903.666666666599</v>
      </c>
      <c r="B481" s="1">
        <f ca="1">IFERROR(__xludf.DUMMYFUNCTION("""COMPUTED_VALUE"""),121.67)</f>
        <v>121.67</v>
      </c>
    </row>
    <row r="482" spans="1:2">
      <c r="A482" s="3">
        <f ca="1">IFERROR(__xludf.DUMMYFUNCTION("""COMPUTED_VALUE"""),29906.6666666666)</f>
        <v>29906.666666666599</v>
      </c>
      <c r="B482" s="1">
        <f ca="1">IFERROR(__xludf.DUMMYFUNCTION("""COMPUTED_VALUE"""),120.24)</f>
        <v>120.24</v>
      </c>
    </row>
    <row r="483" spans="1:2">
      <c r="A483" s="3">
        <f ca="1">IFERROR(__xludf.DUMMYFUNCTION("""COMPUTED_VALUE"""),29907.6666666666)</f>
        <v>29907.666666666599</v>
      </c>
      <c r="B483" s="1">
        <f ca="1">IFERROR(__xludf.DUMMYFUNCTION("""COMPUTED_VALUE"""),121.15)</f>
        <v>121.15</v>
      </c>
    </row>
    <row r="484" spans="1:2">
      <c r="A484" s="3">
        <f ca="1">IFERROR(__xludf.DUMMYFUNCTION("""COMPUTED_VALUE"""),29908.6666666666)</f>
        <v>29908.666666666599</v>
      </c>
      <c r="B484" s="1">
        <f ca="1">IFERROR(__xludf.DUMMYFUNCTION("""COMPUTED_VALUE"""),120.26)</f>
        <v>120.26</v>
      </c>
    </row>
    <row r="485" spans="1:2">
      <c r="A485" s="3">
        <f ca="1">IFERROR(__xludf.DUMMYFUNCTION("""COMPUTED_VALUE"""),29909.6666666666)</f>
        <v>29909.666666666599</v>
      </c>
      <c r="B485" s="1">
        <f ca="1">IFERROR(__xludf.DUMMYFUNCTION("""COMPUTED_VALUE"""),120.71)</f>
        <v>120.71</v>
      </c>
    </row>
    <row r="486" spans="1:2">
      <c r="A486" s="3">
        <f ca="1">IFERROR(__xludf.DUMMYFUNCTION("""COMPUTED_VALUE"""),29910.6666666666)</f>
        <v>29910.666666666599</v>
      </c>
      <c r="B486" s="1">
        <f ca="1">IFERROR(__xludf.DUMMYFUNCTION("""COMPUTED_VALUE"""),121.71)</f>
        <v>121.71</v>
      </c>
    </row>
    <row r="487" spans="1:2">
      <c r="A487" s="3">
        <f ca="1">IFERROR(__xludf.DUMMYFUNCTION("""COMPUTED_VALUE"""),29913.6666666666)</f>
        <v>29913.666666666599</v>
      </c>
      <c r="B487" s="1">
        <f ca="1">IFERROR(__xludf.DUMMYFUNCTION("""COMPUTED_VALUE"""),121.6)</f>
        <v>121.6</v>
      </c>
    </row>
    <row r="488" spans="1:2">
      <c r="A488" s="3">
        <f ca="1">IFERROR(__xludf.DUMMYFUNCTION("""COMPUTED_VALUE"""),29914.6666666666)</f>
        <v>29914.666666666599</v>
      </c>
      <c r="B488" s="1">
        <f ca="1">IFERROR(__xludf.DUMMYFUNCTION("""COMPUTED_VALUE"""),123.51)</f>
        <v>123.51</v>
      </c>
    </row>
    <row r="489" spans="1:2">
      <c r="A489" s="3">
        <f ca="1">IFERROR(__xludf.DUMMYFUNCTION("""COMPUTED_VALUE"""),29915.6666666666)</f>
        <v>29915.666666666599</v>
      </c>
      <c r="B489" s="1">
        <f ca="1">IFERROR(__xludf.DUMMYFUNCTION("""COMPUTED_VALUE"""),124.05)</f>
        <v>124.05</v>
      </c>
    </row>
    <row r="490" spans="1:2">
      <c r="A490" s="3">
        <f ca="1">IFERROR(__xludf.DUMMYFUNCTION("""COMPUTED_VALUE"""),29917.6666666666)</f>
        <v>29917.666666666599</v>
      </c>
      <c r="B490" s="1">
        <f ca="1">IFERROR(__xludf.DUMMYFUNCTION("""COMPUTED_VALUE"""),125.09)</f>
        <v>125.09</v>
      </c>
    </row>
    <row r="491" spans="1:2">
      <c r="A491" s="3">
        <f ca="1">IFERROR(__xludf.DUMMYFUNCTION("""COMPUTED_VALUE"""),29920.6666666666)</f>
        <v>29920.666666666599</v>
      </c>
      <c r="B491" s="1">
        <f ca="1">IFERROR(__xludf.DUMMYFUNCTION("""COMPUTED_VALUE"""),126.35)</f>
        <v>126.35</v>
      </c>
    </row>
    <row r="492" spans="1:2">
      <c r="A492" s="3">
        <f ca="1">IFERROR(__xludf.DUMMYFUNCTION("""COMPUTED_VALUE"""),29921.6666666666)</f>
        <v>29921.666666666599</v>
      </c>
      <c r="B492" s="1">
        <f ca="1">IFERROR(__xludf.DUMMYFUNCTION("""COMPUTED_VALUE"""),126.1)</f>
        <v>126.1</v>
      </c>
    </row>
    <row r="493" spans="1:2">
      <c r="A493" s="3">
        <f ca="1">IFERROR(__xludf.DUMMYFUNCTION("""COMPUTED_VALUE"""),29922.6666666666)</f>
        <v>29922.666666666599</v>
      </c>
      <c r="B493" s="1">
        <f ca="1">IFERROR(__xludf.DUMMYFUNCTION("""COMPUTED_VALUE"""),124.69)</f>
        <v>124.69</v>
      </c>
    </row>
    <row r="494" spans="1:2">
      <c r="A494" s="3">
        <f ca="1">IFERROR(__xludf.DUMMYFUNCTION("""COMPUTED_VALUE"""),29923.6666666666)</f>
        <v>29923.666666666599</v>
      </c>
      <c r="B494" s="1">
        <f ca="1">IFERROR(__xludf.DUMMYFUNCTION("""COMPUTED_VALUE"""),125.12)</f>
        <v>125.12</v>
      </c>
    </row>
    <row r="495" spans="1:2">
      <c r="A495" s="3">
        <f ca="1">IFERROR(__xludf.DUMMYFUNCTION("""COMPUTED_VALUE"""),29924.6666666666)</f>
        <v>29924.666666666599</v>
      </c>
      <c r="B495" s="1">
        <f ca="1">IFERROR(__xludf.DUMMYFUNCTION("""COMPUTED_VALUE"""),126.26)</f>
        <v>126.26</v>
      </c>
    </row>
    <row r="496" spans="1:2">
      <c r="A496" s="3">
        <f ca="1">IFERROR(__xludf.DUMMYFUNCTION("""COMPUTED_VALUE"""),29927.6666666666)</f>
        <v>29927.666666666599</v>
      </c>
      <c r="B496" s="1">
        <f ca="1">IFERROR(__xludf.DUMMYFUNCTION("""COMPUTED_VALUE"""),125.19)</f>
        <v>125.19</v>
      </c>
    </row>
    <row r="497" spans="1:2">
      <c r="A497" s="3">
        <f ca="1">IFERROR(__xludf.DUMMYFUNCTION("""COMPUTED_VALUE"""),29928.6666666666)</f>
        <v>29928.666666666599</v>
      </c>
      <c r="B497" s="1">
        <f ca="1">IFERROR(__xludf.DUMMYFUNCTION("""COMPUTED_VALUE"""),124.82)</f>
        <v>124.82</v>
      </c>
    </row>
    <row r="498" spans="1:2">
      <c r="A498" s="3">
        <f ca="1">IFERROR(__xludf.DUMMYFUNCTION("""COMPUTED_VALUE"""),29929.6666666666)</f>
        <v>29929.666666666599</v>
      </c>
      <c r="B498" s="1">
        <f ca="1">IFERROR(__xludf.DUMMYFUNCTION("""COMPUTED_VALUE"""),125.48)</f>
        <v>125.48</v>
      </c>
    </row>
    <row r="499" spans="1:2">
      <c r="A499" s="3">
        <f ca="1">IFERROR(__xludf.DUMMYFUNCTION("""COMPUTED_VALUE"""),29930.6666666666)</f>
        <v>29930.666666666599</v>
      </c>
      <c r="B499" s="1">
        <f ca="1">IFERROR(__xludf.DUMMYFUNCTION("""COMPUTED_VALUE"""),125.71)</f>
        <v>125.71</v>
      </c>
    </row>
    <row r="500" spans="1:2">
      <c r="A500" s="3">
        <f ca="1">IFERROR(__xludf.DUMMYFUNCTION("""COMPUTED_VALUE"""),29931.6666666666)</f>
        <v>29931.666666666599</v>
      </c>
      <c r="B500" s="1">
        <f ca="1">IFERROR(__xludf.DUMMYFUNCTION("""COMPUTED_VALUE"""),124.93)</f>
        <v>124.93</v>
      </c>
    </row>
    <row r="501" spans="1:2">
      <c r="A501" s="3">
        <f ca="1">IFERROR(__xludf.DUMMYFUNCTION("""COMPUTED_VALUE"""),29934.6666666666)</f>
        <v>29934.666666666599</v>
      </c>
      <c r="B501" s="1">
        <f ca="1">IFERROR(__xludf.DUMMYFUNCTION("""COMPUTED_VALUE"""),122.78)</f>
        <v>122.78</v>
      </c>
    </row>
    <row r="502" spans="1:2">
      <c r="A502" s="3">
        <f ca="1">IFERROR(__xludf.DUMMYFUNCTION("""COMPUTED_VALUE"""),29935.6666666666)</f>
        <v>29935.666666666599</v>
      </c>
      <c r="B502" s="1">
        <f ca="1">IFERROR(__xludf.DUMMYFUNCTION("""COMPUTED_VALUE"""),122.99)</f>
        <v>122.99</v>
      </c>
    </row>
    <row r="503" spans="1:2">
      <c r="A503" s="3">
        <f ca="1">IFERROR(__xludf.DUMMYFUNCTION("""COMPUTED_VALUE"""),29936.6666666666)</f>
        <v>29936.666666666599</v>
      </c>
      <c r="B503" s="1">
        <f ca="1">IFERROR(__xludf.DUMMYFUNCTION("""COMPUTED_VALUE"""),122.42)</f>
        <v>122.42</v>
      </c>
    </row>
    <row r="504" spans="1:2">
      <c r="A504" s="3">
        <f ca="1">IFERROR(__xludf.DUMMYFUNCTION("""COMPUTED_VALUE"""),29937.6666666666)</f>
        <v>29937.666666666599</v>
      </c>
      <c r="B504" s="1">
        <f ca="1">IFERROR(__xludf.DUMMYFUNCTION("""COMPUTED_VALUE"""),123.12)</f>
        <v>123.12</v>
      </c>
    </row>
    <row r="505" spans="1:2">
      <c r="A505" s="3">
        <f ca="1">IFERROR(__xludf.DUMMYFUNCTION("""COMPUTED_VALUE"""),29938.6666666666)</f>
        <v>29938.666666666599</v>
      </c>
      <c r="B505" s="1">
        <f ca="1">IFERROR(__xludf.DUMMYFUNCTION("""COMPUTED_VALUE"""),124)</f>
        <v>124</v>
      </c>
    </row>
    <row r="506" spans="1:2">
      <c r="A506" s="3">
        <f ca="1">IFERROR(__xludf.DUMMYFUNCTION("""COMPUTED_VALUE"""),29941.6666666666)</f>
        <v>29941.666666666599</v>
      </c>
      <c r="B506" s="1">
        <f ca="1">IFERROR(__xludf.DUMMYFUNCTION("""COMPUTED_VALUE"""),123.34)</f>
        <v>123.34</v>
      </c>
    </row>
    <row r="507" spans="1:2">
      <c r="A507" s="3">
        <f ca="1">IFERROR(__xludf.DUMMYFUNCTION("""COMPUTED_VALUE"""),29942.6666666666)</f>
        <v>29942.666666666599</v>
      </c>
      <c r="B507" s="1">
        <f ca="1">IFERROR(__xludf.DUMMYFUNCTION("""COMPUTED_VALUE"""),122.88)</f>
        <v>122.88</v>
      </c>
    </row>
    <row r="508" spans="1:2">
      <c r="A508" s="3">
        <f ca="1">IFERROR(__xludf.DUMMYFUNCTION("""COMPUTED_VALUE"""),29943.6666666666)</f>
        <v>29943.666666666599</v>
      </c>
      <c r="B508" s="1">
        <f ca="1">IFERROR(__xludf.DUMMYFUNCTION("""COMPUTED_VALUE"""),122.31)</f>
        <v>122.31</v>
      </c>
    </row>
    <row r="509" spans="1:2">
      <c r="A509" s="3">
        <f ca="1">IFERROR(__xludf.DUMMYFUNCTION("""COMPUTED_VALUE"""),29944.6666666666)</f>
        <v>29944.666666666599</v>
      </c>
      <c r="B509" s="1">
        <f ca="1">IFERROR(__xludf.DUMMYFUNCTION("""COMPUTED_VALUE"""),122.54)</f>
        <v>122.54</v>
      </c>
    </row>
    <row r="510" spans="1:2">
      <c r="A510" s="3">
        <f ca="1">IFERROR(__xludf.DUMMYFUNCTION("""COMPUTED_VALUE"""),29948.6666666666)</f>
        <v>29948.666666666599</v>
      </c>
      <c r="B510" s="1">
        <f ca="1">IFERROR(__xludf.DUMMYFUNCTION("""COMPUTED_VALUE"""),122.27)</f>
        <v>122.27</v>
      </c>
    </row>
    <row r="511" spans="1:2">
      <c r="A511" s="3">
        <f ca="1">IFERROR(__xludf.DUMMYFUNCTION("""COMPUTED_VALUE"""),29949.6666666666)</f>
        <v>29949.666666666599</v>
      </c>
      <c r="B511" s="1">
        <f ca="1">IFERROR(__xludf.DUMMYFUNCTION("""COMPUTED_VALUE"""),121.67)</f>
        <v>121.67</v>
      </c>
    </row>
    <row r="512" spans="1:2">
      <c r="A512" s="3">
        <f ca="1">IFERROR(__xludf.DUMMYFUNCTION("""COMPUTED_VALUE"""),29950.6666666666)</f>
        <v>29950.666666666599</v>
      </c>
      <c r="B512" s="1">
        <f ca="1">IFERROR(__xludf.DUMMYFUNCTION("""COMPUTED_VALUE"""),122.3)</f>
        <v>122.3</v>
      </c>
    </row>
    <row r="513" spans="1:2">
      <c r="A513" s="3">
        <f ca="1">IFERROR(__xludf.DUMMYFUNCTION("""COMPUTED_VALUE"""),29951.6666666666)</f>
        <v>29951.666666666599</v>
      </c>
      <c r="B513" s="1">
        <f ca="1">IFERROR(__xludf.DUMMYFUNCTION("""COMPUTED_VALUE"""),122.55)</f>
        <v>122.55</v>
      </c>
    </row>
    <row r="514" spans="1:2">
      <c r="A514" s="3">
        <f ca="1">IFERROR(__xludf.DUMMYFUNCTION("""COMPUTED_VALUE"""),29955.6666666666)</f>
        <v>29955.666666666599</v>
      </c>
      <c r="B514" s="1">
        <f ca="1">IFERROR(__xludf.DUMMYFUNCTION("""COMPUTED_VALUE"""),122.74)</f>
        <v>122.74</v>
      </c>
    </row>
    <row r="515" spans="1:2">
      <c r="A515" s="3">
        <f ca="1">IFERROR(__xludf.DUMMYFUNCTION("""COMPUTED_VALUE"""),29956.6666666666)</f>
        <v>29956.666666666599</v>
      </c>
      <c r="B515" s="1">
        <f ca="1">IFERROR(__xludf.DUMMYFUNCTION("""COMPUTED_VALUE"""),120.05)</f>
        <v>120.05</v>
      </c>
    </row>
    <row r="516" spans="1:2">
      <c r="A516" s="3">
        <f ca="1">IFERROR(__xludf.DUMMYFUNCTION("""COMPUTED_VALUE"""),29957.6666666666)</f>
        <v>29957.666666666599</v>
      </c>
      <c r="B516" s="1">
        <f ca="1">IFERROR(__xludf.DUMMYFUNCTION("""COMPUTED_VALUE"""),119.18)</f>
        <v>119.18</v>
      </c>
    </row>
    <row r="517" spans="1:2">
      <c r="A517" s="3">
        <f ca="1">IFERROR(__xludf.DUMMYFUNCTION("""COMPUTED_VALUE"""),29958.6666666666)</f>
        <v>29958.666666666599</v>
      </c>
      <c r="B517" s="1">
        <f ca="1">IFERROR(__xludf.DUMMYFUNCTION("""COMPUTED_VALUE"""),118.93)</f>
        <v>118.93</v>
      </c>
    </row>
    <row r="518" spans="1:2">
      <c r="A518" s="3">
        <f ca="1">IFERROR(__xludf.DUMMYFUNCTION("""COMPUTED_VALUE"""),29959.6666666666)</f>
        <v>29959.666666666599</v>
      </c>
      <c r="B518" s="1">
        <f ca="1">IFERROR(__xludf.DUMMYFUNCTION("""COMPUTED_VALUE"""),119.55)</f>
        <v>119.55</v>
      </c>
    </row>
    <row r="519" spans="1:2">
      <c r="A519" s="3">
        <f ca="1">IFERROR(__xludf.DUMMYFUNCTION("""COMPUTED_VALUE"""),29962.6666666666)</f>
        <v>29962.666666666599</v>
      </c>
      <c r="B519" s="1">
        <f ca="1">IFERROR(__xludf.DUMMYFUNCTION("""COMPUTED_VALUE"""),116.78)</f>
        <v>116.78</v>
      </c>
    </row>
    <row r="520" spans="1:2">
      <c r="A520" s="3">
        <f ca="1">IFERROR(__xludf.DUMMYFUNCTION("""COMPUTED_VALUE"""),29963.6666666666)</f>
        <v>29963.666666666599</v>
      </c>
      <c r="B520" s="1">
        <f ca="1">IFERROR(__xludf.DUMMYFUNCTION("""COMPUTED_VALUE"""),116.3)</f>
        <v>116.3</v>
      </c>
    </row>
    <row r="521" spans="1:2">
      <c r="A521" s="3">
        <f ca="1">IFERROR(__xludf.DUMMYFUNCTION("""COMPUTED_VALUE"""),29964.6666666666)</f>
        <v>29964.666666666599</v>
      </c>
      <c r="B521" s="1">
        <f ca="1">IFERROR(__xludf.DUMMYFUNCTION("""COMPUTED_VALUE"""),114.88)</f>
        <v>114.88</v>
      </c>
    </row>
    <row r="522" spans="1:2">
      <c r="A522" s="3">
        <f ca="1">IFERROR(__xludf.DUMMYFUNCTION("""COMPUTED_VALUE"""),29965.6666666666)</f>
        <v>29965.666666666599</v>
      </c>
      <c r="B522" s="1">
        <f ca="1">IFERROR(__xludf.DUMMYFUNCTION("""COMPUTED_VALUE"""),115.54)</f>
        <v>115.54</v>
      </c>
    </row>
    <row r="523" spans="1:2">
      <c r="A523" s="3">
        <f ca="1">IFERROR(__xludf.DUMMYFUNCTION("""COMPUTED_VALUE"""),29966.6666666666)</f>
        <v>29966.666666666599</v>
      </c>
      <c r="B523" s="1">
        <f ca="1">IFERROR(__xludf.DUMMYFUNCTION("""COMPUTED_VALUE"""),116.33)</f>
        <v>116.33</v>
      </c>
    </row>
    <row r="524" spans="1:2">
      <c r="A524" s="3">
        <f ca="1">IFERROR(__xludf.DUMMYFUNCTION("""COMPUTED_VALUE"""),29969.6666666666)</f>
        <v>29969.666666666599</v>
      </c>
      <c r="B524" s="1">
        <f ca="1">IFERROR(__xludf.DUMMYFUNCTION("""COMPUTED_VALUE"""),117.22)</f>
        <v>117.22</v>
      </c>
    </row>
    <row r="525" spans="1:2">
      <c r="A525" s="3">
        <f ca="1">IFERROR(__xludf.DUMMYFUNCTION("""COMPUTED_VALUE"""),29970.6666666666)</f>
        <v>29970.666666666599</v>
      </c>
      <c r="B525" s="1">
        <f ca="1">IFERROR(__xludf.DUMMYFUNCTION("""COMPUTED_VALUE"""),115.97)</f>
        <v>115.97</v>
      </c>
    </row>
    <row r="526" spans="1:2">
      <c r="A526" s="3">
        <f ca="1">IFERROR(__xludf.DUMMYFUNCTION("""COMPUTED_VALUE"""),29971.6666666666)</f>
        <v>29971.666666666599</v>
      </c>
      <c r="B526" s="1">
        <f ca="1">IFERROR(__xludf.DUMMYFUNCTION("""COMPUTED_VALUE"""),115.27)</f>
        <v>115.27</v>
      </c>
    </row>
    <row r="527" spans="1:2">
      <c r="A527" s="3">
        <f ca="1">IFERROR(__xludf.DUMMYFUNCTION("""COMPUTED_VALUE"""),29972.6666666666)</f>
        <v>29972.666666666599</v>
      </c>
      <c r="B527" s="1">
        <f ca="1">IFERROR(__xludf.DUMMYFUNCTION("""COMPUTED_VALUE"""),115.75)</f>
        <v>115.75</v>
      </c>
    </row>
    <row r="528" spans="1:2">
      <c r="A528" s="3">
        <f ca="1">IFERROR(__xludf.DUMMYFUNCTION("""COMPUTED_VALUE"""),29973.6666666666)</f>
        <v>29973.666666666599</v>
      </c>
      <c r="B528" s="1">
        <f ca="1">IFERROR(__xludf.DUMMYFUNCTION("""COMPUTED_VALUE"""),115.38)</f>
        <v>115.38</v>
      </c>
    </row>
    <row r="529" spans="1:2">
      <c r="A529" s="3">
        <f ca="1">IFERROR(__xludf.DUMMYFUNCTION("""COMPUTED_VALUE"""),29976.6666666666)</f>
        <v>29976.666666666599</v>
      </c>
      <c r="B529" s="1">
        <f ca="1">IFERROR(__xludf.DUMMYFUNCTION("""COMPUTED_VALUE"""),115.41)</f>
        <v>115.41</v>
      </c>
    </row>
    <row r="530" spans="1:2">
      <c r="A530" s="3">
        <f ca="1">IFERROR(__xludf.DUMMYFUNCTION("""COMPUTED_VALUE"""),29977.6666666666)</f>
        <v>29977.666666666599</v>
      </c>
      <c r="B530" s="1">
        <f ca="1">IFERROR(__xludf.DUMMYFUNCTION("""COMPUTED_VALUE"""),115.19)</f>
        <v>115.19</v>
      </c>
    </row>
    <row r="531" spans="1:2">
      <c r="A531" s="3">
        <f ca="1">IFERROR(__xludf.DUMMYFUNCTION("""COMPUTED_VALUE"""),29978.6666666666)</f>
        <v>29978.666666666599</v>
      </c>
      <c r="B531" s="1">
        <f ca="1">IFERROR(__xludf.DUMMYFUNCTION("""COMPUTED_VALUE"""),115.74)</f>
        <v>115.74</v>
      </c>
    </row>
    <row r="532" spans="1:2">
      <c r="A532" s="3">
        <f ca="1">IFERROR(__xludf.DUMMYFUNCTION("""COMPUTED_VALUE"""),29979.6666666666)</f>
        <v>29979.666666666599</v>
      </c>
      <c r="B532" s="1">
        <f ca="1">IFERROR(__xludf.DUMMYFUNCTION("""COMPUTED_VALUE"""),118.92)</f>
        <v>118.92</v>
      </c>
    </row>
    <row r="533" spans="1:2">
      <c r="A533" s="3">
        <f ca="1">IFERROR(__xludf.DUMMYFUNCTION("""COMPUTED_VALUE"""),29980.6666666666)</f>
        <v>29980.666666666599</v>
      </c>
      <c r="B533" s="1">
        <f ca="1">IFERROR(__xludf.DUMMYFUNCTION("""COMPUTED_VALUE"""),120.4)</f>
        <v>120.4</v>
      </c>
    </row>
    <row r="534" spans="1:2">
      <c r="A534" s="3">
        <f ca="1">IFERROR(__xludf.DUMMYFUNCTION("""COMPUTED_VALUE"""),29983.6666666666)</f>
        <v>29983.666666666599</v>
      </c>
      <c r="B534" s="1">
        <f ca="1">IFERROR(__xludf.DUMMYFUNCTION("""COMPUTED_VALUE"""),117.78)</f>
        <v>117.78</v>
      </c>
    </row>
    <row r="535" spans="1:2">
      <c r="A535" s="3">
        <f ca="1">IFERROR(__xludf.DUMMYFUNCTION("""COMPUTED_VALUE"""),29984.6666666666)</f>
        <v>29984.666666666599</v>
      </c>
      <c r="B535" s="1">
        <f ca="1">IFERROR(__xludf.DUMMYFUNCTION("""COMPUTED_VALUE"""),118.01)</f>
        <v>118.01</v>
      </c>
    </row>
    <row r="536" spans="1:2">
      <c r="A536" s="3">
        <f ca="1">IFERROR(__xludf.DUMMYFUNCTION("""COMPUTED_VALUE"""),29985.6666666666)</f>
        <v>29985.666666666599</v>
      </c>
      <c r="B536" s="1">
        <f ca="1">IFERROR(__xludf.DUMMYFUNCTION("""COMPUTED_VALUE"""),116.48)</f>
        <v>116.48</v>
      </c>
    </row>
    <row r="537" spans="1:2">
      <c r="A537" s="3">
        <f ca="1">IFERROR(__xludf.DUMMYFUNCTION("""COMPUTED_VALUE"""),29986.6666666666)</f>
        <v>29986.666666666599</v>
      </c>
      <c r="B537" s="1">
        <f ca="1">IFERROR(__xludf.DUMMYFUNCTION("""COMPUTED_VALUE"""),116.42)</f>
        <v>116.42</v>
      </c>
    </row>
    <row r="538" spans="1:2">
      <c r="A538" s="3">
        <f ca="1">IFERROR(__xludf.DUMMYFUNCTION("""COMPUTED_VALUE"""),29987.6666666666)</f>
        <v>29987.666666666599</v>
      </c>
      <c r="B538" s="1">
        <f ca="1">IFERROR(__xludf.DUMMYFUNCTION("""COMPUTED_VALUE"""),117.26)</f>
        <v>117.26</v>
      </c>
    </row>
    <row r="539" spans="1:2">
      <c r="A539" s="3">
        <f ca="1">IFERROR(__xludf.DUMMYFUNCTION("""COMPUTED_VALUE"""),29990.6666666666)</f>
        <v>29990.666666666599</v>
      </c>
      <c r="B539" s="1">
        <f ca="1">IFERROR(__xludf.DUMMYFUNCTION("""COMPUTED_VALUE"""),114.63)</f>
        <v>114.63</v>
      </c>
    </row>
    <row r="540" spans="1:2">
      <c r="A540" s="3">
        <f ca="1">IFERROR(__xludf.DUMMYFUNCTION("""COMPUTED_VALUE"""),29991.6666666666)</f>
        <v>29991.666666666599</v>
      </c>
      <c r="B540" s="1">
        <f ca="1">IFERROR(__xludf.DUMMYFUNCTION("""COMPUTED_VALUE"""),113.68)</f>
        <v>113.68</v>
      </c>
    </row>
    <row r="541" spans="1:2">
      <c r="A541" s="3">
        <f ca="1">IFERROR(__xludf.DUMMYFUNCTION("""COMPUTED_VALUE"""),29992.6666666666)</f>
        <v>29992.666666666599</v>
      </c>
      <c r="B541" s="1">
        <f ca="1">IFERROR(__xludf.DUMMYFUNCTION("""COMPUTED_VALUE"""),114.66)</f>
        <v>114.66</v>
      </c>
    </row>
    <row r="542" spans="1:2">
      <c r="A542" s="3">
        <f ca="1">IFERROR(__xludf.DUMMYFUNCTION("""COMPUTED_VALUE"""),29993.6666666666)</f>
        <v>29993.666666666599</v>
      </c>
      <c r="B542" s="1">
        <f ca="1">IFERROR(__xludf.DUMMYFUNCTION("""COMPUTED_VALUE"""),114.43)</f>
        <v>114.43</v>
      </c>
    </row>
    <row r="543" spans="1:2">
      <c r="A543" s="3">
        <f ca="1">IFERROR(__xludf.DUMMYFUNCTION("""COMPUTED_VALUE"""),29994.6666666666)</f>
        <v>29994.666666666599</v>
      </c>
      <c r="B543" s="1">
        <f ca="1">IFERROR(__xludf.DUMMYFUNCTION("""COMPUTED_VALUE"""),114.38)</f>
        <v>114.38</v>
      </c>
    </row>
    <row r="544" spans="1:2">
      <c r="A544" s="3">
        <f ca="1">IFERROR(__xludf.DUMMYFUNCTION("""COMPUTED_VALUE"""),29998.6666666666)</f>
        <v>29998.666666666599</v>
      </c>
      <c r="B544" s="1">
        <f ca="1">IFERROR(__xludf.DUMMYFUNCTION("""COMPUTED_VALUE"""),114.06)</f>
        <v>114.06</v>
      </c>
    </row>
    <row r="545" spans="1:2">
      <c r="A545" s="3">
        <f ca="1">IFERROR(__xludf.DUMMYFUNCTION("""COMPUTED_VALUE"""),29999.6666666666)</f>
        <v>29999.666666666599</v>
      </c>
      <c r="B545" s="1">
        <f ca="1">IFERROR(__xludf.DUMMYFUNCTION("""COMPUTED_VALUE"""),113.69)</f>
        <v>113.69</v>
      </c>
    </row>
    <row r="546" spans="1:2">
      <c r="A546" s="3">
        <f ca="1">IFERROR(__xludf.DUMMYFUNCTION("""COMPUTED_VALUE"""),30000.6666666666)</f>
        <v>30000.666666666599</v>
      </c>
      <c r="B546" s="1">
        <f ca="1">IFERROR(__xludf.DUMMYFUNCTION("""COMPUTED_VALUE"""),113.82)</f>
        <v>113.82</v>
      </c>
    </row>
    <row r="547" spans="1:2">
      <c r="A547" s="3">
        <f ca="1">IFERROR(__xludf.DUMMYFUNCTION("""COMPUTED_VALUE"""),30001.6666666666)</f>
        <v>30001.666666666599</v>
      </c>
      <c r="B547" s="1">
        <f ca="1">IFERROR(__xludf.DUMMYFUNCTION("""COMPUTED_VALUE"""),113.22)</f>
        <v>113.22</v>
      </c>
    </row>
    <row r="548" spans="1:2">
      <c r="A548" s="3">
        <f ca="1">IFERROR(__xludf.DUMMYFUNCTION("""COMPUTED_VALUE"""),30004.6666666666)</f>
        <v>30004.666666666599</v>
      </c>
      <c r="B548" s="1">
        <f ca="1">IFERROR(__xludf.DUMMYFUNCTION("""COMPUTED_VALUE"""),111.59)</f>
        <v>111.59</v>
      </c>
    </row>
    <row r="549" spans="1:2">
      <c r="A549" s="3">
        <f ca="1">IFERROR(__xludf.DUMMYFUNCTION("""COMPUTED_VALUE"""),30005.6666666666)</f>
        <v>30005.666666666599</v>
      </c>
      <c r="B549" s="1">
        <f ca="1">IFERROR(__xludf.DUMMYFUNCTION("""COMPUTED_VALUE"""),111.51)</f>
        <v>111.51</v>
      </c>
    </row>
    <row r="550" spans="1:2">
      <c r="A550" s="3">
        <f ca="1">IFERROR(__xludf.DUMMYFUNCTION("""COMPUTED_VALUE"""),30006.6666666666)</f>
        <v>30006.666666666599</v>
      </c>
      <c r="B550" s="1">
        <f ca="1">IFERROR(__xludf.DUMMYFUNCTION("""COMPUTED_VALUE"""),113.47)</f>
        <v>113.47</v>
      </c>
    </row>
    <row r="551" spans="1:2">
      <c r="A551" s="3">
        <f ca="1">IFERROR(__xludf.DUMMYFUNCTION("""COMPUTED_VALUE"""),30007.6666666666)</f>
        <v>30007.666666666599</v>
      </c>
      <c r="B551" s="1">
        <f ca="1">IFERROR(__xludf.DUMMYFUNCTION("""COMPUTED_VALUE"""),113.21)</f>
        <v>113.21</v>
      </c>
    </row>
    <row r="552" spans="1:2">
      <c r="A552" s="3">
        <f ca="1">IFERROR(__xludf.DUMMYFUNCTION("""COMPUTED_VALUE"""),30008.6666666666)</f>
        <v>30008.666666666599</v>
      </c>
      <c r="B552" s="1">
        <f ca="1">IFERROR(__xludf.DUMMYFUNCTION("""COMPUTED_VALUE"""),113.11)</f>
        <v>113.11</v>
      </c>
    </row>
    <row r="553" spans="1:2">
      <c r="A553" s="3">
        <f ca="1">IFERROR(__xludf.DUMMYFUNCTION("""COMPUTED_VALUE"""),30011.6666666666)</f>
        <v>30011.666666666599</v>
      </c>
      <c r="B553" s="1">
        <f ca="1">IFERROR(__xludf.DUMMYFUNCTION("""COMPUTED_VALUE"""),113.31)</f>
        <v>113.31</v>
      </c>
    </row>
    <row r="554" spans="1:2">
      <c r="A554" s="3">
        <f ca="1">IFERROR(__xludf.DUMMYFUNCTION("""COMPUTED_VALUE"""),30012.6666666666)</f>
        <v>30012.666666666599</v>
      </c>
      <c r="B554" s="1">
        <f ca="1">IFERROR(__xludf.DUMMYFUNCTION("""COMPUTED_VALUE"""),112.68)</f>
        <v>112.68</v>
      </c>
    </row>
    <row r="555" spans="1:2">
      <c r="A555" s="3">
        <f ca="1">IFERROR(__xludf.DUMMYFUNCTION("""COMPUTED_VALUE"""),30013.6666666666)</f>
        <v>30013.666666666599</v>
      </c>
      <c r="B555" s="1">
        <f ca="1">IFERROR(__xludf.DUMMYFUNCTION("""COMPUTED_VALUE"""),110.92)</f>
        <v>110.92</v>
      </c>
    </row>
    <row r="556" spans="1:2">
      <c r="A556" s="3">
        <f ca="1">IFERROR(__xludf.DUMMYFUNCTION("""COMPUTED_VALUE"""),30014.6666666666)</f>
        <v>30014.666666666599</v>
      </c>
      <c r="B556" s="1">
        <f ca="1">IFERROR(__xludf.DUMMYFUNCTION("""COMPUTED_VALUE"""),109.88)</f>
        <v>109.88</v>
      </c>
    </row>
    <row r="557" spans="1:2">
      <c r="A557" s="3">
        <f ca="1">IFERROR(__xludf.DUMMYFUNCTION("""COMPUTED_VALUE"""),30015.6666666666)</f>
        <v>30015.666666666599</v>
      </c>
      <c r="B557" s="1">
        <f ca="1">IFERROR(__xludf.DUMMYFUNCTION("""COMPUTED_VALUE"""),109.34)</f>
        <v>109.34</v>
      </c>
    </row>
    <row r="558" spans="1:2">
      <c r="A558" s="3">
        <f ca="1">IFERROR(__xludf.DUMMYFUNCTION("""COMPUTED_VALUE"""),30018.6666666666)</f>
        <v>30018.666666666599</v>
      </c>
      <c r="B558" s="1">
        <f ca="1">IFERROR(__xludf.DUMMYFUNCTION("""COMPUTED_VALUE"""),107.34)</f>
        <v>107.34</v>
      </c>
    </row>
    <row r="559" spans="1:2">
      <c r="A559" s="3">
        <f ca="1">IFERROR(__xludf.DUMMYFUNCTION("""COMPUTED_VALUE"""),30019.6666666666)</f>
        <v>30019.666666666599</v>
      </c>
      <c r="B559" s="1">
        <f ca="1">IFERROR(__xludf.DUMMYFUNCTION("""COMPUTED_VALUE"""),108.83)</f>
        <v>108.83</v>
      </c>
    </row>
    <row r="560" spans="1:2">
      <c r="A560" s="3">
        <f ca="1">IFERROR(__xludf.DUMMYFUNCTION("""COMPUTED_VALUE"""),30020.6666666666)</f>
        <v>30020.666666666599</v>
      </c>
      <c r="B560" s="1">
        <f ca="1">IFERROR(__xludf.DUMMYFUNCTION("""COMPUTED_VALUE"""),109.41)</f>
        <v>109.41</v>
      </c>
    </row>
    <row r="561" spans="1:2">
      <c r="A561" s="3">
        <f ca="1">IFERROR(__xludf.DUMMYFUNCTION("""COMPUTED_VALUE"""),30021.6666666666)</f>
        <v>30021.666666666599</v>
      </c>
      <c r="B561" s="1">
        <f ca="1">IFERROR(__xludf.DUMMYFUNCTION("""COMPUTED_VALUE"""),109.36)</f>
        <v>109.36</v>
      </c>
    </row>
    <row r="562" spans="1:2">
      <c r="A562" s="3">
        <f ca="1">IFERROR(__xludf.DUMMYFUNCTION("""COMPUTED_VALUE"""),30022.6666666666)</f>
        <v>30022.666666666599</v>
      </c>
      <c r="B562" s="1">
        <f ca="1">IFERROR(__xludf.DUMMYFUNCTION("""COMPUTED_VALUE"""),108.61)</f>
        <v>108.61</v>
      </c>
    </row>
    <row r="563" spans="1:2">
      <c r="A563" s="3">
        <f ca="1">IFERROR(__xludf.DUMMYFUNCTION("""COMPUTED_VALUE"""),30025.6666666666)</f>
        <v>30025.666666666599</v>
      </c>
      <c r="B563" s="1">
        <f ca="1">IFERROR(__xludf.DUMMYFUNCTION("""COMPUTED_VALUE"""),109.45)</f>
        <v>109.45</v>
      </c>
    </row>
    <row r="564" spans="1:2">
      <c r="A564" s="3">
        <f ca="1">IFERROR(__xludf.DUMMYFUNCTION("""COMPUTED_VALUE"""),30026.6666666666)</f>
        <v>30026.666666666599</v>
      </c>
      <c r="B564" s="1">
        <f ca="1">IFERROR(__xludf.DUMMYFUNCTION("""COMPUTED_VALUE"""),109.28)</f>
        <v>109.28</v>
      </c>
    </row>
    <row r="565" spans="1:2">
      <c r="A565" s="3">
        <f ca="1">IFERROR(__xludf.DUMMYFUNCTION("""COMPUTED_VALUE"""),30027.6666666666)</f>
        <v>30027.666666666599</v>
      </c>
      <c r="B565" s="1">
        <f ca="1">IFERROR(__xludf.DUMMYFUNCTION("""COMPUTED_VALUE"""),109.08)</f>
        <v>109.08</v>
      </c>
    </row>
    <row r="566" spans="1:2">
      <c r="A566" s="3">
        <f ca="1">IFERROR(__xludf.DUMMYFUNCTION("""COMPUTED_VALUE"""),30028.6666666666)</f>
        <v>30028.666666666599</v>
      </c>
      <c r="B566" s="1">
        <f ca="1">IFERROR(__xludf.DUMMYFUNCTION("""COMPUTED_VALUE"""),110.3)</f>
        <v>110.3</v>
      </c>
    </row>
    <row r="567" spans="1:2">
      <c r="A567" s="3">
        <f ca="1">IFERROR(__xludf.DUMMYFUNCTION("""COMPUTED_VALUE"""),30029.6666666666)</f>
        <v>30029.666666666599</v>
      </c>
      <c r="B567" s="1">
        <f ca="1">IFERROR(__xludf.DUMMYFUNCTION("""COMPUTED_VALUE"""),110.61)</f>
        <v>110.61</v>
      </c>
    </row>
    <row r="568" spans="1:2">
      <c r="A568" s="3">
        <f ca="1">IFERROR(__xludf.DUMMYFUNCTION("""COMPUTED_VALUE"""),30032.6666666666)</f>
        <v>30032.666666666599</v>
      </c>
      <c r="B568" s="1">
        <f ca="1">IFERROR(__xludf.DUMMYFUNCTION("""COMPUTED_VALUE"""),112.77)</f>
        <v>112.77</v>
      </c>
    </row>
    <row r="569" spans="1:2">
      <c r="A569" s="3">
        <f ca="1">IFERROR(__xludf.DUMMYFUNCTION("""COMPUTED_VALUE"""),30033.6666666666)</f>
        <v>30033.666666666599</v>
      </c>
      <c r="B569" s="1">
        <f ca="1">IFERROR(__xludf.DUMMYFUNCTION("""COMPUTED_VALUE"""),113.55)</f>
        <v>113.55</v>
      </c>
    </row>
    <row r="570" spans="1:2">
      <c r="A570" s="3">
        <f ca="1">IFERROR(__xludf.DUMMYFUNCTION("""COMPUTED_VALUE"""),30034.6666666666)</f>
        <v>30034.666666666599</v>
      </c>
      <c r="B570" s="1">
        <f ca="1">IFERROR(__xludf.DUMMYFUNCTION("""COMPUTED_VALUE"""),112.97)</f>
        <v>112.97</v>
      </c>
    </row>
    <row r="571" spans="1:2">
      <c r="A571" s="3">
        <f ca="1">IFERROR(__xludf.DUMMYFUNCTION("""COMPUTED_VALUE"""),30035.6666666666)</f>
        <v>30035.666666666599</v>
      </c>
      <c r="B571" s="1">
        <f ca="1">IFERROR(__xludf.DUMMYFUNCTION("""COMPUTED_VALUE"""),113.21)</f>
        <v>113.21</v>
      </c>
    </row>
    <row r="572" spans="1:2">
      <c r="A572" s="3">
        <f ca="1">IFERROR(__xludf.DUMMYFUNCTION("""COMPUTED_VALUE"""),30036.6666666666)</f>
        <v>30036.666666666599</v>
      </c>
      <c r="B572" s="1">
        <f ca="1">IFERROR(__xludf.DUMMYFUNCTION("""COMPUTED_VALUE"""),111.94)</f>
        <v>111.94</v>
      </c>
    </row>
    <row r="573" spans="1:2">
      <c r="A573" s="3">
        <f ca="1">IFERROR(__xludf.DUMMYFUNCTION("""COMPUTED_VALUE"""),30039.6666666666)</f>
        <v>30039.666666666599</v>
      </c>
      <c r="B573" s="1">
        <f ca="1">IFERROR(__xludf.DUMMYFUNCTION("""COMPUTED_VALUE"""),112.3)</f>
        <v>112.3</v>
      </c>
    </row>
    <row r="574" spans="1:2">
      <c r="A574" s="3">
        <f ca="1">IFERROR(__xludf.DUMMYFUNCTION("""COMPUTED_VALUE"""),30040.6666666666)</f>
        <v>30040.666666666599</v>
      </c>
      <c r="B574" s="1">
        <f ca="1">IFERROR(__xludf.DUMMYFUNCTION("""COMPUTED_VALUE"""),112.27)</f>
        <v>112.27</v>
      </c>
    </row>
    <row r="575" spans="1:2">
      <c r="A575" s="3">
        <f ca="1">IFERROR(__xludf.DUMMYFUNCTION("""COMPUTED_VALUE"""),30041.6666666666)</f>
        <v>30041.666666666599</v>
      </c>
      <c r="B575" s="1">
        <f ca="1">IFERROR(__xludf.DUMMYFUNCTION("""COMPUTED_VALUE"""),111.96)</f>
        <v>111.96</v>
      </c>
    </row>
    <row r="576" spans="1:2">
      <c r="A576" s="3">
        <f ca="1">IFERROR(__xludf.DUMMYFUNCTION("""COMPUTED_VALUE"""),30042.6666666666)</f>
        <v>30042.666666666599</v>
      </c>
      <c r="B576" s="1">
        <f ca="1">IFERROR(__xludf.DUMMYFUNCTION("""COMPUTED_VALUE"""),113.79)</f>
        <v>113.79</v>
      </c>
    </row>
    <row r="577" spans="1:2">
      <c r="A577" s="3">
        <f ca="1">IFERROR(__xludf.DUMMYFUNCTION("""COMPUTED_VALUE"""),30043.6666666666)</f>
        <v>30043.666666666599</v>
      </c>
      <c r="B577" s="1">
        <f ca="1">IFERROR(__xludf.DUMMYFUNCTION("""COMPUTED_VALUE"""),115.12)</f>
        <v>115.12</v>
      </c>
    </row>
    <row r="578" spans="1:2">
      <c r="A578" s="3">
        <f ca="1">IFERROR(__xludf.DUMMYFUNCTION("""COMPUTED_VALUE"""),30046.6666666666)</f>
        <v>30046.666666666599</v>
      </c>
      <c r="B578" s="1">
        <f ca="1">IFERROR(__xludf.DUMMYFUNCTION("""COMPUTED_VALUE"""),114.73)</f>
        <v>114.73</v>
      </c>
    </row>
    <row r="579" spans="1:2">
      <c r="A579" s="3">
        <f ca="1">IFERROR(__xludf.DUMMYFUNCTION("""COMPUTED_VALUE"""),30047.6666666666)</f>
        <v>30047.666666666599</v>
      </c>
      <c r="B579" s="1">
        <f ca="1">IFERROR(__xludf.DUMMYFUNCTION("""COMPUTED_VALUE"""),115.36)</f>
        <v>115.36</v>
      </c>
    </row>
    <row r="580" spans="1:2">
      <c r="A580" s="3">
        <f ca="1">IFERROR(__xludf.DUMMYFUNCTION("""COMPUTED_VALUE"""),30048.6666666666)</f>
        <v>30048.666666666599</v>
      </c>
      <c r="B580" s="1">
        <f ca="1">IFERROR(__xludf.DUMMYFUNCTION("""COMPUTED_VALUE"""),115.46)</f>
        <v>115.46</v>
      </c>
    </row>
    <row r="581" spans="1:2">
      <c r="A581" s="3">
        <f ca="1">IFERROR(__xludf.DUMMYFUNCTION("""COMPUTED_VALUE"""),30049.6666666666)</f>
        <v>30049.666666666599</v>
      </c>
      <c r="B581" s="1">
        <f ca="1">IFERROR(__xludf.DUMMYFUNCTION("""COMPUTED_VALUE"""),116.22)</f>
        <v>116.22</v>
      </c>
    </row>
    <row r="582" spans="1:2">
      <c r="A582" s="3">
        <f ca="1">IFERROR(__xludf.DUMMYFUNCTION("""COMPUTED_VALUE"""),30053.6666666666)</f>
        <v>30053.666666666599</v>
      </c>
      <c r="B582" s="1">
        <f ca="1">IFERROR(__xludf.DUMMYFUNCTION("""COMPUTED_VALUE"""),116)</f>
        <v>116</v>
      </c>
    </row>
    <row r="583" spans="1:2">
      <c r="A583" s="3">
        <f ca="1">IFERROR(__xludf.DUMMYFUNCTION("""COMPUTED_VALUE"""),30054.6666666666)</f>
        <v>30054.666666666599</v>
      </c>
      <c r="B583" s="1">
        <f ca="1">IFERROR(__xludf.DUMMYFUNCTION("""COMPUTED_VALUE"""),115.99)</f>
        <v>115.99</v>
      </c>
    </row>
    <row r="584" spans="1:2">
      <c r="A584" s="3">
        <f ca="1">IFERROR(__xludf.DUMMYFUNCTION("""COMPUTED_VALUE"""),30055.6666666666)</f>
        <v>30055.666666666599</v>
      </c>
      <c r="B584" s="1">
        <f ca="1">IFERROR(__xludf.DUMMYFUNCTION("""COMPUTED_VALUE"""),115.83)</f>
        <v>115.83</v>
      </c>
    </row>
    <row r="585" spans="1:2">
      <c r="A585" s="3">
        <f ca="1">IFERROR(__xludf.DUMMYFUNCTION("""COMPUTED_VALUE"""),30056.6666666666)</f>
        <v>30056.666666666599</v>
      </c>
      <c r="B585" s="1">
        <f ca="1">IFERROR(__xludf.DUMMYFUNCTION("""COMPUTED_VALUE"""),116.35)</f>
        <v>116.35</v>
      </c>
    </row>
    <row r="586" spans="1:2">
      <c r="A586" s="3">
        <f ca="1">IFERROR(__xludf.DUMMYFUNCTION("""COMPUTED_VALUE"""),30057.6666666666)</f>
        <v>30057.666666666599</v>
      </c>
      <c r="B586" s="1">
        <f ca="1">IFERROR(__xludf.DUMMYFUNCTION("""COMPUTED_VALUE"""),116.81)</f>
        <v>116.81</v>
      </c>
    </row>
    <row r="587" spans="1:2">
      <c r="A587" s="3">
        <f ca="1">IFERROR(__xludf.DUMMYFUNCTION("""COMPUTED_VALUE"""),30060.6666666666)</f>
        <v>30060.666666666599</v>
      </c>
      <c r="B587" s="1">
        <f ca="1">IFERROR(__xludf.DUMMYFUNCTION("""COMPUTED_VALUE"""),116.7)</f>
        <v>116.7</v>
      </c>
    </row>
    <row r="588" spans="1:2">
      <c r="A588" s="3">
        <f ca="1">IFERROR(__xludf.DUMMYFUNCTION("""COMPUTED_VALUE"""),30061.6666666666)</f>
        <v>30061.666666666599</v>
      </c>
      <c r="B588" s="1">
        <f ca="1">IFERROR(__xludf.DUMMYFUNCTION("""COMPUTED_VALUE"""),115.44)</f>
        <v>115.44</v>
      </c>
    </row>
    <row r="589" spans="1:2">
      <c r="A589" s="3">
        <f ca="1">IFERROR(__xludf.DUMMYFUNCTION("""COMPUTED_VALUE"""),30062.6666666666)</f>
        <v>30062.666666666599</v>
      </c>
      <c r="B589" s="1">
        <f ca="1">IFERROR(__xludf.DUMMYFUNCTION("""COMPUTED_VALUE"""),115.72)</f>
        <v>115.72</v>
      </c>
    </row>
    <row r="590" spans="1:2">
      <c r="A590" s="3">
        <f ca="1">IFERROR(__xludf.DUMMYFUNCTION("""COMPUTED_VALUE"""),30063.6666666666)</f>
        <v>30063.666666666599</v>
      </c>
      <c r="B590" s="1">
        <f ca="1">IFERROR(__xludf.DUMMYFUNCTION("""COMPUTED_VALUE"""),117.19)</f>
        <v>117.19</v>
      </c>
    </row>
    <row r="591" spans="1:2">
      <c r="A591" s="3">
        <f ca="1">IFERROR(__xludf.DUMMYFUNCTION("""COMPUTED_VALUE"""),30064.6666666666)</f>
        <v>30064.666666666599</v>
      </c>
      <c r="B591" s="1">
        <f ca="1">IFERROR(__xludf.DUMMYFUNCTION("""COMPUTED_VALUE"""),118.64)</f>
        <v>118.64</v>
      </c>
    </row>
    <row r="592" spans="1:2">
      <c r="A592" s="3">
        <f ca="1">IFERROR(__xludf.DUMMYFUNCTION("""COMPUTED_VALUE"""),30067.6666666666)</f>
        <v>30067.666666666599</v>
      </c>
      <c r="B592" s="1">
        <f ca="1">IFERROR(__xludf.DUMMYFUNCTION("""COMPUTED_VALUE"""),119.26)</f>
        <v>119.26</v>
      </c>
    </row>
    <row r="593" spans="1:2">
      <c r="A593" s="3">
        <f ca="1">IFERROR(__xludf.DUMMYFUNCTION("""COMPUTED_VALUE"""),30068.6666666666)</f>
        <v>30068.666666666599</v>
      </c>
      <c r="B593" s="1">
        <f ca="1">IFERROR(__xludf.DUMMYFUNCTION("""COMPUTED_VALUE"""),118)</f>
        <v>118</v>
      </c>
    </row>
    <row r="594" spans="1:2">
      <c r="A594" s="3">
        <f ca="1">IFERROR(__xludf.DUMMYFUNCTION("""COMPUTED_VALUE"""),30069.6666666666)</f>
        <v>30069.666666666599</v>
      </c>
      <c r="B594" s="1">
        <f ca="1">IFERROR(__xludf.DUMMYFUNCTION("""COMPUTED_VALUE"""),117.26)</f>
        <v>117.26</v>
      </c>
    </row>
    <row r="595" spans="1:2">
      <c r="A595" s="3">
        <f ca="1">IFERROR(__xludf.DUMMYFUNCTION("""COMPUTED_VALUE"""),30070.6666666666)</f>
        <v>30070.666666666599</v>
      </c>
      <c r="B595" s="1">
        <f ca="1">IFERROR(__xludf.DUMMYFUNCTION("""COMPUTED_VALUE"""),116.14)</f>
        <v>116.14</v>
      </c>
    </row>
    <row r="596" spans="1:2">
      <c r="A596" s="3">
        <f ca="1">IFERROR(__xludf.DUMMYFUNCTION("""COMPUTED_VALUE"""),30071.6666666666)</f>
        <v>30071.666666666599</v>
      </c>
      <c r="B596" s="1">
        <f ca="1">IFERROR(__xludf.DUMMYFUNCTION("""COMPUTED_VALUE"""),116.44)</f>
        <v>116.44</v>
      </c>
    </row>
    <row r="597" spans="1:2">
      <c r="A597" s="3">
        <f ca="1">IFERROR(__xludf.DUMMYFUNCTION("""COMPUTED_VALUE"""),30074.6666666666)</f>
        <v>30074.666666666599</v>
      </c>
      <c r="B597" s="1">
        <f ca="1">IFERROR(__xludf.DUMMYFUNCTION("""COMPUTED_VALUE"""),116.82)</f>
        <v>116.82</v>
      </c>
    </row>
    <row r="598" spans="1:2">
      <c r="A598" s="3">
        <f ca="1">IFERROR(__xludf.DUMMYFUNCTION("""COMPUTED_VALUE"""),30075.6666666666)</f>
        <v>30075.666666666599</v>
      </c>
      <c r="B598" s="1">
        <f ca="1">IFERROR(__xludf.DUMMYFUNCTION("""COMPUTED_VALUE"""),117.46)</f>
        <v>117.46</v>
      </c>
    </row>
    <row r="599" spans="1:2">
      <c r="A599" s="3">
        <f ca="1">IFERROR(__xludf.DUMMYFUNCTION("""COMPUTED_VALUE"""),30076.6666666666)</f>
        <v>30076.666666666599</v>
      </c>
      <c r="B599" s="1">
        <f ca="1">IFERROR(__xludf.DUMMYFUNCTION("""COMPUTED_VALUE"""),117.67)</f>
        <v>117.67</v>
      </c>
    </row>
    <row r="600" spans="1:2">
      <c r="A600" s="3">
        <f ca="1">IFERROR(__xludf.DUMMYFUNCTION("""COMPUTED_VALUE"""),30077.6666666666)</f>
        <v>30077.666666666599</v>
      </c>
      <c r="B600" s="1">
        <f ca="1">IFERROR(__xludf.DUMMYFUNCTION("""COMPUTED_VALUE"""),118.68)</f>
        <v>118.68</v>
      </c>
    </row>
    <row r="601" spans="1:2">
      <c r="A601" s="3">
        <f ca="1">IFERROR(__xludf.DUMMYFUNCTION("""COMPUTED_VALUE"""),30078.6666666666)</f>
        <v>30078.666666666599</v>
      </c>
      <c r="B601" s="1">
        <f ca="1">IFERROR(__xludf.DUMMYFUNCTION("""COMPUTED_VALUE"""),119.47)</f>
        <v>119.47</v>
      </c>
    </row>
    <row r="602" spans="1:2">
      <c r="A602" s="3">
        <f ca="1">IFERROR(__xludf.DUMMYFUNCTION("""COMPUTED_VALUE"""),30081.6666666666)</f>
        <v>30081.666666666599</v>
      </c>
      <c r="B602" s="1">
        <f ca="1">IFERROR(__xludf.DUMMYFUNCTION("""COMPUTED_VALUE"""),118.38)</f>
        <v>118.38</v>
      </c>
    </row>
    <row r="603" spans="1:2">
      <c r="A603" s="3">
        <f ca="1">IFERROR(__xludf.DUMMYFUNCTION("""COMPUTED_VALUE"""),30082.6666666666)</f>
        <v>30082.666666666599</v>
      </c>
      <c r="B603" s="1">
        <f ca="1">IFERROR(__xludf.DUMMYFUNCTION("""COMPUTED_VALUE"""),119.42)</f>
        <v>119.42</v>
      </c>
    </row>
    <row r="604" spans="1:2">
      <c r="A604" s="3">
        <f ca="1">IFERROR(__xludf.DUMMYFUNCTION("""COMPUTED_VALUE"""),30083.6666666666)</f>
        <v>30083.666666666599</v>
      </c>
      <c r="B604" s="1">
        <f ca="1">IFERROR(__xludf.DUMMYFUNCTION("""COMPUTED_VALUE"""),119.17)</f>
        <v>119.17</v>
      </c>
    </row>
    <row r="605" spans="1:2">
      <c r="A605" s="3">
        <f ca="1">IFERROR(__xludf.DUMMYFUNCTION("""COMPUTED_VALUE"""),30084.6666666666)</f>
        <v>30084.666666666599</v>
      </c>
      <c r="B605" s="1">
        <f ca="1">IFERROR(__xludf.DUMMYFUNCTION("""COMPUTED_VALUE"""),118.22)</f>
        <v>118.22</v>
      </c>
    </row>
    <row r="606" spans="1:2">
      <c r="A606" s="3">
        <f ca="1">IFERROR(__xludf.DUMMYFUNCTION("""COMPUTED_VALUE"""),30085.6666666666)</f>
        <v>30085.666666666599</v>
      </c>
      <c r="B606" s="1">
        <f ca="1">IFERROR(__xludf.DUMMYFUNCTION("""COMPUTED_VALUE"""),118.01)</f>
        <v>118.01</v>
      </c>
    </row>
    <row r="607" spans="1:2">
      <c r="A607" s="3">
        <f ca="1">IFERROR(__xludf.DUMMYFUNCTION("""COMPUTED_VALUE"""),30088.6666666666)</f>
        <v>30088.666666666599</v>
      </c>
      <c r="B607" s="1">
        <f ca="1">IFERROR(__xludf.DUMMYFUNCTION("""COMPUTED_VALUE"""),116.71)</f>
        <v>116.71</v>
      </c>
    </row>
    <row r="608" spans="1:2">
      <c r="A608" s="3">
        <f ca="1">IFERROR(__xludf.DUMMYFUNCTION("""COMPUTED_VALUE"""),30089.6666666666)</f>
        <v>30089.666666666599</v>
      </c>
      <c r="B608" s="1">
        <f ca="1">IFERROR(__xludf.DUMMYFUNCTION("""COMPUTED_VALUE"""),115.84)</f>
        <v>115.84</v>
      </c>
    </row>
    <row r="609" spans="1:2">
      <c r="A609" s="3">
        <f ca="1">IFERROR(__xludf.DUMMYFUNCTION("""COMPUTED_VALUE"""),30090.6666666666)</f>
        <v>30090.666666666599</v>
      </c>
      <c r="B609" s="1">
        <f ca="1">IFERROR(__xludf.DUMMYFUNCTION("""COMPUTED_VALUE"""),114.89)</f>
        <v>114.89</v>
      </c>
    </row>
    <row r="610" spans="1:2">
      <c r="A610" s="3">
        <f ca="1">IFERROR(__xludf.DUMMYFUNCTION("""COMPUTED_VALUE"""),30091.6666666666)</f>
        <v>30091.666666666599</v>
      </c>
      <c r="B610" s="1">
        <f ca="1">IFERROR(__xludf.DUMMYFUNCTION("""COMPUTED_VALUE"""),114.59)</f>
        <v>114.59</v>
      </c>
    </row>
    <row r="611" spans="1:2">
      <c r="A611" s="3">
        <f ca="1">IFERROR(__xludf.DUMMYFUNCTION("""COMPUTED_VALUE"""),30092.6666666666)</f>
        <v>30092.666666666599</v>
      </c>
      <c r="B611" s="1">
        <f ca="1">IFERROR(__xludf.DUMMYFUNCTION("""COMPUTED_VALUE"""),114.89)</f>
        <v>114.89</v>
      </c>
    </row>
    <row r="612" spans="1:2">
      <c r="A612" s="3">
        <f ca="1">IFERROR(__xludf.DUMMYFUNCTION("""COMPUTED_VALUE"""),30095.6666666666)</f>
        <v>30095.666666666599</v>
      </c>
      <c r="B612" s="1">
        <f ca="1">IFERROR(__xludf.DUMMYFUNCTION("""COMPUTED_VALUE"""),114.79)</f>
        <v>114.79</v>
      </c>
    </row>
    <row r="613" spans="1:2">
      <c r="A613" s="3">
        <f ca="1">IFERROR(__xludf.DUMMYFUNCTION("""COMPUTED_VALUE"""),30096.6666666666)</f>
        <v>30096.666666666599</v>
      </c>
      <c r="B613" s="1">
        <f ca="1">IFERROR(__xludf.DUMMYFUNCTION("""COMPUTED_VALUE"""),114.4)</f>
        <v>114.4</v>
      </c>
    </row>
    <row r="614" spans="1:2">
      <c r="A614" s="3">
        <f ca="1">IFERROR(__xludf.DUMMYFUNCTION("""COMPUTED_VALUE"""),30097.6666666666)</f>
        <v>30097.666666666599</v>
      </c>
      <c r="B614" s="1">
        <f ca="1">IFERROR(__xludf.DUMMYFUNCTION("""COMPUTED_VALUE"""),113.11)</f>
        <v>113.11</v>
      </c>
    </row>
    <row r="615" spans="1:2">
      <c r="A615" s="3">
        <f ca="1">IFERROR(__xludf.DUMMYFUNCTION("""COMPUTED_VALUE"""),30098.6666666666)</f>
        <v>30098.666666666599</v>
      </c>
      <c r="B615" s="1">
        <f ca="1">IFERROR(__xludf.DUMMYFUNCTION("""COMPUTED_VALUE"""),112.66)</f>
        <v>112.66</v>
      </c>
    </row>
    <row r="616" spans="1:2">
      <c r="A616" s="3">
        <f ca="1">IFERROR(__xludf.DUMMYFUNCTION("""COMPUTED_VALUE"""),30099.6666666666)</f>
        <v>30099.666666666599</v>
      </c>
      <c r="B616" s="1">
        <f ca="1">IFERROR(__xludf.DUMMYFUNCTION("""COMPUTED_VALUE"""),111.88)</f>
        <v>111.88</v>
      </c>
    </row>
    <row r="617" spans="1:2">
      <c r="A617" s="3">
        <f ca="1">IFERROR(__xludf.DUMMYFUNCTION("""COMPUTED_VALUE"""),30103.6666666666)</f>
        <v>30103.666666666599</v>
      </c>
      <c r="B617" s="1">
        <f ca="1">IFERROR(__xludf.DUMMYFUNCTION("""COMPUTED_VALUE"""),111.68)</f>
        <v>111.68</v>
      </c>
    </row>
    <row r="618" spans="1:2">
      <c r="A618" s="3">
        <f ca="1">IFERROR(__xludf.DUMMYFUNCTION("""COMPUTED_VALUE"""),30104.6666666666)</f>
        <v>30104.666666666599</v>
      </c>
      <c r="B618" s="1">
        <f ca="1">IFERROR(__xludf.DUMMYFUNCTION("""COMPUTED_VALUE"""),112.04)</f>
        <v>112.04</v>
      </c>
    </row>
    <row r="619" spans="1:2">
      <c r="A619" s="3">
        <f ca="1">IFERROR(__xludf.DUMMYFUNCTION("""COMPUTED_VALUE"""),30105.6666666666)</f>
        <v>30105.666666666599</v>
      </c>
      <c r="B619" s="1">
        <f ca="1">IFERROR(__xludf.DUMMYFUNCTION("""COMPUTED_VALUE"""),111.86)</f>
        <v>111.86</v>
      </c>
    </row>
    <row r="620" spans="1:2">
      <c r="A620" s="3">
        <f ca="1">IFERROR(__xludf.DUMMYFUNCTION("""COMPUTED_VALUE"""),30106.6666666666)</f>
        <v>30106.666666666599</v>
      </c>
      <c r="B620" s="1">
        <f ca="1">IFERROR(__xludf.DUMMYFUNCTION("""COMPUTED_VALUE"""),110.09)</f>
        <v>110.09</v>
      </c>
    </row>
    <row r="621" spans="1:2">
      <c r="A621" s="3">
        <f ca="1">IFERROR(__xludf.DUMMYFUNCTION("""COMPUTED_VALUE"""),30109.6666666666)</f>
        <v>30109.666666666599</v>
      </c>
      <c r="B621" s="1">
        <f ca="1">IFERROR(__xludf.DUMMYFUNCTION("""COMPUTED_VALUE"""),110.12)</f>
        <v>110.12</v>
      </c>
    </row>
    <row r="622" spans="1:2">
      <c r="A622" s="3">
        <f ca="1">IFERROR(__xludf.DUMMYFUNCTION("""COMPUTED_VALUE"""),30110.6666666666)</f>
        <v>30110.666666666599</v>
      </c>
      <c r="B622" s="1">
        <f ca="1">IFERROR(__xludf.DUMMYFUNCTION("""COMPUTED_VALUE"""),109.63)</f>
        <v>109.63</v>
      </c>
    </row>
    <row r="623" spans="1:2">
      <c r="A623" s="3">
        <f ca="1">IFERROR(__xludf.DUMMYFUNCTION("""COMPUTED_VALUE"""),30111.6666666666)</f>
        <v>30111.666666666599</v>
      </c>
      <c r="B623" s="1">
        <f ca="1">IFERROR(__xludf.DUMMYFUNCTION("""COMPUTED_VALUE"""),108.99)</f>
        <v>108.99</v>
      </c>
    </row>
    <row r="624" spans="1:2">
      <c r="A624" s="3">
        <f ca="1">IFERROR(__xludf.DUMMYFUNCTION("""COMPUTED_VALUE"""),30112.6666666666)</f>
        <v>30112.666666666599</v>
      </c>
      <c r="B624" s="1">
        <f ca="1">IFERROR(__xludf.DUMMYFUNCTION("""COMPUTED_VALUE"""),109.61)</f>
        <v>109.61</v>
      </c>
    </row>
    <row r="625" spans="1:2">
      <c r="A625" s="3">
        <f ca="1">IFERROR(__xludf.DUMMYFUNCTION("""COMPUTED_VALUE"""),30113.6666666666)</f>
        <v>30113.666666666599</v>
      </c>
      <c r="B625" s="1">
        <f ca="1">IFERROR(__xludf.DUMMYFUNCTION("""COMPUTED_VALUE"""),111.24)</f>
        <v>111.24</v>
      </c>
    </row>
    <row r="626" spans="1:2">
      <c r="A626" s="3">
        <f ca="1">IFERROR(__xludf.DUMMYFUNCTION("""COMPUTED_VALUE"""),30116.6666666666)</f>
        <v>30116.666666666599</v>
      </c>
      <c r="B626" s="1">
        <f ca="1">IFERROR(__xludf.DUMMYFUNCTION("""COMPUTED_VALUE"""),109.96)</f>
        <v>109.96</v>
      </c>
    </row>
    <row r="627" spans="1:2">
      <c r="A627" s="3">
        <f ca="1">IFERROR(__xludf.DUMMYFUNCTION("""COMPUTED_VALUE"""),30117.6666666666)</f>
        <v>30117.666666666599</v>
      </c>
      <c r="B627" s="1">
        <f ca="1">IFERROR(__xludf.DUMMYFUNCTION("""COMPUTED_VALUE"""),109.69)</f>
        <v>109.69</v>
      </c>
    </row>
    <row r="628" spans="1:2">
      <c r="A628" s="3">
        <f ca="1">IFERROR(__xludf.DUMMYFUNCTION("""COMPUTED_VALUE"""),30118.6666666666)</f>
        <v>30118.666666666599</v>
      </c>
      <c r="B628" s="1">
        <f ca="1">IFERROR(__xludf.DUMMYFUNCTION("""COMPUTED_VALUE"""),108.87)</f>
        <v>108.87</v>
      </c>
    </row>
    <row r="629" spans="1:2">
      <c r="A629" s="3">
        <f ca="1">IFERROR(__xludf.DUMMYFUNCTION("""COMPUTED_VALUE"""),30119.6666666666)</f>
        <v>30119.666666666599</v>
      </c>
      <c r="B629" s="1">
        <f ca="1">IFERROR(__xludf.DUMMYFUNCTION("""COMPUTED_VALUE"""),107.6)</f>
        <v>107.6</v>
      </c>
    </row>
    <row r="630" spans="1:2">
      <c r="A630" s="3">
        <f ca="1">IFERROR(__xludf.DUMMYFUNCTION("""COMPUTED_VALUE"""),30120.6666666666)</f>
        <v>30120.666666666599</v>
      </c>
      <c r="B630" s="1">
        <f ca="1">IFERROR(__xludf.DUMMYFUNCTION("""COMPUTED_VALUE"""),107.28)</f>
        <v>107.28</v>
      </c>
    </row>
    <row r="631" spans="1:2">
      <c r="A631" s="3">
        <f ca="1">IFERROR(__xludf.DUMMYFUNCTION("""COMPUTED_VALUE"""),30123.6666666666)</f>
        <v>30123.666666666599</v>
      </c>
      <c r="B631" s="1">
        <f ca="1">IFERROR(__xludf.DUMMYFUNCTION("""COMPUTED_VALUE"""),107.2)</f>
        <v>107.2</v>
      </c>
    </row>
    <row r="632" spans="1:2">
      <c r="A632" s="3">
        <f ca="1">IFERROR(__xludf.DUMMYFUNCTION("""COMPUTED_VALUE"""),30124.6666666666)</f>
        <v>30124.666666666599</v>
      </c>
      <c r="B632" s="1">
        <f ca="1">IFERROR(__xludf.DUMMYFUNCTION("""COMPUTED_VALUE"""),108.3)</f>
        <v>108.3</v>
      </c>
    </row>
    <row r="633" spans="1:2">
      <c r="A633" s="3">
        <f ca="1">IFERROR(__xludf.DUMMYFUNCTION("""COMPUTED_VALUE"""),30125.6666666666)</f>
        <v>30125.666666666599</v>
      </c>
      <c r="B633" s="1">
        <f ca="1">IFERROR(__xludf.DUMMYFUNCTION("""COMPUTED_VALUE"""),110.14)</f>
        <v>110.14</v>
      </c>
    </row>
    <row r="634" spans="1:2">
      <c r="A634" s="3">
        <f ca="1">IFERROR(__xludf.DUMMYFUNCTION("""COMPUTED_VALUE"""),30126.6666666666)</f>
        <v>30126.666666666599</v>
      </c>
      <c r="B634" s="1">
        <f ca="1">IFERROR(__xludf.DUMMYFUNCTION("""COMPUTED_VALUE"""),109.83)</f>
        <v>109.83</v>
      </c>
    </row>
    <row r="635" spans="1:2">
      <c r="A635" s="3">
        <f ca="1">IFERROR(__xludf.DUMMYFUNCTION("""COMPUTED_VALUE"""),30127.6666666666)</f>
        <v>30127.666666666599</v>
      </c>
      <c r="B635" s="1">
        <f ca="1">IFERROR(__xludf.DUMMYFUNCTION("""COMPUTED_VALUE"""),109.14)</f>
        <v>109.14</v>
      </c>
    </row>
    <row r="636" spans="1:2">
      <c r="A636" s="3">
        <f ca="1">IFERROR(__xludf.DUMMYFUNCTION("""COMPUTED_VALUE"""),30130.6666666666)</f>
        <v>30130.666666666599</v>
      </c>
      <c r="B636" s="1">
        <f ca="1">IFERROR(__xludf.DUMMYFUNCTION("""COMPUTED_VALUE"""),110.26)</f>
        <v>110.26</v>
      </c>
    </row>
    <row r="637" spans="1:2">
      <c r="A637" s="3">
        <f ca="1">IFERROR(__xludf.DUMMYFUNCTION("""COMPUTED_VALUE"""),30131.6666666666)</f>
        <v>30131.666666666599</v>
      </c>
      <c r="B637" s="1">
        <f ca="1">IFERROR(__xludf.DUMMYFUNCTION("""COMPUTED_VALUE"""),110.21)</f>
        <v>110.21</v>
      </c>
    </row>
    <row r="638" spans="1:2">
      <c r="A638" s="3">
        <f ca="1">IFERROR(__xludf.DUMMYFUNCTION("""COMPUTED_VALUE"""),30132.6666666666)</f>
        <v>30132.666666666599</v>
      </c>
      <c r="B638" s="1">
        <f ca="1">IFERROR(__xludf.DUMMYFUNCTION("""COMPUTED_VALUE"""),109.61)</f>
        <v>109.61</v>
      </c>
    </row>
    <row r="639" spans="1:2">
      <c r="A639" s="3">
        <f ca="1">IFERROR(__xludf.DUMMYFUNCTION("""COMPUTED_VALUE"""),30133.6666666666)</f>
        <v>30133.666666666599</v>
      </c>
      <c r="B639" s="1">
        <f ca="1">IFERROR(__xludf.DUMMYFUNCTION("""COMPUTED_VALUE"""),108.71)</f>
        <v>108.71</v>
      </c>
    </row>
    <row r="640" spans="1:2">
      <c r="A640" s="3">
        <f ca="1">IFERROR(__xludf.DUMMYFUNCTION("""COMPUTED_VALUE"""),30134.6666666666)</f>
        <v>30134.666666666599</v>
      </c>
      <c r="B640" s="1">
        <f ca="1">IFERROR(__xludf.DUMMYFUNCTION("""COMPUTED_VALUE"""),107.65)</f>
        <v>107.65</v>
      </c>
    </row>
    <row r="641" spans="1:2">
      <c r="A641" s="3">
        <f ca="1">IFERROR(__xludf.DUMMYFUNCTION("""COMPUTED_VALUE"""),30138.6666666666)</f>
        <v>30138.666666666599</v>
      </c>
      <c r="B641" s="1">
        <f ca="1">IFERROR(__xludf.DUMMYFUNCTION("""COMPUTED_VALUE"""),107.29)</f>
        <v>107.29</v>
      </c>
    </row>
    <row r="642" spans="1:2">
      <c r="A642" s="3">
        <f ca="1">IFERROR(__xludf.DUMMYFUNCTION("""COMPUTED_VALUE"""),30139.6666666666)</f>
        <v>30139.666666666599</v>
      </c>
      <c r="B642" s="1">
        <f ca="1">IFERROR(__xludf.DUMMYFUNCTION("""COMPUTED_VALUE"""),107.22)</f>
        <v>107.22</v>
      </c>
    </row>
    <row r="643" spans="1:2">
      <c r="A643" s="3">
        <f ca="1">IFERROR(__xludf.DUMMYFUNCTION("""COMPUTED_VALUE"""),30140.6666666666)</f>
        <v>30140.666666666599</v>
      </c>
      <c r="B643" s="1">
        <f ca="1">IFERROR(__xludf.DUMMYFUNCTION("""COMPUTED_VALUE"""),107.53)</f>
        <v>107.53</v>
      </c>
    </row>
    <row r="644" spans="1:2">
      <c r="A644" s="3">
        <f ca="1">IFERROR(__xludf.DUMMYFUNCTION("""COMPUTED_VALUE"""),30141.6666666666)</f>
        <v>30141.666666666599</v>
      </c>
      <c r="B644" s="1">
        <f ca="1">IFERROR(__xludf.DUMMYFUNCTION("""COMPUTED_VALUE"""),108.83)</f>
        <v>108.83</v>
      </c>
    </row>
    <row r="645" spans="1:2">
      <c r="A645" s="3">
        <f ca="1">IFERROR(__xludf.DUMMYFUNCTION("""COMPUTED_VALUE"""),30144.6666666666)</f>
        <v>30144.666666666599</v>
      </c>
      <c r="B645" s="1">
        <f ca="1">IFERROR(__xludf.DUMMYFUNCTION("""COMPUTED_VALUE"""),109.57)</f>
        <v>109.57</v>
      </c>
    </row>
    <row r="646" spans="1:2">
      <c r="A646" s="3">
        <f ca="1">IFERROR(__xludf.DUMMYFUNCTION("""COMPUTED_VALUE"""),30145.6666666666)</f>
        <v>30145.666666666599</v>
      </c>
      <c r="B646" s="1">
        <f ca="1">IFERROR(__xludf.DUMMYFUNCTION("""COMPUTED_VALUE"""),109.45)</f>
        <v>109.45</v>
      </c>
    </row>
    <row r="647" spans="1:2">
      <c r="A647" s="3">
        <f ca="1">IFERROR(__xludf.DUMMYFUNCTION("""COMPUTED_VALUE"""),30146.6666666666)</f>
        <v>30146.666666666599</v>
      </c>
      <c r="B647" s="1">
        <f ca="1">IFERROR(__xludf.DUMMYFUNCTION("""COMPUTED_VALUE"""),110.44)</f>
        <v>110.44</v>
      </c>
    </row>
    <row r="648" spans="1:2">
      <c r="A648" s="3">
        <f ca="1">IFERROR(__xludf.DUMMYFUNCTION("""COMPUTED_VALUE"""),30147.6666666666)</f>
        <v>30147.666666666599</v>
      </c>
      <c r="B648" s="1">
        <f ca="1">IFERROR(__xludf.DUMMYFUNCTION("""COMPUTED_VALUE"""),110.47)</f>
        <v>110.47</v>
      </c>
    </row>
    <row r="649" spans="1:2">
      <c r="A649" s="3">
        <f ca="1">IFERROR(__xludf.DUMMYFUNCTION("""COMPUTED_VALUE"""),30148.6666666666)</f>
        <v>30148.666666666599</v>
      </c>
      <c r="B649" s="1">
        <f ca="1">IFERROR(__xludf.DUMMYFUNCTION("""COMPUTED_VALUE"""),111.07)</f>
        <v>111.07</v>
      </c>
    </row>
    <row r="650" spans="1:2">
      <c r="A650" s="3">
        <f ca="1">IFERROR(__xludf.DUMMYFUNCTION("""COMPUTED_VALUE"""),30151.6666666666)</f>
        <v>30151.666666666599</v>
      </c>
      <c r="B650" s="1">
        <f ca="1">IFERROR(__xludf.DUMMYFUNCTION("""COMPUTED_VALUE"""),110.73)</f>
        <v>110.73</v>
      </c>
    </row>
    <row r="651" spans="1:2">
      <c r="A651" s="3">
        <f ca="1">IFERROR(__xludf.DUMMYFUNCTION("""COMPUTED_VALUE"""),30152.6666666666)</f>
        <v>30152.666666666599</v>
      </c>
      <c r="B651" s="1">
        <f ca="1">IFERROR(__xludf.DUMMYFUNCTION("""COMPUTED_VALUE"""),111.54)</f>
        <v>111.54</v>
      </c>
    </row>
    <row r="652" spans="1:2">
      <c r="A652" s="3">
        <f ca="1">IFERROR(__xludf.DUMMYFUNCTION("""COMPUTED_VALUE"""),30153.6666666666)</f>
        <v>30153.666666666599</v>
      </c>
      <c r="B652" s="1">
        <f ca="1">IFERROR(__xludf.DUMMYFUNCTION("""COMPUTED_VALUE"""),111.42)</f>
        <v>111.42</v>
      </c>
    </row>
    <row r="653" spans="1:2">
      <c r="A653" s="3">
        <f ca="1">IFERROR(__xludf.DUMMYFUNCTION("""COMPUTED_VALUE"""),30154.6666666666)</f>
        <v>30154.666666666599</v>
      </c>
      <c r="B653" s="1">
        <f ca="1">IFERROR(__xludf.DUMMYFUNCTION("""COMPUTED_VALUE"""),111.48)</f>
        <v>111.48</v>
      </c>
    </row>
    <row r="654" spans="1:2">
      <c r="A654" s="3">
        <f ca="1">IFERROR(__xludf.DUMMYFUNCTION("""COMPUTED_VALUE"""),30155.6666666666)</f>
        <v>30155.666666666599</v>
      </c>
      <c r="B654" s="1">
        <f ca="1">IFERROR(__xludf.DUMMYFUNCTION("""COMPUTED_VALUE"""),111.17)</f>
        <v>111.17</v>
      </c>
    </row>
    <row r="655" spans="1:2">
      <c r="A655" s="3">
        <f ca="1">IFERROR(__xludf.DUMMYFUNCTION("""COMPUTED_VALUE"""),30158.6666666666)</f>
        <v>30158.666666666599</v>
      </c>
      <c r="B655" s="1">
        <f ca="1">IFERROR(__xludf.DUMMYFUNCTION("""COMPUTED_VALUE"""),110.36)</f>
        <v>110.36</v>
      </c>
    </row>
    <row r="656" spans="1:2">
      <c r="A656" s="3">
        <f ca="1">IFERROR(__xludf.DUMMYFUNCTION("""COMPUTED_VALUE"""),30159.6666666666)</f>
        <v>30159.666666666599</v>
      </c>
      <c r="B656" s="1">
        <f ca="1">IFERROR(__xludf.DUMMYFUNCTION("""COMPUTED_VALUE"""),109.43)</f>
        <v>109.43</v>
      </c>
    </row>
    <row r="657" spans="1:2">
      <c r="A657" s="3">
        <f ca="1">IFERROR(__xludf.DUMMYFUNCTION("""COMPUTED_VALUE"""),30160.6666666666)</f>
        <v>30160.666666666599</v>
      </c>
      <c r="B657" s="1">
        <f ca="1">IFERROR(__xludf.DUMMYFUNCTION("""COMPUTED_VALUE"""),107.74)</f>
        <v>107.74</v>
      </c>
    </row>
    <row r="658" spans="1:2">
      <c r="A658" s="3">
        <f ca="1">IFERROR(__xludf.DUMMYFUNCTION("""COMPUTED_VALUE"""),30161.6666666666)</f>
        <v>30161.666666666599</v>
      </c>
      <c r="B658" s="1">
        <f ca="1">IFERROR(__xludf.DUMMYFUNCTION("""COMPUTED_VALUE"""),107.72)</f>
        <v>107.72</v>
      </c>
    </row>
    <row r="659" spans="1:2">
      <c r="A659" s="3">
        <f ca="1">IFERROR(__xludf.DUMMYFUNCTION("""COMPUTED_VALUE"""),30162.6666666666)</f>
        <v>30162.666666666599</v>
      </c>
      <c r="B659" s="1">
        <f ca="1">IFERROR(__xludf.DUMMYFUNCTION("""COMPUTED_VALUE"""),107.09)</f>
        <v>107.09</v>
      </c>
    </row>
    <row r="660" spans="1:2">
      <c r="A660" s="3">
        <f ca="1">IFERROR(__xludf.DUMMYFUNCTION("""COMPUTED_VALUE"""),30165.6666666666)</f>
        <v>30165.666666666599</v>
      </c>
      <c r="B660" s="1">
        <f ca="1">IFERROR(__xludf.DUMMYFUNCTION("""COMPUTED_VALUE"""),108.98)</f>
        <v>108.98</v>
      </c>
    </row>
    <row r="661" spans="1:2">
      <c r="A661" s="3">
        <f ca="1">IFERROR(__xludf.DUMMYFUNCTION("""COMPUTED_VALUE"""),30166.6666666666)</f>
        <v>30166.666666666599</v>
      </c>
      <c r="B661" s="1">
        <f ca="1">IFERROR(__xludf.DUMMYFUNCTION("""COMPUTED_VALUE"""),107.83)</f>
        <v>107.83</v>
      </c>
    </row>
    <row r="662" spans="1:2">
      <c r="A662" s="3">
        <f ca="1">IFERROR(__xludf.DUMMYFUNCTION("""COMPUTED_VALUE"""),30167.6666666666)</f>
        <v>30167.666666666599</v>
      </c>
      <c r="B662" s="1">
        <f ca="1">IFERROR(__xludf.DUMMYFUNCTION("""COMPUTED_VALUE"""),106.14)</f>
        <v>106.14</v>
      </c>
    </row>
    <row r="663" spans="1:2">
      <c r="A663" s="3">
        <f ca="1">IFERROR(__xludf.DUMMYFUNCTION("""COMPUTED_VALUE"""),30168.6666666666)</f>
        <v>30168.666666666599</v>
      </c>
      <c r="B663" s="1">
        <f ca="1">IFERROR(__xludf.DUMMYFUNCTION("""COMPUTED_VALUE"""),105.16)</f>
        <v>105.16</v>
      </c>
    </row>
    <row r="664" spans="1:2">
      <c r="A664" s="3">
        <f ca="1">IFERROR(__xludf.DUMMYFUNCTION("""COMPUTED_VALUE"""),30169.6666666666)</f>
        <v>30169.666666666599</v>
      </c>
      <c r="B664" s="1">
        <f ca="1">IFERROR(__xludf.DUMMYFUNCTION("""COMPUTED_VALUE"""),103.71)</f>
        <v>103.71</v>
      </c>
    </row>
    <row r="665" spans="1:2">
      <c r="A665" s="3">
        <f ca="1">IFERROR(__xludf.DUMMYFUNCTION("""COMPUTED_VALUE"""),30172.6666666666)</f>
        <v>30172.666666666599</v>
      </c>
      <c r="B665" s="1">
        <f ca="1">IFERROR(__xludf.DUMMYFUNCTION("""COMPUTED_VALUE"""),103.08)</f>
        <v>103.08</v>
      </c>
    </row>
    <row r="666" spans="1:2">
      <c r="A666" s="3">
        <f ca="1">IFERROR(__xludf.DUMMYFUNCTION("""COMPUTED_VALUE"""),30173.6666666666)</f>
        <v>30173.666666666599</v>
      </c>
      <c r="B666" s="1">
        <f ca="1">IFERROR(__xludf.DUMMYFUNCTION("""COMPUTED_VALUE"""),102.84)</f>
        <v>102.84</v>
      </c>
    </row>
    <row r="667" spans="1:2">
      <c r="A667" s="3">
        <f ca="1">IFERROR(__xludf.DUMMYFUNCTION("""COMPUTED_VALUE"""),30174.6666666666)</f>
        <v>30174.666666666599</v>
      </c>
      <c r="B667" s="1">
        <f ca="1">IFERROR(__xludf.DUMMYFUNCTION("""COMPUTED_VALUE"""),102.6)</f>
        <v>102.6</v>
      </c>
    </row>
    <row r="668" spans="1:2">
      <c r="A668" s="3">
        <f ca="1">IFERROR(__xludf.DUMMYFUNCTION("""COMPUTED_VALUE"""),30175.6666666666)</f>
        <v>30175.666666666599</v>
      </c>
      <c r="B668" s="1">
        <f ca="1">IFERROR(__xludf.DUMMYFUNCTION("""COMPUTED_VALUE"""),102.42)</f>
        <v>102.42</v>
      </c>
    </row>
    <row r="669" spans="1:2">
      <c r="A669" s="3">
        <f ca="1">IFERROR(__xludf.DUMMYFUNCTION("""COMPUTED_VALUE"""),30176.6666666666)</f>
        <v>30176.666666666599</v>
      </c>
      <c r="B669" s="1">
        <f ca="1">IFERROR(__xludf.DUMMYFUNCTION("""COMPUTED_VALUE"""),103.85)</f>
        <v>103.85</v>
      </c>
    </row>
    <row r="670" spans="1:2">
      <c r="A670" s="3">
        <f ca="1">IFERROR(__xludf.DUMMYFUNCTION("""COMPUTED_VALUE"""),30179.6666666666)</f>
        <v>30179.666666666599</v>
      </c>
      <c r="B670" s="1">
        <f ca="1">IFERROR(__xludf.DUMMYFUNCTION("""COMPUTED_VALUE"""),104.09)</f>
        <v>104.09</v>
      </c>
    </row>
    <row r="671" spans="1:2">
      <c r="A671" s="3">
        <f ca="1">IFERROR(__xludf.DUMMYFUNCTION("""COMPUTED_VALUE"""),30180.6666666666)</f>
        <v>30180.666666666599</v>
      </c>
      <c r="B671" s="1">
        <f ca="1">IFERROR(__xludf.DUMMYFUNCTION("""COMPUTED_VALUE"""),109.04)</f>
        <v>109.04</v>
      </c>
    </row>
    <row r="672" spans="1:2">
      <c r="A672" s="3">
        <f ca="1">IFERROR(__xludf.DUMMYFUNCTION("""COMPUTED_VALUE"""),30181.6666666666)</f>
        <v>30181.666666666599</v>
      </c>
      <c r="B672" s="1">
        <f ca="1">IFERROR(__xludf.DUMMYFUNCTION("""COMPUTED_VALUE"""),108.54)</f>
        <v>108.54</v>
      </c>
    </row>
    <row r="673" spans="1:2">
      <c r="A673" s="3">
        <f ca="1">IFERROR(__xludf.DUMMYFUNCTION("""COMPUTED_VALUE"""),30182.6666666666)</f>
        <v>30182.666666666599</v>
      </c>
      <c r="B673" s="1">
        <f ca="1">IFERROR(__xludf.DUMMYFUNCTION("""COMPUTED_VALUE"""),109.16)</f>
        <v>109.16</v>
      </c>
    </row>
    <row r="674" spans="1:2">
      <c r="A674" s="3">
        <f ca="1">IFERROR(__xludf.DUMMYFUNCTION("""COMPUTED_VALUE"""),30183.6666666666)</f>
        <v>30183.666666666599</v>
      </c>
      <c r="B674" s="1">
        <f ca="1">IFERROR(__xludf.DUMMYFUNCTION("""COMPUTED_VALUE"""),113.02)</f>
        <v>113.02</v>
      </c>
    </row>
    <row r="675" spans="1:2">
      <c r="A675" s="3">
        <f ca="1">IFERROR(__xludf.DUMMYFUNCTION("""COMPUTED_VALUE"""),30186.6666666666)</f>
        <v>30186.666666666599</v>
      </c>
      <c r="B675" s="1">
        <f ca="1">IFERROR(__xludf.DUMMYFUNCTION("""COMPUTED_VALUE"""),116.11)</f>
        <v>116.11</v>
      </c>
    </row>
    <row r="676" spans="1:2">
      <c r="A676" s="3">
        <f ca="1">IFERROR(__xludf.DUMMYFUNCTION("""COMPUTED_VALUE"""),30187.6666666666)</f>
        <v>30187.666666666599</v>
      </c>
      <c r="B676" s="1">
        <f ca="1">IFERROR(__xludf.DUMMYFUNCTION("""COMPUTED_VALUE"""),115.35)</f>
        <v>115.35</v>
      </c>
    </row>
    <row r="677" spans="1:2">
      <c r="A677" s="3">
        <f ca="1">IFERROR(__xludf.DUMMYFUNCTION("""COMPUTED_VALUE"""),30188.6666666666)</f>
        <v>30188.666666666599</v>
      </c>
      <c r="B677" s="1">
        <f ca="1">IFERROR(__xludf.DUMMYFUNCTION("""COMPUTED_VALUE"""),117.58)</f>
        <v>117.58</v>
      </c>
    </row>
    <row r="678" spans="1:2">
      <c r="A678" s="3">
        <f ca="1">IFERROR(__xludf.DUMMYFUNCTION("""COMPUTED_VALUE"""),30189.6666666666)</f>
        <v>30189.666666666599</v>
      </c>
      <c r="B678" s="1">
        <f ca="1">IFERROR(__xludf.DUMMYFUNCTION("""COMPUTED_VALUE"""),118.55)</f>
        <v>118.55</v>
      </c>
    </row>
    <row r="679" spans="1:2">
      <c r="A679" s="3">
        <f ca="1">IFERROR(__xludf.DUMMYFUNCTION("""COMPUTED_VALUE"""),30190.6666666666)</f>
        <v>30190.666666666599</v>
      </c>
      <c r="B679" s="1">
        <f ca="1">IFERROR(__xludf.DUMMYFUNCTION("""COMPUTED_VALUE"""),117.11)</f>
        <v>117.11</v>
      </c>
    </row>
    <row r="680" spans="1:2">
      <c r="A680" s="3">
        <f ca="1">IFERROR(__xludf.DUMMYFUNCTION("""COMPUTED_VALUE"""),30193.6666666666)</f>
        <v>30193.666666666599</v>
      </c>
      <c r="B680" s="1">
        <f ca="1">IFERROR(__xludf.DUMMYFUNCTION("""COMPUTED_VALUE"""),117.66)</f>
        <v>117.66</v>
      </c>
    </row>
    <row r="681" spans="1:2">
      <c r="A681" s="3">
        <f ca="1">IFERROR(__xludf.DUMMYFUNCTION("""COMPUTED_VALUE"""),30194.6666666666)</f>
        <v>30194.666666666599</v>
      </c>
      <c r="B681" s="1">
        <f ca="1">IFERROR(__xludf.DUMMYFUNCTION("""COMPUTED_VALUE"""),119.51)</f>
        <v>119.51</v>
      </c>
    </row>
    <row r="682" spans="1:2">
      <c r="A682" s="3">
        <f ca="1">IFERROR(__xludf.DUMMYFUNCTION("""COMPUTED_VALUE"""),30195.6666666666)</f>
        <v>30195.666666666599</v>
      </c>
      <c r="B682" s="1">
        <f ca="1">IFERROR(__xludf.DUMMYFUNCTION("""COMPUTED_VALUE"""),118.25)</f>
        <v>118.25</v>
      </c>
    </row>
    <row r="683" spans="1:2">
      <c r="A683" s="3">
        <f ca="1">IFERROR(__xludf.DUMMYFUNCTION("""COMPUTED_VALUE"""),30196.6666666666)</f>
        <v>30196.666666666599</v>
      </c>
      <c r="B683" s="1">
        <f ca="1">IFERROR(__xludf.DUMMYFUNCTION("""COMPUTED_VALUE"""),120.29)</f>
        <v>120.29</v>
      </c>
    </row>
    <row r="684" spans="1:2">
      <c r="A684" s="3">
        <f ca="1">IFERROR(__xludf.DUMMYFUNCTION("""COMPUTED_VALUE"""),30197.6666666666)</f>
        <v>30197.666666666599</v>
      </c>
      <c r="B684" s="1">
        <f ca="1">IFERROR(__xludf.DUMMYFUNCTION("""COMPUTED_VALUE"""),122.68)</f>
        <v>122.68</v>
      </c>
    </row>
    <row r="685" spans="1:2">
      <c r="A685" s="3">
        <f ca="1">IFERROR(__xludf.DUMMYFUNCTION("""COMPUTED_VALUE"""),30201.6666666666)</f>
        <v>30201.666666666599</v>
      </c>
      <c r="B685" s="1">
        <f ca="1">IFERROR(__xludf.DUMMYFUNCTION("""COMPUTED_VALUE"""),121.37)</f>
        <v>121.37</v>
      </c>
    </row>
    <row r="686" spans="1:2">
      <c r="A686" s="3">
        <f ca="1">IFERROR(__xludf.DUMMYFUNCTION("""COMPUTED_VALUE"""),30202.6666666666)</f>
        <v>30202.666666666599</v>
      </c>
      <c r="B686" s="1">
        <f ca="1">IFERROR(__xludf.DUMMYFUNCTION("""COMPUTED_VALUE"""),122.2)</f>
        <v>122.2</v>
      </c>
    </row>
    <row r="687" spans="1:2">
      <c r="A687" s="3">
        <f ca="1">IFERROR(__xludf.DUMMYFUNCTION("""COMPUTED_VALUE"""),30203.6666666666)</f>
        <v>30203.666666666599</v>
      </c>
      <c r="B687" s="1">
        <f ca="1">IFERROR(__xludf.DUMMYFUNCTION("""COMPUTED_VALUE"""),121.97)</f>
        <v>121.97</v>
      </c>
    </row>
    <row r="688" spans="1:2">
      <c r="A688" s="3">
        <f ca="1">IFERROR(__xludf.DUMMYFUNCTION("""COMPUTED_VALUE"""),30204.6666666666)</f>
        <v>30204.666666666599</v>
      </c>
      <c r="B688" s="1">
        <f ca="1">IFERROR(__xludf.DUMMYFUNCTION("""COMPUTED_VALUE"""),120.97)</f>
        <v>120.97</v>
      </c>
    </row>
    <row r="689" spans="1:2">
      <c r="A689" s="3">
        <f ca="1">IFERROR(__xludf.DUMMYFUNCTION("""COMPUTED_VALUE"""),30207.6666666666)</f>
        <v>30207.666666666599</v>
      </c>
      <c r="B689" s="1">
        <f ca="1">IFERROR(__xludf.DUMMYFUNCTION("""COMPUTED_VALUE"""),122.24)</f>
        <v>122.24</v>
      </c>
    </row>
    <row r="690" spans="1:2">
      <c r="A690" s="3">
        <f ca="1">IFERROR(__xludf.DUMMYFUNCTION("""COMPUTED_VALUE"""),30208.6666666666)</f>
        <v>30208.666666666599</v>
      </c>
      <c r="B690" s="1">
        <f ca="1">IFERROR(__xludf.DUMMYFUNCTION("""COMPUTED_VALUE"""),123.1)</f>
        <v>123.1</v>
      </c>
    </row>
    <row r="691" spans="1:2">
      <c r="A691" s="3">
        <f ca="1">IFERROR(__xludf.DUMMYFUNCTION("""COMPUTED_VALUE"""),30209.6666666666)</f>
        <v>30209.666666666599</v>
      </c>
      <c r="B691" s="1">
        <f ca="1">IFERROR(__xludf.DUMMYFUNCTION("""COMPUTED_VALUE"""),124.29)</f>
        <v>124.29</v>
      </c>
    </row>
    <row r="692" spans="1:2">
      <c r="A692" s="3">
        <f ca="1">IFERROR(__xludf.DUMMYFUNCTION("""COMPUTED_VALUE"""),30210.6666666666)</f>
        <v>30210.666666666599</v>
      </c>
      <c r="B692" s="1">
        <f ca="1">IFERROR(__xludf.DUMMYFUNCTION("""COMPUTED_VALUE"""),123.77)</f>
        <v>123.77</v>
      </c>
    </row>
    <row r="693" spans="1:2">
      <c r="A693" s="3">
        <f ca="1">IFERROR(__xludf.DUMMYFUNCTION("""COMPUTED_VALUE"""),30211.6666666666)</f>
        <v>30211.666666666599</v>
      </c>
      <c r="B693" s="1">
        <f ca="1">IFERROR(__xludf.DUMMYFUNCTION("""COMPUTED_VALUE"""),122.55)</f>
        <v>122.55</v>
      </c>
    </row>
    <row r="694" spans="1:2">
      <c r="A694" s="3">
        <f ca="1">IFERROR(__xludf.DUMMYFUNCTION("""COMPUTED_VALUE"""),30214.6666666666)</f>
        <v>30214.666666666599</v>
      </c>
      <c r="B694" s="1">
        <f ca="1">IFERROR(__xludf.DUMMYFUNCTION("""COMPUTED_VALUE"""),122.51)</f>
        <v>122.51</v>
      </c>
    </row>
    <row r="695" spans="1:2">
      <c r="A695" s="3">
        <f ca="1">IFERROR(__xludf.DUMMYFUNCTION("""COMPUTED_VALUE"""),30215.6666666666)</f>
        <v>30215.666666666599</v>
      </c>
      <c r="B695" s="1">
        <f ca="1">IFERROR(__xludf.DUMMYFUNCTION("""COMPUTED_VALUE"""),124.88)</f>
        <v>124.88</v>
      </c>
    </row>
    <row r="696" spans="1:2">
      <c r="A696" s="3">
        <f ca="1">IFERROR(__xludf.DUMMYFUNCTION("""COMPUTED_VALUE"""),30216.6666666666)</f>
        <v>30216.666666666599</v>
      </c>
      <c r="B696" s="1">
        <f ca="1">IFERROR(__xludf.DUMMYFUNCTION("""COMPUTED_VALUE"""),123.99)</f>
        <v>123.99</v>
      </c>
    </row>
    <row r="697" spans="1:2">
      <c r="A697" s="3">
        <f ca="1">IFERROR(__xludf.DUMMYFUNCTION("""COMPUTED_VALUE"""),30217.6666666666)</f>
        <v>30217.666666666599</v>
      </c>
      <c r="B697" s="1">
        <f ca="1">IFERROR(__xludf.DUMMYFUNCTION("""COMPUTED_VALUE"""),123.81)</f>
        <v>123.81</v>
      </c>
    </row>
    <row r="698" spans="1:2">
      <c r="A698" s="3">
        <f ca="1">IFERROR(__xludf.DUMMYFUNCTION("""COMPUTED_VALUE"""),30218.6666666666)</f>
        <v>30218.666666666599</v>
      </c>
      <c r="B698" s="1">
        <f ca="1">IFERROR(__xludf.DUMMYFUNCTION("""COMPUTED_VALUE"""),123.32)</f>
        <v>123.32</v>
      </c>
    </row>
    <row r="699" spans="1:2">
      <c r="A699" s="3">
        <f ca="1">IFERROR(__xludf.DUMMYFUNCTION("""COMPUTED_VALUE"""),30221.6666666666)</f>
        <v>30221.666666666599</v>
      </c>
      <c r="B699" s="1">
        <f ca="1">IFERROR(__xludf.DUMMYFUNCTION("""COMPUTED_VALUE"""),123.62)</f>
        <v>123.62</v>
      </c>
    </row>
    <row r="700" spans="1:2">
      <c r="A700" s="3">
        <f ca="1">IFERROR(__xludf.DUMMYFUNCTION("""COMPUTED_VALUE"""),30222.6666666666)</f>
        <v>30222.666666666599</v>
      </c>
      <c r="B700" s="1">
        <f ca="1">IFERROR(__xludf.DUMMYFUNCTION("""COMPUTED_VALUE"""),123.24)</f>
        <v>123.24</v>
      </c>
    </row>
    <row r="701" spans="1:2">
      <c r="A701" s="3">
        <f ca="1">IFERROR(__xludf.DUMMYFUNCTION("""COMPUTED_VALUE"""),30223.6666666666)</f>
        <v>30223.666666666599</v>
      </c>
      <c r="B701" s="1">
        <f ca="1">IFERROR(__xludf.DUMMYFUNCTION("""COMPUTED_VALUE"""),121.63)</f>
        <v>121.63</v>
      </c>
    </row>
    <row r="702" spans="1:2">
      <c r="A702" s="3">
        <f ca="1">IFERROR(__xludf.DUMMYFUNCTION("""COMPUTED_VALUE"""),30224.6666666666)</f>
        <v>30224.666666666599</v>
      </c>
      <c r="B702" s="1">
        <f ca="1">IFERROR(__xludf.DUMMYFUNCTION("""COMPUTED_VALUE"""),120.42)</f>
        <v>120.42</v>
      </c>
    </row>
    <row r="703" spans="1:2">
      <c r="A703" s="3">
        <f ca="1">IFERROR(__xludf.DUMMYFUNCTION("""COMPUTED_VALUE"""),30225.6666666666)</f>
        <v>30225.666666666599</v>
      </c>
      <c r="B703" s="1">
        <f ca="1">IFERROR(__xludf.DUMMYFUNCTION("""COMPUTED_VALUE"""),121.97)</f>
        <v>121.97</v>
      </c>
    </row>
    <row r="704" spans="1:2">
      <c r="A704" s="3">
        <f ca="1">IFERROR(__xludf.DUMMYFUNCTION("""COMPUTED_VALUE"""),30228.6666666666)</f>
        <v>30228.666666666599</v>
      </c>
      <c r="B704" s="1">
        <f ca="1">IFERROR(__xludf.DUMMYFUNCTION("""COMPUTED_VALUE"""),121.51)</f>
        <v>121.51</v>
      </c>
    </row>
    <row r="705" spans="1:2">
      <c r="A705" s="3">
        <f ca="1">IFERROR(__xludf.DUMMYFUNCTION("""COMPUTED_VALUE"""),30229.6666666666)</f>
        <v>30229.666666666599</v>
      </c>
      <c r="B705" s="1">
        <f ca="1">IFERROR(__xludf.DUMMYFUNCTION("""COMPUTED_VALUE"""),121.98)</f>
        <v>121.98</v>
      </c>
    </row>
    <row r="706" spans="1:2">
      <c r="A706" s="3">
        <f ca="1">IFERROR(__xludf.DUMMYFUNCTION("""COMPUTED_VALUE"""),30230.6666666666)</f>
        <v>30230.666666666599</v>
      </c>
      <c r="B706" s="1">
        <f ca="1">IFERROR(__xludf.DUMMYFUNCTION("""COMPUTED_VALUE"""),125.97)</f>
        <v>125.97</v>
      </c>
    </row>
    <row r="707" spans="1:2">
      <c r="A707" s="3">
        <f ca="1">IFERROR(__xludf.DUMMYFUNCTION("""COMPUTED_VALUE"""),30231.6666666666)</f>
        <v>30231.666666666599</v>
      </c>
      <c r="B707" s="1">
        <f ca="1">IFERROR(__xludf.DUMMYFUNCTION("""COMPUTED_VALUE"""),128.8)</f>
        <v>128.80000000000001</v>
      </c>
    </row>
    <row r="708" spans="1:2">
      <c r="A708" s="3">
        <f ca="1">IFERROR(__xludf.DUMMYFUNCTION("""COMPUTED_VALUE"""),30232.6666666666)</f>
        <v>30232.666666666599</v>
      </c>
      <c r="B708" s="1">
        <f ca="1">IFERROR(__xludf.DUMMYFUNCTION("""COMPUTED_VALUE"""),131.05)</f>
        <v>131.05000000000001</v>
      </c>
    </row>
    <row r="709" spans="1:2">
      <c r="A709" s="3">
        <f ca="1">IFERROR(__xludf.DUMMYFUNCTION("""COMPUTED_VALUE"""),30235.6666666666)</f>
        <v>30235.666666666599</v>
      </c>
      <c r="B709" s="1">
        <f ca="1">IFERROR(__xludf.DUMMYFUNCTION("""COMPUTED_VALUE"""),134.47)</f>
        <v>134.47</v>
      </c>
    </row>
    <row r="710" spans="1:2">
      <c r="A710" s="3">
        <f ca="1">IFERROR(__xludf.DUMMYFUNCTION("""COMPUTED_VALUE"""),30236.6666666666)</f>
        <v>30236.666666666599</v>
      </c>
      <c r="B710" s="1">
        <f ca="1">IFERROR(__xludf.DUMMYFUNCTION("""COMPUTED_VALUE"""),134.44)</f>
        <v>134.44</v>
      </c>
    </row>
    <row r="711" spans="1:2">
      <c r="A711" s="3">
        <f ca="1">IFERROR(__xludf.DUMMYFUNCTION("""COMPUTED_VALUE"""),30237.6666666666)</f>
        <v>30237.666666666599</v>
      </c>
      <c r="B711" s="1">
        <f ca="1">IFERROR(__xludf.DUMMYFUNCTION("""COMPUTED_VALUE"""),136.71)</f>
        <v>136.71</v>
      </c>
    </row>
    <row r="712" spans="1:2">
      <c r="A712" s="3">
        <f ca="1">IFERROR(__xludf.DUMMYFUNCTION("""COMPUTED_VALUE"""),30238.6666666666)</f>
        <v>30238.666666666599</v>
      </c>
      <c r="B712" s="1">
        <f ca="1">IFERROR(__xludf.DUMMYFUNCTION("""COMPUTED_VALUE"""),134.57)</f>
        <v>134.57</v>
      </c>
    </row>
    <row r="713" spans="1:2">
      <c r="A713" s="3">
        <f ca="1">IFERROR(__xludf.DUMMYFUNCTION("""COMPUTED_VALUE"""),30239.6666666666)</f>
        <v>30239.666666666599</v>
      </c>
      <c r="B713" s="1">
        <f ca="1">IFERROR(__xludf.DUMMYFUNCTION("""COMPUTED_VALUE"""),133.57)</f>
        <v>133.57</v>
      </c>
    </row>
    <row r="714" spans="1:2">
      <c r="A714" s="3">
        <f ca="1">IFERROR(__xludf.DUMMYFUNCTION("""COMPUTED_VALUE"""),30242.6666666666)</f>
        <v>30242.666666666599</v>
      </c>
      <c r="B714" s="1">
        <f ca="1">IFERROR(__xludf.DUMMYFUNCTION("""COMPUTED_VALUE"""),136.73)</f>
        <v>136.72999999999999</v>
      </c>
    </row>
    <row r="715" spans="1:2">
      <c r="A715" s="3">
        <f ca="1">IFERROR(__xludf.DUMMYFUNCTION("""COMPUTED_VALUE"""),30243.6666666666)</f>
        <v>30243.666666666599</v>
      </c>
      <c r="B715" s="1">
        <f ca="1">IFERROR(__xludf.DUMMYFUNCTION("""COMPUTED_VALUE"""),136.58)</f>
        <v>136.58000000000001</v>
      </c>
    </row>
    <row r="716" spans="1:2">
      <c r="A716" s="3">
        <f ca="1">IFERROR(__xludf.DUMMYFUNCTION("""COMPUTED_VALUE"""),30244.6666666666)</f>
        <v>30244.666666666599</v>
      </c>
      <c r="B716" s="1">
        <f ca="1">IFERROR(__xludf.DUMMYFUNCTION("""COMPUTED_VALUE"""),139.23)</f>
        <v>139.22999999999999</v>
      </c>
    </row>
    <row r="717" spans="1:2">
      <c r="A717" s="3">
        <f ca="1">IFERROR(__xludf.DUMMYFUNCTION("""COMPUTED_VALUE"""),30245.6666666666)</f>
        <v>30245.666666666599</v>
      </c>
      <c r="B717" s="1">
        <f ca="1">IFERROR(__xludf.DUMMYFUNCTION("""COMPUTED_VALUE"""),139.06)</f>
        <v>139.06</v>
      </c>
    </row>
    <row r="718" spans="1:2">
      <c r="A718" s="3">
        <f ca="1">IFERROR(__xludf.DUMMYFUNCTION("""COMPUTED_VALUE"""),30246.6666666666)</f>
        <v>30246.666666666599</v>
      </c>
      <c r="B718" s="1">
        <f ca="1">IFERROR(__xludf.DUMMYFUNCTION("""COMPUTED_VALUE"""),138.83)</f>
        <v>138.83000000000001</v>
      </c>
    </row>
    <row r="719" spans="1:2">
      <c r="A719" s="3">
        <f ca="1">IFERROR(__xludf.DUMMYFUNCTION("""COMPUTED_VALUE"""),30249.6666666666)</f>
        <v>30249.666666666599</v>
      </c>
      <c r="B719" s="1">
        <f ca="1">IFERROR(__xludf.DUMMYFUNCTION("""COMPUTED_VALUE"""),133.32)</f>
        <v>133.32</v>
      </c>
    </row>
    <row r="720" spans="1:2">
      <c r="A720" s="3">
        <f ca="1">IFERROR(__xludf.DUMMYFUNCTION("""COMPUTED_VALUE"""),30250.6666666666)</f>
        <v>30250.666666666599</v>
      </c>
      <c r="B720" s="1">
        <f ca="1">IFERROR(__xludf.DUMMYFUNCTION("""COMPUTED_VALUE"""),134.48)</f>
        <v>134.47999999999999</v>
      </c>
    </row>
    <row r="721" spans="1:2">
      <c r="A721" s="3">
        <f ca="1">IFERROR(__xludf.DUMMYFUNCTION("""COMPUTED_VALUE"""),30251.6666666666)</f>
        <v>30251.666666666599</v>
      </c>
      <c r="B721" s="1">
        <f ca="1">IFERROR(__xludf.DUMMYFUNCTION("""COMPUTED_VALUE"""),135.29)</f>
        <v>135.29</v>
      </c>
    </row>
    <row r="722" spans="1:2">
      <c r="A722" s="3">
        <f ca="1">IFERROR(__xludf.DUMMYFUNCTION("""COMPUTED_VALUE"""),30252.6666666666)</f>
        <v>30252.666666666599</v>
      </c>
      <c r="B722" s="1">
        <f ca="1">IFERROR(__xludf.DUMMYFUNCTION("""COMPUTED_VALUE"""),133.59)</f>
        <v>133.59</v>
      </c>
    </row>
    <row r="723" spans="1:2">
      <c r="A723" s="3">
        <f ca="1">IFERROR(__xludf.DUMMYFUNCTION("""COMPUTED_VALUE"""),30253.6666666666)</f>
        <v>30253.666666666599</v>
      </c>
      <c r="B723" s="1">
        <f ca="1">IFERROR(__xludf.DUMMYFUNCTION("""COMPUTED_VALUE"""),133.72)</f>
        <v>133.72</v>
      </c>
    </row>
    <row r="724" spans="1:2">
      <c r="A724" s="3">
        <f ca="1">IFERROR(__xludf.DUMMYFUNCTION("""COMPUTED_VALUE"""),30256.6666666666)</f>
        <v>30256.666666666599</v>
      </c>
      <c r="B724" s="1">
        <f ca="1">IFERROR(__xludf.DUMMYFUNCTION("""COMPUTED_VALUE"""),135.47)</f>
        <v>135.47</v>
      </c>
    </row>
    <row r="725" spans="1:2">
      <c r="A725" s="3">
        <f ca="1">IFERROR(__xludf.DUMMYFUNCTION("""COMPUTED_VALUE"""),30257.6666666666)</f>
        <v>30257.666666666599</v>
      </c>
      <c r="B725" s="1">
        <f ca="1">IFERROR(__xludf.DUMMYFUNCTION("""COMPUTED_VALUE"""),137.49)</f>
        <v>137.49</v>
      </c>
    </row>
    <row r="726" spans="1:2">
      <c r="A726" s="3">
        <f ca="1">IFERROR(__xludf.DUMMYFUNCTION("""COMPUTED_VALUE"""),30258.6666666666)</f>
        <v>30258.666666666599</v>
      </c>
      <c r="B726" s="1">
        <f ca="1">IFERROR(__xludf.DUMMYFUNCTION("""COMPUTED_VALUE"""),142.87)</f>
        <v>142.87</v>
      </c>
    </row>
    <row r="727" spans="1:2">
      <c r="A727" s="3">
        <f ca="1">IFERROR(__xludf.DUMMYFUNCTION("""COMPUTED_VALUE"""),30259.6666666666)</f>
        <v>30259.666666666599</v>
      </c>
      <c r="B727" s="1">
        <f ca="1">IFERROR(__xludf.DUMMYFUNCTION("""COMPUTED_VALUE"""),141.85)</f>
        <v>141.85</v>
      </c>
    </row>
    <row r="728" spans="1:2">
      <c r="A728" s="3">
        <f ca="1">IFERROR(__xludf.DUMMYFUNCTION("""COMPUTED_VALUE"""),30260.6666666666)</f>
        <v>30260.666666666599</v>
      </c>
      <c r="B728" s="1">
        <f ca="1">IFERROR(__xludf.DUMMYFUNCTION("""COMPUTED_VALUE"""),142.16)</f>
        <v>142.16</v>
      </c>
    </row>
    <row r="729" spans="1:2">
      <c r="A729" s="3">
        <f ca="1">IFERROR(__xludf.DUMMYFUNCTION("""COMPUTED_VALUE"""),30263.6666666666)</f>
        <v>30263.666666666599</v>
      </c>
      <c r="B729" s="1">
        <f ca="1">IFERROR(__xludf.DUMMYFUNCTION("""COMPUTED_VALUE"""),140.44)</f>
        <v>140.44</v>
      </c>
    </row>
    <row r="730" spans="1:2">
      <c r="A730" s="3">
        <f ca="1">IFERROR(__xludf.DUMMYFUNCTION("""COMPUTED_VALUE"""),30264.6666666666)</f>
        <v>30264.666666666599</v>
      </c>
      <c r="B730" s="1">
        <f ca="1">IFERROR(__xludf.DUMMYFUNCTION("""COMPUTED_VALUE"""),143.02)</f>
        <v>143.02000000000001</v>
      </c>
    </row>
    <row r="731" spans="1:2">
      <c r="A731" s="3">
        <f ca="1">IFERROR(__xludf.DUMMYFUNCTION("""COMPUTED_VALUE"""),30265.6666666666)</f>
        <v>30265.666666666599</v>
      </c>
      <c r="B731" s="1">
        <f ca="1">IFERROR(__xludf.DUMMYFUNCTION("""COMPUTED_VALUE"""),141.16)</f>
        <v>141.16</v>
      </c>
    </row>
    <row r="732" spans="1:2">
      <c r="A732" s="3">
        <f ca="1">IFERROR(__xludf.DUMMYFUNCTION("""COMPUTED_VALUE"""),30266.6666666666)</f>
        <v>30266.666666666599</v>
      </c>
      <c r="B732" s="1">
        <f ca="1">IFERROR(__xludf.DUMMYFUNCTION("""COMPUTED_VALUE"""),141.75)</f>
        <v>141.75</v>
      </c>
    </row>
    <row r="733" spans="1:2">
      <c r="A733" s="3">
        <f ca="1">IFERROR(__xludf.DUMMYFUNCTION("""COMPUTED_VALUE"""),30267.6666666666)</f>
        <v>30267.666666666599</v>
      </c>
      <c r="B733" s="1">
        <f ca="1">IFERROR(__xludf.DUMMYFUNCTION("""COMPUTED_VALUE"""),139.53)</f>
        <v>139.53</v>
      </c>
    </row>
    <row r="734" spans="1:2">
      <c r="A734" s="3">
        <f ca="1">IFERROR(__xludf.DUMMYFUNCTION("""COMPUTED_VALUE"""),30270.6666666666)</f>
        <v>30270.666666666599</v>
      </c>
      <c r="B734" s="1">
        <f ca="1">IFERROR(__xludf.DUMMYFUNCTION("""COMPUTED_VALUE"""),137.03)</f>
        <v>137.03</v>
      </c>
    </row>
    <row r="735" spans="1:2">
      <c r="A735" s="3">
        <f ca="1">IFERROR(__xludf.DUMMYFUNCTION("""COMPUTED_VALUE"""),30271.6666666666)</f>
        <v>30271.666666666599</v>
      </c>
      <c r="B735" s="1">
        <f ca="1">IFERROR(__xludf.DUMMYFUNCTION("""COMPUTED_VALUE"""),135.42)</f>
        <v>135.41999999999999</v>
      </c>
    </row>
    <row r="736" spans="1:2">
      <c r="A736" s="3">
        <f ca="1">IFERROR(__xludf.DUMMYFUNCTION("""COMPUTED_VALUE"""),30272.6666666666)</f>
        <v>30272.666666666599</v>
      </c>
      <c r="B736" s="1">
        <f ca="1">IFERROR(__xludf.DUMMYFUNCTION("""COMPUTED_VALUE"""),137.93)</f>
        <v>137.93</v>
      </c>
    </row>
    <row r="737" spans="1:2">
      <c r="A737" s="3">
        <f ca="1">IFERROR(__xludf.DUMMYFUNCTION("""COMPUTED_VALUE"""),30273.6666666666)</f>
        <v>30273.666666666599</v>
      </c>
      <c r="B737" s="1">
        <f ca="1">IFERROR(__xludf.DUMMYFUNCTION("""COMPUTED_VALUE"""),138.34)</f>
        <v>138.34</v>
      </c>
    </row>
    <row r="738" spans="1:2">
      <c r="A738" s="3">
        <f ca="1">IFERROR(__xludf.DUMMYFUNCTION("""COMPUTED_VALUE"""),30274.6666666666)</f>
        <v>30274.666666666599</v>
      </c>
      <c r="B738" s="1">
        <f ca="1">IFERROR(__xludf.DUMMYFUNCTION("""COMPUTED_VALUE"""),137.02)</f>
        <v>137.02000000000001</v>
      </c>
    </row>
    <row r="739" spans="1:2">
      <c r="A739" s="3">
        <f ca="1">IFERROR(__xludf.DUMMYFUNCTION("""COMPUTED_VALUE"""),30277.6666666666)</f>
        <v>30277.666666666599</v>
      </c>
      <c r="B739" s="1">
        <f ca="1">IFERROR(__xludf.DUMMYFUNCTION("""COMPUTED_VALUE"""),134.22)</f>
        <v>134.22</v>
      </c>
    </row>
    <row r="740" spans="1:2">
      <c r="A740" s="3">
        <f ca="1">IFERROR(__xludf.DUMMYFUNCTION("""COMPUTED_VALUE"""),30278.6666666666)</f>
        <v>30278.666666666599</v>
      </c>
      <c r="B740" s="1">
        <f ca="1">IFERROR(__xludf.DUMMYFUNCTION("""COMPUTED_VALUE"""),132.93)</f>
        <v>132.93</v>
      </c>
    </row>
    <row r="741" spans="1:2">
      <c r="A741" s="3">
        <f ca="1">IFERROR(__xludf.DUMMYFUNCTION("""COMPUTED_VALUE"""),30279.6666666666)</f>
        <v>30279.666666666599</v>
      </c>
      <c r="B741" s="1">
        <f ca="1">IFERROR(__xludf.DUMMYFUNCTION("""COMPUTED_VALUE"""),133.88)</f>
        <v>133.88</v>
      </c>
    </row>
    <row r="742" spans="1:2">
      <c r="A742" s="3">
        <f ca="1">IFERROR(__xludf.DUMMYFUNCTION("""COMPUTED_VALUE"""),30281.6666666666)</f>
        <v>30281.666666666599</v>
      </c>
      <c r="B742" s="1">
        <f ca="1">IFERROR(__xludf.DUMMYFUNCTION("""COMPUTED_VALUE"""),134.88)</f>
        <v>134.88</v>
      </c>
    </row>
    <row r="743" spans="1:2">
      <c r="A743" s="3">
        <f ca="1">IFERROR(__xludf.DUMMYFUNCTION("""COMPUTED_VALUE"""),30284.6666666666)</f>
        <v>30284.666666666599</v>
      </c>
      <c r="B743" s="1">
        <f ca="1">IFERROR(__xludf.DUMMYFUNCTION("""COMPUTED_VALUE"""),134.2)</f>
        <v>134.19999999999999</v>
      </c>
    </row>
    <row r="744" spans="1:2">
      <c r="A744" s="3">
        <f ca="1">IFERROR(__xludf.DUMMYFUNCTION("""COMPUTED_VALUE"""),30285.6666666666)</f>
        <v>30285.666666666599</v>
      </c>
      <c r="B744" s="1">
        <f ca="1">IFERROR(__xludf.DUMMYFUNCTION("""COMPUTED_VALUE"""),138.53)</f>
        <v>138.53</v>
      </c>
    </row>
    <row r="745" spans="1:2">
      <c r="A745" s="3">
        <f ca="1">IFERROR(__xludf.DUMMYFUNCTION("""COMPUTED_VALUE"""),30286.6666666666)</f>
        <v>30286.666666666599</v>
      </c>
      <c r="B745" s="1">
        <f ca="1">IFERROR(__xludf.DUMMYFUNCTION("""COMPUTED_VALUE"""),138.72)</f>
        <v>138.72</v>
      </c>
    </row>
    <row r="746" spans="1:2">
      <c r="A746" s="3">
        <f ca="1">IFERROR(__xludf.DUMMYFUNCTION("""COMPUTED_VALUE"""),30287.6666666666)</f>
        <v>30287.666666666599</v>
      </c>
      <c r="B746" s="1">
        <f ca="1">IFERROR(__xludf.DUMMYFUNCTION("""COMPUTED_VALUE"""),138.82)</f>
        <v>138.82</v>
      </c>
    </row>
    <row r="747" spans="1:2">
      <c r="A747" s="3">
        <f ca="1">IFERROR(__xludf.DUMMYFUNCTION("""COMPUTED_VALUE"""),30288.6666666666)</f>
        <v>30288.666666666599</v>
      </c>
      <c r="B747" s="1">
        <f ca="1">IFERROR(__xludf.DUMMYFUNCTION("""COMPUTED_VALUE"""),138.69)</f>
        <v>138.69</v>
      </c>
    </row>
    <row r="748" spans="1:2">
      <c r="A748" s="3">
        <f ca="1">IFERROR(__xludf.DUMMYFUNCTION("""COMPUTED_VALUE"""),30291.6666666666)</f>
        <v>30291.666666666599</v>
      </c>
      <c r="B748" s="1">
        <f ca="1">IFERROR(__xludf.DUMMYFUNCTION("""COMPUTED_VALUE"""),141.77)</f>
        <v>141.77000000000001</v>
      </c>
    </row>
    <row r="749" spans="1:2">
      <c r="A749" s="3">
        <f ca="1">IFERROR(__xludf.DUMMYFUNCTION("""COMPUTED_VALUE"""),30292.6666666666)</f>
        <v>30292.666666666599</v>
      </c>
      <c r="B749" s="1">
        <f ca="1">IFERROR(__xludf.DUMMYFUNCTION("""COMPUTED_VALUE"""),142.72)</f>
        <v>142.72</v>
      </c>
    </row>
    <row r="750" spans="1:2">
      <c r="A750" s="3">
        <f ca="1">IFERROR(__xludf.DUMMYFUNCTION("""COMPUTED_VALUE"""),30293.6666666666)</f>
        <v>30293.666666666599</v>
      </c>
      <c r="B750" s="1">
        <f ca="1">IFERROR(__xludf.DUMMYFUNCTION("""COMPUTED_VALUE"""),141.82)</f>
        <v>141.82</v>
      </c>
    </row>
    <row r="751" spans="1:2">
      <c r="A751" s="3">
        <f ca="1">IFERROR(__xludf.DUMMYFUNCTION("""COMPUTED_VALUE"""),30294.6666666666)</f>
        <v>30294.666666666599</v>
      </c>
      <c r="B751" s="1">
        <f ca="1">IFERROR(__xludf.DUMMYFUNCTION("""COMPUTED_VALUE"""),140)</f>
        <v>140</v>
      </c>
    </row>
    <row r="752" spans="1:2">
      <c r="A752" s="3">
        <f ca="1">IFERROR(__xludf.DUMMYFUNCTION("""COMPUTED_VALUE"""),30295.6666666666)</f>
        <v>30295.666666666599</v>
      </c>
      <c r="B752" s="1">
        <f ca="1">IFERROR(__xludf.DUMMYFUNCTION("""COMPUTED_VALUE"""),139.57)</f>
        <v>139.57</v>
      </c>
    </row>
    <row r="753" spans="1:2">
      <c r="A753" s="3">
        <f ca="1">IFERROR(__xludf.DUMMYFUNCTION("""COMPUTED_VALUE"""),30298.6666666666)</f>
        <v>30298.666666666599</v>
      </c>
      <c r="B753" s="1">
        <f ca="1">IFERROR(__xludf.DUMMYFUNCTION("""COMPUTED_VALUE"""),139.95)</f>
        <v>139.94999999999999</v>
      </c>
    </row>
    <row r="754" spans="1:2">
      <c r="A754" s="3">
        <f ca="1">IFERROR(__xludf.DUMMYFUNCTION("""COMPUTED_VALUE"""),30299.6666666666)</f>
        <v>30299.666666666599</v>
      </c>
      <c r="B754" s="1">
        <f ca="1">IFERROR(__xludf.DUMMYFUNCTION("""COMPUTED_VALUE"""),137.4)</f>
        <v>137.4</v>
      </c>
    </row>
    <row r="755" spans="1:2">
      <c r="A755" s="3">
        <f ca="1">IFERROR(__xludf.DUMMYFUNCTION("""COMPUTED_VALUE"""),30300.6666666666)</f>
        <v>30300.666666666599</v>
      </c>
      <c r="B755" s="1">
        <f ca="1">IFERROR(__xludf.DUMMYFUNCTION("""COMPUTED_VALUE"""),135.24)</f>
        <v>135.24</v>
      </c>
    </row>
    <row r="756" spans="1:2">
      <c r="A756" s="3">
        <f ca="1">IFERROR(__xludf.DUMMYFUNCTION("""COMPUTED_VALUE"""),30301.6666666666)</f>
        <v>30301.666666666599</v>
      </c>
      <c r="B756" s="1">
        <f ca="1">IFERROR(__xludf.DUMMYFUNCTION("""COMPUTED_VALUE"""),135.3)</f>
        <v>135.30000000000001</v>
      </c>
    </row>
    <row r="757" spans="1:2">
      <c r="A757" s="3">
        <f ca="1">IFERROR(__xludf.DUMMYFUNCTION("""COMPUTED_VALUE"""),30302.6666666666)</f>
        <v>30302.666666666599</v>
      </c>
      <c r="B757" s="1">
        <f ca="1">IFERROR(__xludf.DUMMYFUNCTION("""COMPUTED_VALUE"""),137.49)</f>
        <v>137.49</v>
      </c>
    </row>
    <row r="758" spans="1:2">
      <c r="A758" s="3">
        <f ca="1">IFERROR(__xludf.DUMMYFUNCTION("""COMPUTED_VALUE"""),30305.6666666666)</f>
        <v>30305.666666666599</v>
      </c>
      <c r="B758" s="1">
        <f ca="1">IFERROR(__xludf.DUMMYFUNCTION("""COMPUTED_VALUE"""),136.25)</f>
        <v>136.25</v>
      </c>
    </row>
    <row r="759" spans="1:2">
      <c r="A759" s="3">
        <f ca="1">IFERROR(__xludf.DUMMYFUNCTION("""COMPUTED_VALUE"""),30306.6666666666)</f>
        <v>30306.666666666599</v>
      </c>
      <c r="B759" s="1">
        <f ca="1">IFERROR(__xludf.DUMMYFUNCTION("""COMPUTED_VALUE"""),138.61)</f>
        <v>138.61000000000001</v>
      </c>
    </row>
    <row r="760" spans="1:2">
      <c r="A760" s="3">
        <f ca="1">IFERROR(__xludf.DUMMYFUNCTION("""COMPUTED_VALUE"""),30307.6666666666)</f>
        <v>30307.666666666599</v>
      </c>
      <c r="B760" s="1">
        <f ca="1">IFERROR(__xludf.DUMMYFUNCTION("""COMPUTED_VALUE"""),138.83)</f>
        <v>138.83000000000001</v>
      </c>
    </row>
    <row r="761" spans="1:2">
      <c r="A761" s="3">
        <f ca="1">IFERROR(__xludf.DUMMYFUNCTION("""COMPUTED_VALUE"""),30308.6666666666)</f>
        <v>30308.666666666599</v>
      </c>
      <c r="B761" s="1">
        <f ca="1">IFERROR(__xludf.DUMMYFUNCTION("""COMPUTED_VALUE"""),139.72)</f>
        <v>139.72</v>
      </c>
    </row>
    <row r="762" spans="1:2">
      <c r="A762" s="3">
        <f ca="1">IFERROR(__xludf.DUMMYFUNCTION("""COMPUTED_VALUE"""),30312.6666666666)</f>
        <v>30312.666666666599</v>
      </c>
      <c r="B762" s="1">
        <f ca="1">IFERROR(__xludf.DUMMYFUNCTION("""COMPUTED_VALUE"""),142.17)</f>
        <v>142.16999999999999</v>
      </c>
    </row>
    <row r="763" spans="1:2">
      <c r="A763" s="3">
        <f ca="1">IFERROR(__xludf.DUMMYFUNCTION("""COMPUTED_VALUE"""),30313.6666666666)</f>
        <v>30313.666666666599</v>
      </c>
      <c r="B763" s="1">
        <f ca="1">IFERROR(__xludf.DUMMYFUNCTION("""COMPUTED_VALUE"""),140.77)</f>
        <v>140.77000000000001</v>
      </c>
    </row>
    <row r="764" spans="1:2">
      <c r="A764" s="3">
        <f ca="1">IFERROR(__xludf.DUMMYFUNCTION("""COMPUTED_VALUE"""),30314.6666666666)</f>
        <v>30314.666666666599</v>
      </c>
      <c r="B764" s="1">
        <f ca="1">IFERROR(__xludf.DUMMYFUNCTION("""COMPUTED_VALUE"""),141.24)</f>
        <v>141.24</v>
      </c>
    </row>
    <row r="765" spans="1:2">
      <c r="A765" s="3">
        <f ca="1">IFERROR(__xludf.DUMMYFUNCTION("""COMPUTED_VALUE"""),30315.6666666666)</f>
        <v>30315.666666666599</v>
      </c>
      <c r="B765" s="1">
        <f ca="1">IFERROR(__xludf.DUMMYFUNCTION("""COMPUTED_VALUE"""),140.33)</f>
        <v>140.33000000000001</v>
      </c>
    </row>
    <row r="766" spans="1:2">
      <c r="A766" s="3">
        <f ca="1">IFERROR(__xludf.DUMMYFUNCTION("""COMPUTED_VALUE"""),30316.6666666666)</f>
        <v>30316.666666666599</v>
      </c>
      <c r="B766" s="1">
        <f ca="1">IFERROR(__xludf.DUMMYFUNCTION("""COMPUTED_VALUE"""),140.64)</f>
        <v>140.63999999999999</v>
      </c>
    </row>
    <row r="767" spans="1:2">
      <c r="A767" s="3">
        <f ca="1">IFERROR(__xludf.DUMMYFUNCTION("""COMPUTED_VALUE"""),30319.6666666666)</f>
        <v>30319.666666666599</v>
      </c>
      <c r="B767" s="1">
        <f ca="1">IFERROR(__xludf.DUMMYFUNCTION("""COMPUTED_VALUE"""),138.34)</f>
        <v>138.34</v>
      </c>
    </row>
    <row r="768" spans="1:2">
      <c r="A768" s="3">
        <f ca="1">IFERROR(__xludf.DUMMYFUNCTION("""COMPUTED_VALUE"""),30320.6666666666)</f>
        <v>30320.666666666599</v>
      </c>
      <c r="B768" s="1">
        <f ca="1">IFERROR(__xludf.DUMMYFUNCTION("""COMPUTED_VALUE"""),141.36)</f>
        <v>141.36000000000001</v>
      </c>
    </row>
    <row r="769" spans="1:2">
      <c r="A769" s="3">
        <f ca="1">IFERROR(__xludf.DUMMYFUNCTION("""COMPUTED_VALUE"""),30321.6666666666)</f>
        <v>30321.666666666599</v>
      </c>
      <c r="B769" s="1">
        <f ca="1">IFERROR(__xludf.DUMMYFUNCTION("""COMPUTED_VALUE"""),141.96)</f>
        <v>141.96</v>
      </c>
    </row>
    <row r="770" spans="1:2">
      <c r="A770" s="3">
        <f ca="1">IFERROR(__xludf.DUMMYFUNCTION("""COMPUTED_VALUE"""),30322.6666666666)</f>
        <v>30322.666666666599</v>
      </c>
      <c r="B770" s="1">
        <f ca="1">IFERROR(__xludf.DUMMYFUNCTION("""COMPUTED_VALUE"""),145.27)</f>
        <v>145.27000000000001</v>
      </c>
    </row>
    <row r="771" spans="1:2">
      <c r="A771" s="3">
        <f ca="1">IFERROR(__xludf.DUMMYFUNCTION("""COMPUTED_VALUE"""),30323.6666666666)</f>
        <v>30323.666666666599</v>
      </c>
      <c r="B771" s="1">
        <f ca="1">IFERROR(__xludf.DUMMYFUNCTION("""COMPUTED_VALUE"""),145.18)</f>
        <v>145.18</v>
      </c>
    </row>
    <row r="772" spans="1:2">
      <c r="A772" s="3">
        <f ca="1">IFERROR(__xludf.DUMMYFUNCTION("""COMPUTED_VALUE"""),30326.6666666666)</f>
        <v>30326.666666666599</v>
      </c>
      <c r="B772" s="1">
        <f ca="1">IFERROR(__xludf.DUMMYFUNCTION("""COMPUTED_VALUE"""),146.78)</f>
        <v>146.78</v>
      </c>
    </row>
    <row r="773" spans="1:2">
      <c r="A773" s="3">
        <f ca="1">IFERROR(__xludf.DUMMYFUNCTION("""COMPUTED_VALUE"""),30327.6666666666)</f>
        <v>30327.666666666599</v>
      </c>
      <c r="B773" s="1">
        <f ca="1">IFERROR(__xludf.DUMMYFUNCTION("""COMPUTED_VALUE"""),145.78)</f>
        <v>145.78</v>
      </c>
    </row>
    <row r="774" spans="1:2">
      <c r="A774" s="3">
        <f ca="1">IFERROR(__xludf.DUMMYFUNCTION("""COMPUTED_VALUE"""),30328.6666666666)</f>
        <v>30328.666666666599</v>
      </c>
      <c r="B774" s="1">
        <f ca="1">IFERROR(__xludf.DUMMYFUNCTION("""COMPUTED_VALUE"""),146.69)</f>
        <v>146.69</v>
      </c>
    </row>
    <row r="775" spans="1:2">
      <c r="A775" s="3">
        <f ca="1">IFERROR(__xludf.DUMMYFUNCTION("""COMPUTED_VALUE"""),30329.6666666666)</f>
        <v>30329.666666666599</v>
      </c>
      <c r="B775" s="1">
        <f ca="1">IFERROR(__xludf.DUMMYFUNCTION("""COMPUTED_VALUE"""),145.73)</f>
        <v>145.72999999999999</v>
      </c>
    </row>
    <row r="776" spans="1:2">
      <c r="A776" s="3">
        <f ca="1">IFERROR(__xludf.DUMMYFUNCTION("""COMPUTED_VALUE"""),30330.6666666666)</f>
        <v>30330.666666666599</v>
      </c>
      <c r="B776" s="1">
        <f ca="1">IFERROR(__xludf.DUMMYFUNCTION("""COMPUTED_VALUE"""),146.65)</f>
        <v>146.65</v>
      </c>
    </row>
    <row r="777" spans="1:2">
      <c r="A777" s="3">
        <f ca="1">IFERROR(__xludf.DUMMYFUNCTION("""COMPUTED_VALUE"""),30333.6666666666)</f>
        <v>30333.666666666599</v>
      </c>
      <c r="B777" s="1">
        <f ca="1">IFERROR(__xludf.DUMMYFUNCTION("""COMPUTED_VALUE"""),146.72)</f>
        <v>146.72</v>
      </c>
    </row>
    <row r="778" spans="1:2">
      <c r="A778" s="3">
        <f ca="1">IFERROR(__xludf.DUMMYFUNCTION("""COMPUTED_VALUE"""),30334.6666666666)</f>
        <v>30334.666666666599</v>
      </c>
      <c r="B778" s="1">
        <f ca="1">IFERROR(__xludf.DUMMYFUNCTION("""COMPUTED_VALUE"""),146.4)</f>
        <v>146.4</v>
      </c>
    </row>
    <row r="779" spans="1:2">
      <c r="A779" s="3">
        <f ca="1">IFERROR(__xludf.DUMMYFUNCTION("""COMPUTED_VALUE"""),30335.6666666666)</f>
        <v>30335.666666666599</v>
      </c>
      <c r="B779" s="1">
        <f ca="1">IFERROR(__xludf.DUMMYFUNCTION("""COMPUTED_VALUE"""),145.27)</f>
        <v>145.27000000000001</v>
      </c>
    </row>
    <row r="780" spans="1:2">
      <c r="A780" s="3">
        <f ca="1">IFERROR(__xludf.DUMMYFUNCTION("""COMPUTED_VALUE"""),30336.6666666666)</f>
        <v>30336.666666666599</v>
      </c>
      <c r="B780" s="1">
        <f ca="1">IFERROR(__xludf.DUMMYFUNCTION("""COMPUTED_VALUE"""),146.29)</f>
        <v>146.29</v>
      </c>
    </row>
    <row r="781" spans="1:2">
      <c r="A781" s="3">
        <f ca="1">IFERROR(__xludf.DUMMYFUNCTION("""COMPUTED_VALUE"""),30337.6666666666)</f>
        <v>30337.666666666599</v>
      </c>
      <c r="B781" s="1">
        <f ca="1">IFERROR(__xludf.DUMMYFUNCTION("""COMPUTED_VALUE"""),143.85)</f>
        <v>143.85</v>
      </c>
    </row>
    <row r="782" spans="1:2">
      <c r="A782" s="3">
        <f ca="1">IFERROR(__xludf.DUMMYFUNCTION("""COMPUTED_VALUE"""),30340.6666666666)</f>
        <v>30340.666666666599</v>
      </c>
      <c r="B782" s="1">
        <f ca="1">IFERROR(__xludf.DUMMYFUNCTION("""COMPUTED_VALUE"""),139.97)</f>
        <v>139.97</v>
      </c>
    </row>
    <row r="783" spans="1:2">
      <c r="A783" s="3">
        <f ca="1">IFERROR(__xludf.DUMMYFUNCTION("""COMPUTED_VALUE"""),30341.6666666666)</f>
        <v>30341.666666666599</v>
      </c>
      <c r="B783" s="1">
        <f ca="1">IFERROR(__xludf.DUMMYFUNCTION("""COMPUTED_VALUE"""),141.75)</f>
        <v>141.75</v>
      </c>
    </row>
    <row r="784" spans="1:2">
      <c r="A784" s="3">
        <f ca="1">IFERROR(__xludf.DUMMYFUNCTION("""COMPUTED_VALUE"""),30342.6666666666)</f>
        <v>30342.666666666599</v>
      </c>
      <c r="B784" s="1">
        <f ca="1">IFERROR(__xludf.DUMMYFUNCTION("""COMPUTED_VALUE"""),141.54)</f>
        <v>141.54</v>
      </c>
    </row>
    <row r="785" spans="1:2">
      <c r="A785" s="3">
        <f ca="1">IFERROR(__xludf.DUMMYFUNCTION("""COMPUTED_VALUE"""),30343.6666666666)</f>
        <v>30343.666666666599</v>
      </c>
      <c r="B785" s="1">
        <f ca="1">IFERROR(__xludf.DUMMYFUNCTION("""COMPUTED_VALUE"""),144.27)</f>
        <v>144.27000000000001</v>
      </c>
    </row>
    <row r="786" spans="1:2">
      <c r="A786" s="3">
        <f ca="1">IFERROR(__xludf.DUMMYFUNCTION("""COMPUTED_VALUE"""),30344.6666666666)</f>
        <v>30344.666666666599</v>
      </c>
      <c r="B786" s="1">
        <f ca="1">IFERROR(__xludf.DUMMYFUNCTION("""COMPUTED_VALUE"""),144.51)</f>
        <v>144.51</v>
      </c>
    </row>
    <row r="787" spans="1:2">
      <c r="A787" s="3">
        <f ca="1">IFERROR(__xludf.DUMMYFUNCTION("""COMPUTED_VALUE"""),30347.6666666666)</f>
        <v>30347.666666666599</v>
      </c>
      <c r="B787" s="1">
        <f ca="1">IFERROR(__xludf.DUMMYFUNCTION("""COMPUTED_VALUE"""),145.3)</f>
        <v>145.30000000000001</v>
      </c>
    </row>
    <row r="788" spans="1:2">
      <c r="A788" s="3">
        <f ca="1">IFERROR(__xludf.DUMMYFUNCTION("""COMPUTED_VALUE"""),30348.6666666666)</f>
        <v>30348.666666666599</v>
      </c>
      <c r="B788" s="1">
        <f ca="1">IFERROR(__xludf.DUMMYFUNCTION("""COMPUTED_VALUE"""),142.96)</f>
        <v>142.96</v>
      </c>
    </row>
    <row r="789" spans="1:2">
      <c r="A789" s="3">
        <f ca="1">IFERROR(__xludf.DUMMYFUNCTION("""COMPUTED_VALUE"""),30349.6666666666)</f>
        <v>30349.666666666599</v>
      </c>
      <c r="B789" s="1">
        <f ca="1">IFERROR(__xludf.DUMMYFUNCTION("""COMPUTED_VALUE"""),143.23)</f>
        <v>143.22999999999999</v>
      </c>
    </row>
    <row r="790" spans="1:2">
      <c r="A790" s="3">
        <f ca="1">IFERROR(__xludf.DUMMYFUNCTION("""COMPUTED_VALUE"""),30350.6666666666)</f>
        <v>30350.666666666599</v>
      </c>
      <c r="B790" s="1">
        <f ca="1">IFERROR(__xludf.DUMMYFUNCTION("""COMPUTED_VALUE"""),144.26)</f>
        <v>144.26</v>
      </c>
    </row>
    <row r="791" spans="1:2">
      <c r="A791" s="3">
        <f ca="1">IFERROR(__xludf.DUMMYFUNCTION("""COMPUTED_VALUE"""),30351.6666666666)</f>
        <v>30351.666666666599</v>
      </c>
      <c r="B791" s="1">
        <f ca="1">IFERROR(__xludf.DUMMYFUNCTION("""COMPUTED_VALUE"""),146.14)</f>
        <v>146.13999999999999</v>
      </c>
    </row>
    <row r="792" spans="1:2">
      <c r="A792" s="3">
        <f ca="1">IFERROR(__xludf.DUMMYFUNCTION("""COMPUTED_VALUE"""),30354.6666666666)</f>
        <v>30354.666666666599</v>
      </c>
      <c r="B792" s="1">
        <f ca="1">IFERROR(__xludf.DUMMYFUNCTION("""COMPUTED_VALUE"""),146.93)</f>
        <v>146.93</v>
      </c>
    </row>
    <row r="793" spans="1:2">
      <c r="A793" s="3">
        <f ca="1">IFERROR(__xludf.DUMMYFUNCTION("""COMPUTED_VALUE"""),30355.6666666666)</f>
        <v>30355.666666666599</v>
      </c>
      <c r="B793" s="1">
        <f ca="1">IFERROR(__xludf.DUMMYFUNCTION("""COMPUTED_VALUE"""),145.7)</f>
        <v>145.69999999999999</v>
      </c>
    </row>
    <row r="794" spans="1:2">
      <c r="A794" s="3">
        <f ca="1">IFERROR(__xludf.DUMMYFUNCTION("""COMPUTED_VALUE"""),30356.6666666666)</f>
        <v>30356.666666666599</v>
      </c>
      <c r="B794" s="1">
        <f ca="1">IFERROR(__xludf.DUMMYFUNCTION("""COMPUTED_VALUE"""),145)</f>
        <v>145</v>
      </c>
    </row>
    <row r="795" spans="1:2">
      <c r="A795" s="3">
        <f ca="1">IFERROR(__xludf.DUMMYFUNCTION("""COMPUTED_VALUE"""),30357.6666666666)</f>
        <v>30357.666666666599</v>
      </c>
      <c r="B795" s="1">
        <f ca="1">IFERROR(__xludf.DUMMYFUNCTION("""COMPUTED_VALUE"""),147.5)</f>
        <v>147.5</v>
      </c>
    </row>
    <row r="796" spans="1:2">
      <c r="A796" s="3">
        <f ca="1">IFERROR(__xludf.DUMMYFUNCTION("""COMPUTED_VALUE"""),30358.6666666666)</f>
        <v>30358.666666666599</v>
      </c>
      <c r="B796" s="1">
        <f ca="1">IFERROR(__xludf.DUMMYFUNCTION("""COMPUTED_VALUE"""),147.65)</f>
        <v>147.65</v>
      </c>
    </row>
    <row r="797" spans="1:2">
      <c r="A797" s="3">
        <f ca="1">IFERROR(__xludf.DUMMYFUNCTION("""COMPUTED_VALUE"""),30361.6666666666)</f>
        <v>30361.666666666599</v>
      </c>
      <c r="B797" s="1">
        <f ca="1">IFERROR(__xludf.DUMMYFUNCTION("""COMPUTED_VALUE"""),148.93)</f>
        <v>148.93</v>
      </c>
    </row>
    <row r="798" spans="1:2">
      <c r="A798" s="3">
        <f ca="1">IFERROR(__xludf.DUMMYFUNCTION("""COMPUTED_VALUE"""),30362.6666666666)</f>
        <v>30362.666666666599</v>
      </c>
      <c r="B798" s="1">
        <f ca="1">IFERROR(__xludf.DUMMYFUNCTION("""COMPUTED_VALUE"""),148.3)</f>
        <v>148.30000000000001</v>
      </c>
    </row>
    <row r="799" spans="1:2">
      <c r="A799" s="3">
        <f ca="1">IFERROR(__xludf.DUMMYFUNCTION("""COMPUTED_VALUE"""),30363.6666666666)</f>
        <v>30363.666666666599</v>
      </c>
      <c r="B799" s="1">
        <f ca="1">IFERROR(__xludf.DUMMYFUNCTION("""COMPUTED_VALUE"""),147.43)</f>
        <v>147.43</v>
      </c>
    </row>
    <row r="800" spans="1:2">
      <c r="A800" s="3">
        <f ca="1">IFERROR(__xludf.DUMMYFUNCTION("""COMPUTED_VALUE"""),30364.6666666666)</f>
        <v>30364.666666666599</v>
      </c>
      <c r="B800" s="1">
        <f ca="1">IFERROR(__xludf.DUMMYFUNCTION("""COMPUTED_VALUE"""),147.44)</f>
        <v>147.44</v>
      </c>
    </row>
    <row r="801" spans="1:2">
      <c r="A801" s="3">
        <f ca="1">IFERROR(__xludf.DUMMYFUNCTION("""COMPUTED_VALUE"""),30365.6666666666)</f>
        <v>30365.666666666599</v>
      </c>
      <c r="B801" s="1">
        <f ca="1">IFERROR(__xludf.DUMMYFUNCTION("""COMPUTED_VALUE"""),148)</f>
        <v>148</v>
      </c>
    </row>
    <row r="802" spans="1:2">
      <c r="A802" s="3">
        <f ca="1">IFERROR(__xludf.DUMMYFUNCTION("""COMPUTED_VALUE"""),30368.6666666666)</f>
        <v>30368.666666666599</v>
      </c>
      <c r="B802" s="1">
        <f ca="1">IFERROR(__xludf.DUMMYFUNCTION("""COMPUTED_VALUE"""),145.48)</f>
        <v>145.47999999999999</v>
      </c>
    </row>
    <row r="803" spans="1:2">
      <c r="A803" s="3">
        <f ca="1">IFERROR(__xludf.DUMMYFUNCTION("""COMPUTED_VALUE"""),30369.6666666666)</f>
        <v>30369.666666666599</v>
      </c>
      <c r="B803" s="1">
        <f ca="1">IFERROR(__xludf.DUMMYFUNCTION("""COMPUTED_VALUE"""),145.48)</f>
        <v>145.47999999999999</v>
      </c>
    </row>
    <row r="804" spans="1:2">
      <c r="A804" s="3">
        <f ca="1">IFERROR(__xludf.DUMMYFUNCTION("""COMPUTED_VALUE"""),30370.6666666666)</f>
        <v>30370.666666666599</v>
      </c>
      <c r="B804" s="1">
        <f ca="1">IFERROR(__xludf.DUMMYFUNCTION("""COMPUTED_VALUE"""),146.79)</f>
        <v>146.79</v>
      </c>
    </row>
    <row r="805" spans="1:2">
      <c r="A805" s="3">
        <f ca="1">IFERROR(__xludf.DUMMYFUNCTION("""COMPUTED_VALUE"""),30371.6666666666)</f>
        <v>30371.666666666599</v>
      </c>
      <c r="B805" s="1">
        <f ca="1">IFERROR(__xludf.DUMMYFUNCTION("""COMPUTED_VALUE"""),149.6)</f>
        <v>149.6</v>
      </c>
    </row>
    <row r="806" spans="1:2">
      <c r="A806" s="3">
        <f ca="1">IFERROR(__xludf.DUMMYFUNCTION("""COMPUTED_VALUE"""),30372.6666666666)</f>
        <v>30372.666666666599</v>
      </c>
      <c r="B806" s="1">
        <f ca="1">IFERROR(__xludf.DUMMYFUNCTION("""COMPUTED_VALUE"""),149.74)</f>
        <v>149.74</v>
      </c>
    </row>
    <row r="807" spans="1:2">
      <c r="A807" s="3">
        <f ca="1">IFERROR(__xludf.DUMMYFUNCTION("""COMPUTED_VALUE"""),30375.6666666666)</f>
        <v>30375.666666666599</v>
      </c>
      <c r="B807" s="1">
        <f ca="1">IFERROR(__xludf.DUMMYFUNCTION("""COMPUTED_VALUE"""),148.06)</f>
        <v>148.06</v>
      </c>
    </row>
    <row r="808" spans="1:2">
      <c r="A808" s="3">
        <f ca="1">IFERROR(__xludf.DUMMYFUNCTION("""COMPUTED_VALUE"""),30376.6666666666)</f>
        <v>30376.666666666599</v>
      </c>
      <c r="B808" s="1">
        <f ca="1">IFERROR(__xludf.DUMMYFUNCTION("""COMPUTED_VALUE"""),150.88)</f>
        <v>150.88</v>
      </c>
    </row>
    <row r="809" spans="1:2">
      <c r="A809" s="3">
        <f ca="1">IFERROR(__xludf.DUMMYFUNCTION("""COMPUTED_VALUE"""),30377.6666666666)</f>
        <v>30377.666666666599</v>
      </c>
      <c r="B809" s="1">
        <f ca="1">IFERROR(__xludf.DUMMYFUNCTION("""COMPUTED_VALUE"""),152.3)</f>
        <v>152.30000000000001</v>
      </c>
    </row>
    <row r="810" spans="1:2">
      <c r="A810" s="3">
        <f ca="1">IFERROR(__xludf.DUMMYFUNCTION("""COMPUTED_VALUE"""),30378.6666666666)</f>
        <v>30378.666666666599</v>
      </c>
      <c r="B810" s="1">
        <f ca="1">IFERROR(__xludf.DUMMYFUNCTION("""COMPUTED_VALUE"""),153.48)</f>
        <v>153.47999999999999</v>
      </c>
    </row>
    <row r="811" spans="1:2">
      <c r="A811" s="3">
        <f ca="1">IFERROR(__xludf.DUMMYFUNCTION("""COMPUTED_VALUE"""),30379.6666666666)</f>
        <v>30379.666666666599</v>
      </c>
      <c r="B811" s="1">
        <f ca="1">IFERROR(__xludf.DUMMYFUNCTION("""COMPUTED_VALUE"""),153.67)</f>
        <v>153.66999999999999</v>
      </c>
    </row>
    <row r="812" spans="1:2">
      <c r="A812" s="3">
        <f ca="1">IFERROR(__xludf.DUMMYFUNCTION("""COMPUTED_VALUE"""),30382.6666666666)</f>
        <v>30382.666666666599</v>
      </c>
      <c r="B812" s="1">
        <f ca="1">IFERROR(__xludf.DUMMYFUNCTION("""COMPUTED_VALUE"""),153.67)</f>
        <v>153.66999999999999</v>
      </c>
    </row>
    <row r="813" spans="1:2">
      <c r="A813" s="3">
        <f ca="1">IFERROR(__xludf.DUMMYFUNCTION("""COMPUTED_VALUE"""),30383.6666666666)</f>
        <v>30383.666666666599</v>
      </c>
      <c r="B813" s="1">
        <f ca="1">IFERROR(__xludf.DUMMYFUNCTION("""COMPUTED_VALUE"""),151.26)</f>
        <v>151.26</v>
      </c>
    </row>
    <row r="814" spans="1:2">
      <c r="A814" s="3">
        <f ca="1">IFERROR(__xludf.DUMMYFUNCTION("""COMPUTED_VALUE"""),30384.6666666666)</f>
        <v>30384.666666666599</v>
      </c>
      <c r="B814" s="1">
        <f ca="1">IFERROR(__xludf.DUMMYFUNCTION("""COMPUTED_VALUE"""),152.87)</f>
        <v>152.87</v>
      </c>
    </row>
    <row r="815" spans="1:2">
      <c r="A815" s="3">
        <f ca="1">IFERROR(__xludf.DUMMYFUNCTION("""COMPUTED_VALUE"""),30385.6666666666)</f>
        <v>30385.666666666599</v>
      </c>
      <c r="B815" s="1">
        <f ca="1">IFERROR(__xludf.DUMMYFUNCTION("""COMPUTED_VALUE"""),151.8)</f>
        <v>151.80000000000001</v>
      </c>
    </row>
    <row r="816" spans="1:2">
      <c r="A816" s="3">
        <f ca="1">IFERROR(__xludf.DUMMYFUNCTION("""COMPUTED_VALUE"""),30386.6666666666)</f>
        <v>30386.666666666599</v>
      </c>
      <c r="B816" s="1">
        <f ca="1">IFERROR(__xludf.DUMMYFUNCTION("""COMPUTED_VALUE"""),151.24)</f>
        <v>151.24</v>
      </c>
    </row>
    <row r="817" spans="1:2">
      <c r="A817" s="3">
        <f ca="1">IFERROR(__xludf.DUMMYFUNCTION("""COMPUTED_VALUE"""),30389.6666666666)</f>
        <v>30389.666666666599</v>
      </c>
      <c r="B817" s="1">
        <f ca="1">IFERROR(__xludf.DUMMYFUNCTION("""COMPUTED_VALUE"""),150.83)</f>
        <v>150.83000000000001</v>
      </c>
    </row>
    <row r="818" spans="1:2">
      <c r="A818" s="3">
        <f ca="1">IFERROR(__xludf.DUMMYFUNCTION("""COMPUTED_VALUE"""),30390.6666666666)</f>
        <v>30390.666666666599</v>
      </c>
      <c r="B818" s="1">
        <f ca="1">IFERROR(__xludf.DUMMYFUNCTION("""COMPUTED_VALUE"""),151.37)</f>
        <v>151.37</v>
      </c>
    </row>
    <row r="819" spans="1:2">
      <c r="A819" s="3">
        <f ca="1">IFERROR(__xludf.DUMMYFUNCTION("""COMPUTED_VALUE"""),30391.6666666666)</f>
        <v>30391.666666666599</v>
      </c>
      <c r="B819" s="1">
        <f ca="1">IFERROR(__xludf.DUMMYFUNCTION("""COMPUTED_VALUE"""),149.81)</f>
        <v>149.81</v>
      </c>
    </row>
    <row r="820" spans="1:2">
      <c r="A820" s="3">
        <f ca="1">IFERROR(__xludf.DUMMYFUNCTION("""COMPUTED_VALUE"""),30392.6666666666)</f>
        <v>30392.666666666599</v>
      </c>
      <c r="B820" s="1">
        <f ca="1">IFERROR(__xludf.DUMMYFUNCTION("""COMPUTED_VALUE"""),149.59)</f>
        <v>149.59</v>
      </c>
    </row>
    <row r="821" spans="1:2">
      <c r="A821" s="3">
        <f ca="1">IFERROR(__xludf.DUMMYFUNCTION("""COMPUTED_VALUE"""),30393.6666666666)</f>
        <v>30393.666666666599</v>
      </c>
      <c r="B821" s="1">
        <f ca="1">IFERROR(__xludf.DUMMYFUNCTION("""COMPUTED_VALUE"""),149.9)</f>
        <v>149.9</v>
      </c>
    </row>
    <row r="822" spans="1:2">
      <c r="A822" s="3">
        <f ca="1">IFERROR(__xludf.DUMMYFUNCTION("""COMPUTED_VALUE"""),30396.6666666666)</f>
        <v>30396.666666666599</v>
      </c>
      <c r="B822" s="1">
        <f ca="1">IFERROR(__xludf.DUMMYFUNCTION("""COMPUTED_VALUE"""),151.19)</f>
        <v>151.19</v>
      </c>
    </row>
    <row r="823" spans="1:2">
      <c r="A823" s="3">
        <f ca="1">IFERROR(__xludf.DUMMYFUNCTION("""COMPUTED_VALUE"""),30397.6666666666)</f>
        <v>30397.666666666599</v>
      </c>
      <c r="B823" s="1">
        <f ca="1">IFERROR(__xludf.DUMMYFUNCTION("""COMPUTED_VALUE"""),150.66)</f>
        <v>150.66</v>
      </c>
    </row>
    <row r="824" spans="1:2">
      <c r="A824" s="3">
        <f ca="1">IFERROR(__xludf.DUMMYFUNCTION("""COMPUTED_VALUE"""),30398.6666666666)</f>
        <v>30398.666666666599</v>
      </c>
      <c r="B824" s="1">
        <f ca="1">IFERROR(__xludf.DUMMYFUNCTION("""COMPUTED_VALUE"""),152.81)</f>
        <v>152.81</v>
      </c>
    </row>
    <row r="825" spans="1:2">
      <c r="A825" s="3">
        <f ca="1">IFERROR(__xludf.DUMMYFUNCTION("""COMPUTED_VALUE"""),30399.6666666666)</f>
        <v>30399.666666666599</v>
      </c>
      <c r="B825" s="1">
        <f ca="1">IFERROR(__xludf.DUMMYFUNCTION("""COMPUTED_VALUE"""),153.37)</f>
        <v>153.37</v>
      </c>
    </row>
    <row r="826" spans="1:2">
      <c r="A826" s="3">
        <f ca="1">IFERROR(__xludf.DUMMYFUNCTION("""COMPUTED_VALUE"""),30400.6666666666)</f>
        <v>30400.666666666599</v>
      </c>
      <c r="B826" s="1">
        <f ca="1">IFERROR(__xludf.DUMMYFUNCTION("""COMPUTED_VALUE"""),152.67)</f>
        <v>152.66999999999999</v>
      </c>
    </row>
    <row r="827" spans="1:2">
      <c r="A827" s="3">
        <f ca="1">IFERROR(__xludf.DUMMYFUNCTION("""COMPUTED_VALUE"""),30403.6666666666)</f>
        <v>30403.666666666599</v>
      </c>
      <c r="B827" s="1">
        <f ca="1">IFERROR(__xludf.DUMMYFUNCTION("""COMPUTED_VALUE"""),151.85)</f>
        <v>151.85</v>
      </c>
    </row>
    <row r="828" spans="1:2">
      <c r="A828" s="3">
        <f ca="1">IFERROR(__xludf.DUMMYFUNCTION("""COMPUTED_VALUE"""),30404.6666666666)</f>
        <v>30404.666666666599</v>
      </c>
      <c r="B828" s="1">
        <f ca="1">IFERROR(__xludf.DUMMYFUNCTION("""COMPUTED_VALUE"""),151.59)</f>
        <v>151.59</v>
      </c>
    </row>
    <row r="829" spans="1:2">
      <c r="A829" s="3">
        <f ca="1">IFERROR(__xludf.DUMMYFUNCTION("""COMPUTED_VALUE"""),30405.6666666666)</f>
        <v>30405.666666666599</v>
      </c>
      <c r="B829" s="1">
        <f ca="1">IFERROR(__xludf.DUMMYFUNCTION("""COMPUTED_VALUE"""),153.39)</f>
        <v>153.38999999999999</v>
      </c>
    </row>
    <row r="830" spans="1:2">
      <c r="A830" s="3">
        <f ca="1">IFERROR(__xludf.DUMMYFUNCTION("""COMPUTED_VALUE"""),30406.6666666666)</f>
        <v>30406.666666666599</v>
      </c>
      <c r="B830" s="1">
        <f ca="1">IFERROR(__xludf.DUMMYFUNCTION("""COMPUTED_VALUE"""),152.96)</f>
        <v>152.96</v>
      </c>
    </row>
    <row r="831" spans="1:2">
      <c r="A831" s="3">
        <f ca="1">IFERROR(__xludf.DUMMYFUNCTION("""COMPUTED_VALUE"""),30407.6666666666)</f>
        <v>30407.666666666599</v>
      </c>
      <c r="B831" s="1">
        <f ca="1">IFERROR(__xludf.DUMMYFUNCTION("""COMPUTED_VALUE"""),153.02)</f>
        <v>153.02000000000001</v>
      </c>
    </row>
    <row r="832" spans="1:2">
      <c r="A832" s="3">
        <f ca="1">IFERROR(__xludf.DUMMYFUNCTION("""COMPUTED_VALUE"""),30410.6666666666)</f>
        <v>30410.666666666599</v>
      </c>
      <c r="B832" s="1">
        <f ca="1">IFERROR(__xludf.DUMMYFUNCTION("""COMPUTED_VALUE"""),153.02)</f>
        <v>153.02000000000001</v>
      </c>
    </row>
    <row r="833" spans="1:2">
      <c r="A833" s="3">
        <f ca="1">IFERROR(__xludf.DUMMYFUNCTION("""COMPUTED_VALUE"""),30411.6666666666)</f>
        <v>30411.666666666599</v>
      </c>
      <c r="B833" s="1">
        <f ca="1">IFERROR(__xludf.DUMMYFUNCTION("""COMPUTED_VALUE"""),151.9)</f>
        <v>151.9</v>
      </c>
    </row>
    <row r="834" spans="1:2">
      <c r="A834" s="3">
        <f ca="1">IFERROR(__xludf.DUMMYFUNCTION("""COMPUTED_VALUE"""),30412.6666666666)</f>
        <v>30412.666666666599</v>
      </c>
      <c r="B834" s="1">
        <f ca="1">IFERROR(__xludf.DUMMYFUNCTION("""COMPUTED_VALUE"""),151.04)</f>
        <v>151.04</v>
      </c>
    </row>
    <row r="835" spans="1:2">
      <c r="A835" s="3">
        <f ca="1">IFERROR(__xludf.DUMMYFUNCTION("""COMPUTED_VALUE"""),30413.6666666666)</f>
        <v>30413.666666666599</v>
      </c>
      <c r="B835" s="1">
        <f ca="1">IFERROR(__xludf.DUMMYFUNCTION("""COMPUTED_VALUE"""),151.76)</f>
        <v>151.76</v>
      </c>
    </row>
    <row r="836" spans="1:2">
      <c r="A836" s="3">
        <f ca="1">IFERROR(__xludf.DUMMYFUNCTION("""COMPUTED_VALUE"""),30414.6666666666)</f>
        <v>30414.666666666599</v>
      </c>
      <c r="B836" s="1">
        <f ca="1">IFERROR(__xludf.DUMMYFUNCTION("""COMPUTED_VALUE"""),152.85)</f>
        <v>152.85</v>
      </c>
    </row>
    <row r="837" spans="1:2">
      <c r="A837" s="3">
        <f ca="1">IFERROR(__xludf.DUMMYFUNCTION("""COMPUTED_VALUE"""),30417.6666666666)</f>
        <v>30417.666666666599</v>
      </c>
      <c r="B837" s="1">
        <f ca="1">IFERROR(__xludf.DUMMYFUNCTION("""COMPUTED_VALUE"""),155.14)</f>
        <v>155.13999999999999</v>
      </c>
    </row>
    <row r="838" spans="1:2">
      <c r="A838" s="3">
        <f ca="1">IFERROR(__xludf.DUMMYFUNCTION("""COMPUTED_VALUE"""),30418.6666666666)</f>
        <v>30418.666666666599</v>
      </c>
      <c r="B838" s="1">
        <f ca="1">IFERROR(__xludf.DUMMYFUNCTION("""COMPUTED_VALUE"""),155.82)</f>
        <v>155.82</v>
      </c>
    </row>
    <row r="839" spans="1:2">
      <c r="A839" s="3">
        <f ca="1">IFERROR(__xludf.DUMMYFUNCTION("""COMPUTED_VALUE"""),30419.6666666666)</f>
        <v>30419.666666666599</v>
      </c>
      <c r="B839" s="1">
        <f ca="1">IFERROR(__xludf.DUMMYFUNCTION("""COMPUTED_VALUE"""),156.77)</f>
        <v>156.77000000000001</v>
      </c>
    </row>
    <row r="840" spans="1:2">
      <c r="A840" s="3">
        <f ca="1">IFERROR(__xludf.DUMMYFUNCTION("""COMPUTED_VALUE"""),30420.6666666666)</f>
        <v>30420.666666666599</v>
      </c>
      <c r="B840" s="1">
        <f ca="1">IFERROR(__xludf.DUMMYFUNCTION("""COMPUTED_VALUE"""),158.12)</f>
        <v>158.12</v>
      </c>
    </row>
    <row r="841" spans="1:2">
      <c r="A841" s="3">
        <f ca="1">IFERROR(__xludf.DUMMYFUNCTION("""COMPUTED_VALUE"""),30421.6666666666)</f>
        <v>30421.666666666599</v>
      </c>
      <c r="B841" s="1">
        <f ca="1">IFERROR(__xludf.DUMMYFUNCTION("""COMPUTED_VALUE"""),158.75)</f>
        <v>158.75</v>
      </c>
    </row>
    <row r="842" spans="1:2">
      <c r="A842" s="3">
        <f ca="1">IFERROR(__xludf.DUMMYFUNCTION("""COMPUTED_VALUE"""),30424.6666666666)</f>
        <v>30424.666666666599</v>
      </c>
      <c r="B842" s="1">
        <f ca="1">IFERROR(__xludf.DUMMYFUNCTION("""COMPUTED_VALUE"""),159.74)</f>
        <v>159.74</v>
      </c>
    </row>
    <row r="843" spans="1:2">
      <c r="A843" s="3">
        <f ca="1">IFERROR(__xludf.DUMMYFUNCTION("""COMPUTED_VALUE"""),30425.6666666666)</f>
        <v>30425.666666666599</v>
      </c>
      <c r="B843" s="1">
        <f ca="1">IFERROR(__xludf.DUMMYFUNCTION("""COMPUTED_VALUE"""),158.71)</f>
        <v>158.71</v>
      </c>
    </row>
    <row r="844" spans="1:2">
      <c r="A844" s="3">
        <f ca="1">IFERROR(__xludf.DUMMYFUNCTION("""COMPUTED_VALUE"""),30426.6666666666)</f>
        <v>30426.666666666599</v>
      </c>
      <c r="B844" s="1">
        <f ca="1">IFERROR(__xludf.DUMMYFUNCTION("""COMPUTED_VALUE"""),160.71)</f>
        <v>160.71</v>
      </c>
    </row>
    <row r="845" spans="1:2">
      <c r="A845" s="3">
        <f ca="1">IFERROR(__xludf.DUMMYFUNCTION("""COMPUTED_VALUE"""),30427.6666666666)</f>
        <v>30427.666666666599</v>
      </c>
      <c r="B845" s="1">
        <f ca="1">IFERROR(__xludf.DUMMYFUNCTION("""COMPUTED_VALUE"""),160.05)</f>
        <v>160.05000000000001</v>
      </c>
    </row>
    <row r="846" spans="1:2">
      <c r="A846" s="3">
        <f ca="1">IFERROR(__xludf.DUMMYFUNCTION("""COMPUTED_VALUE"""),30428.6666666666)</f>
        <v>30428.666666666599</v>
      </c>
      <c r="B846" s="1">
        <f ca="1">IFERROR(__xludf.DUMMYFUNCTION("""COMPUTED_VALUE"""),160.42)</f>
        <v>160.41999999999999</v>
      </c>
    </row>
    <row r="847" spans="1:2">
      <c r="A847" s="3">
        <f ca="1">IFERROR(__xludf.DUMMYFUNCTION("""COMPUTED_VALUE"""),30431.6666666666)</f>
        <v>30431.666666666599</v>
      </c>
      <c r="B847" s="1">
        <f ca="1">IFERROR(__xludf.DUMMYFUNCTION("""COMPUTED_VALUE"""),158.81)</f>
        <v>158.81</v>
      </c>
    </row>
    <row r="848" spans="1:2">
      <c r="A848" s="3">
        <f ca="1">IFERROR(__xludf.DUMMYFUNCTION("""COMPUTED_VALUE"""),30432.6666666666)</f>
        <v>30432.666666666599</v>
      </c>
      <c r="B848" s="1">
        <f ca="1">IFERROR(__xludf.DUMMYFUNCTION("""COMPUTED_VALUE"""),161.81)</f>
        <v>161.81</v>
      </c>
    </row>
    <row r="849" spans="1:2">
      <c r="A849" s="3">
        <f ca="1">IFERROR(__xludf.DUMMYFUNCTION("""COMPUTED_VALUE"""),30433.6666666666)</f>
        <v>30433.666666666599</v>
      </c>
      <c r="B849" s="1">
        <f ca="1">IFERROR(__xludf.DUMMYFUNCTION("""COMPUTED_VALUE"""),161.44)</f>
        <v>161.44</v>
      </c>
    </row>
    <row r="850" spans="1:2">
      <c r="A850" s="3">
        <f ca="1">IFERROR(__xludf.DUMMYFUNCTION("""COMPUTED_VALUE"""),30434.6666666666)</f>
        <v>30434.666666666599</v>
      </c>
      <c r="B850" s="1">
        <f ca="1">IFERROR(__xludf.DUMMYFUNCTION("""COMPUTED_VALUE"""),162.95)</f>
        <v>162.94999999999999</v>
      </c>
    </row>
    <row r="851" spans="1:2">
      <c r="A851" s="3">
        <f ca="1">IFERROR(__xludf.DUMMYFUNCTION("""COMPUTED_VALUE"""),30435.6666666666)</f>
        <v>30435.666666666599</v>
      </c>
      <c r="B851" s="1">
        <f ca="1">IFERROR(__xludf.DUMMYFUNCTION("""COMPUTED_VALUE"""),164.43)</f>
        <v>164.43</v>
      </c>
    </row>
    <row r="852" spans="1:2">
      <c r="A852" s="3">
        <f ca="1">IFERROR(__xludf.DUMMYFUNCTION("""COMPUTED_VALUE"""),30438.6666666666)</f>
        <v>30438.666666666599</v>
      </c>
      <c r="B852" s="1">
        <f ca="1">IFERROR(__xludf.DUMMYFUNCTION("""COMPUTED_VALUE"""),162.11)</f>
        <v>162.11000000000001</v>
      </c>
    </row>
    <row r="853" spans="1:2">
      <c r="A853" s="3">
        <f ca="1">IFERROR(__xludf.DUMMYFUNCTION("""COMPUTED_VALUE"""),30439.6666666666)</f>
        <v>30439.666666666599</v>
      </c>
      <c r="B853" s="1">
        <f ca="1">IFERROR(__xludf.DUMMYFUNCTION("""COMPUTED_VALUE"""),162.34)</f>
        <v>162.34</v>
      </c>
    </row>
    <row r="854" spans="1:2">
      <c r="A854" s="3">
        <f ca="1">IFERROR(__xludf.DUMMYFUNCTION("""COMPUTED_VALUE"""),30440.6666666666)</f>
        <v>30440.666666666599</v>
      </c>
      <c r="B854" s="1">
        <f ca="1">IFERROR(__xludf.DUMMYFUNCTION("""COMPUTED_VALUE"""),163.31)</f>
        <v>163.31</v>
      </c>
    </row>
    <row r="855" spans="1:2">
      <c r="A855" s="3">
        <f ca="1">IFERROR(__xludf.DUMMYFUNCTION("""COMPUTED_VALUE"""),30441.6666666666)</f>
        <v>30441.666666666599</v>
      </c>
      <c r="B855" s="1">
        <f ca="1">IFERROR(__xludf.DUMMYFUNCTION("""COMPUTED_VALUE"""),164.28)</f>
        <v>164.28</v>
      </c>
    </row>
    <row r="856" spans="1:2">
      <c r="A856" s="3">
        <f ca="1">IFERROR(__xludf.DUMMYFUNCTION("""COMPUTED_VALUE"""),30442.6666666666)</f>
        <v>30442.666666666599</v>
      </c>
      <c r="B856" s="1">
        <f ca="1">IFERROR(__xludf.DUMMYFUNCTION("""COMPUTED_VALUE"""),166.1)</f>
        <v>166.1</v>
      </c>
    </row>
    <row r="857" spans="1:2">
      <c r="A857" s="3">
        <f ca="1">IFERROR(__xludf.DUMMYFUNCTION("""COMPUTED_VALUE"""),30445.6666666666)</f>
        <v>30445.666666666599</v>
      </c>
      <c r="B857" s="1">
        <f ca="1">IFERROR(__xludf.DUMMYFUNCTION("""COMPUTED_VALUE"""),165.81)</f>
        <v>165.81</v>
      </c>
    </row>
    <row r="858" spans="1:2">
      <c r="A858" s="3">
        <f ca="1">IFERROR(__xludf.DUMMYFUNCTION("""COMPUTED_VALUE"""),30446.6666666666)</f>
        <v>30446.666666666599</v>
      </c>
      <c r="B858" s="1">
        <f ca="1">IFERROR(__xludf.DUMMYFUNCTION("""COMPUTED_VALUE"""),165.95)</f>
        <v>165.95</v>
      </c>
    </row>
    <row r="859" spans="1:2">
      <c r="A859" s="3">
        <f ca="1">IFERROR(__xludf.DUMMYFUNCTION("""COMPUTED_VALUE"""),30447.6666666666)</f>
        <v>30447.666666666599</v>
      </c>
      <c r="B859" s="1">
        <f ca="1">IFERROR(__xludf.DUMMYFUNCTION("""COMPUTED_VALUE"""),164.96)</f>
        <v>164.96</v>
      </c>
    </row>
    <row r="860" spans="1:2">
      <c r="A860" s="3">
        <f ca="1">IFERROR(__xludf.DUMMYFUNCTION("""COMPUTED_VALUE"""),30448.6666666666)</f>
        <v>30448.666666666599</v>
      </c>
      <c r="B860" s="1">
        <f ca="1">IFERROR(__xludf.DUMMYFUNCTION("""COMPUTED_VALUE"""),164.25)</f>
        <v>164.25</v>
      </c>
    </row>
    <row r="861" spans="1:2">
      <c r="A861" s="3">
        <f ca="1">IFERROR(__xludf.DUMMYFUNCTION("""COMPUTED_VALUE"""),30449.6666666666)</f>
        <v>30449.666666666599</v>
      </c>
      <c r="B861" s="1">
        <f ca="1">IFERROR(__xludf.DUMMYFUNCTION("""COMPUTED_VALUE"""),164.91)</f>
        <v>164.91</v>
      </c>
    </row>
    <row r="862" spans="1:2">
      <c r="A862" s="3">
        <f ca="1">IFERROR(__xludf.DUMMYFUNCTION("""COMPUTED_VALUE"""),30452.6666666666)</f>
        <v>30452.666666666599</v>
      </c>
      <c r="B862" s="1">
        <f ca="1">IFERROR(__xludf.DUMMYFUNCTION("""COMPUTED_VALUE"""),163.4)</f>
        <v>163.4</v>
      </c>
    </row>
    <row r="863" spans="1:2">
      <c r="A863" s="3">
        <f ca="1">IFERROR(__xludf.DUMMYFUNCTION("""COMPUTED_VALUE"""),30453.6666666666)</f>
        <v>30453.666666666599</v>
      </c>
      <c r="B863" s="1">
        <f ca="1">IFERROR(__xludf.DUMMYFUNCTION("""COMPUTED_VALUE"""),163.71)</f>
        <v>163.71</v>
      </c>
    </row>
    <row r="864" spans="1:2">
      <c r="A864" s="3">
        <f ca="1">IFERROR(__xludf.DUMMYFUNCTION("""COMPUTED_VALUE"""),30454.6666666666)</f>
        <v>30454.666666666599</v>
      </c>
      <c r="B864" s="1">
        <f ca="1">IFERROR(__xludf.DUMMYFUNCTION("""COMPUTED_VALUE"""),163.27)</f>
        <v>163.27000000000001</v>
      </c>
    </row>
    <row r="865" spans="1:2">
      <c r="A865" s="3">
        <f ca="1">IFERROR(__xludf.DUMMYFUNCTION("""COMPUTED_VALUE"""),30455.6666666666)</f>
        <v>30455.666666666599</v>
      </c>
      <c r="B865" s="1">
        <f ca="1">IFERROR(__xludf.DUMMYFUNCTION("""COMPUTED_VALUE"""),161.99)</f>
        <v>161.99</v>
      </c>
    </row>
    <row r="866" spans="1:2">
      <c r="A866" s="3">
        <f ca="1">IFERROR(__xludf.DUMMYFUNCTION("""COMPUTED_VALUE"""),30456.6666666666)</f>
        <v>30456.666666666599</v>
      </c>
      <c r="B866" s="1">
        <f ca="1">IFERROR(__xludf.DUMMYFUNCTION("""COMPUTED_VALUE"""),162.14)</f>
        <v>162.13999999999999</v>
      </c>
    </row>
    <row r="867" spans="1:2">
      <c r="A867" s="3">
        <f ca="1">IFERROR(__xludf.DUMMYFUNCTION("""COMPUTED_VALUE"""),30459.6666666666)</f>
        <v>30459.666666666599</v>
      </c>
      <c r="B867" s="1">
        <f ca="1">IFERROR(__xludf.DUMMYFUNCTION("""COMPUTED_VALUE"""),163.43)</f>
        <v>163.43</v>
      </c>
    </row>
    <row r="868" spans="1:2">
      <c r="A868" s="3">
        <f ca="1">IFERROR(__xludf.DUMMYFUNCTION("""COMPUTED_VALUE"""),30460.6666666666)</f>
        <v>30460.666666666599</v>
      </c>
      <c r="B868" s="1">
        <f ca="1">IFERROR(__xludf.DUMMYFUNCTION("""COMPUTED_VALUE"""),165.54)</f>
        <v>165.54</v>
      </c>
    </row>
    <row r="869" spans="1:2">
      <c r="A869" s="3">
        <f ca="1">IFERROR(__xludf.DUMMYFUNCTION("""COMPUTED_VALUE"""),30461.6666666666)</f>
        <v>30461.666666666599</v>
      </c>
      <c r="B869" s="1">
        <f ca="1">IFERROR(__xludf.DUMMYFUNCTION("""COMPUTED_VALUE"""),166.21)</f>
        <v>166.21</v>
      </c>
    </row>
    <row r="870" spans="1:2">
      <c r="A870" s="3">
        <f ca="1">IFERROR(__xludf.DUMMYFUNCTION("""COMPUTED_VALUE"""),30462.6666666666)</f>
        <v>30462.666666666599</v>
      </c>
      <c r="B870" s="1">
        <f ca="1">IFERROR(__xludf.DUMMYFUNCTION("""COMPUTED_VALUE"""),165.48)</f>
        <v>165.48</v>
      </c>
    </row>
    <row r="871" spans="1:2">
      <c r="A871" s="3">
        <f ca="1">IFERROR(__xludf.DUMMYFUNCTION("""COMPUTED_VALUE"""),30463.6666666666)</f>
        <v>30463.666666666599</v>
      </c>
      <c r="B871" s="1">
        <f ca="1">IFERROR(__xludf.DUMMYFUNCTION("""COMPUTED_VALUE"""),164.46)</f>
        <v>164.46</v>
      </c>
    </row>
    <row r="872" spans="1:2">
      <c r="A872" s="3">
        <f ca="1">IFERROR(__xludf.DUMMYFUNCTION("""COMPUTED_VALUE"""),30466.6666666666)</f>
        <v>30466.666666666599</v>
      </c>
      <c r="B872" s="1">
        <f ca="1">IFERROR(__xludf.DUMMYFUNCTION("""COMPUTED_VALUE"""),164.46)</f>
        <v>164.46</v>
      </c>
    </row>
    <row r="873" spans="1:2">
      <c r="A873" s="3">
        <f ca="1">IFERROR(__xludf.DUMMYFUNCTION("""COMPUTED_VALUE"""),30467.6666666666)</f>
        <v>30467.666666666599</v>
      </c>
      <c r="B873" s="1">
        <f ca="1">IFERROR(__xludf.DUMMYFUNCTION("""COMPUTED_VALUE"""),162.39)</f>
        <v>162.38999999999999</v>
      </c>
    </row>
    <row r="874" spans="1:2">
      <c r="A874" s="3">
        <f ca="1">IFERROR(__xludf.DUMMYFUNCTION("""COMPUTED_VALUE"""),30468.6666666666)</f>
        <v>30468.666666666599</v>
      </c>
      <c r="B874" s="1">
        <f ca="1">IFERROR(__xludf.DUMMYFUNCTION("""COMPUTED_VALUE"""),162.55)</f>
        <v>162.55000000000001</v>
      </c>
    </row>
    <row r="875" spans="1:2">
      <c r="A875" s="3">
        <f ca="1">IFERROR(__xludf.DUMMYFUNCTION("""COMPUTED_VALUE"""),30469.6666666666)</f>
        <v>30469.666666666599</v>
      </c>
      <c r="B875" s="1">
        <f ca="1">IFERROR(__xludf.DUMMYFUNCTION("""COMPUTED_VALUE"""),163.98)</f>
        <v>163.98</v>
      </c>
    </row>
    <row r="876" spans="1:2">
      <c r="A876" s="3">
        <f ca="1">IFERROR(__xludf.DUMMYFUNCTION("""COMPUTED_VALUE"""),30470.6666666666)</f>
        <v>30470.666666666599</v>
      </c>
      <c r="B876" s="1">
        <f ca="1">IFERROR(__xludf.DUMMYFUNCTION("""COMPUTED_VALUE"""),164.42)</f>
        <v>164.42</v>
      </c>
    </row>
    <row r="877" spans="1:2">
      <c r="A877" s="3">
        <f ca="1">IFERROR(__xludf.DUMMYFUNCTION("""COMPUTED_VALUE"""),30473.6666666666)</f>
        <v>30473.666666666599</v>
      </c>
      <c r="B877" s="1">
        <f ca="1">IFERROR(__xludf.DUMMYFUNCTION("""COMPUTED_VALUE"""),164.83)</f>
        <v>164.83</v>
      </c>
    </row>
    <row r="878" spans="1:2">
      <c r="A878" s="3">
        <f ca="1">IFERROR(__xludf.DUMMYFUNCTION("""COMPUTED_VALUE"""),30474.6666666666)</f>
        <v>30474.666666666599</v>
      </c>
      <c r="B878" s="1">
        <f ca="1">IFERROR(__xludf.DUMMYFUNCTION("""COMPUTED_VALUE"""),162.77)</f>
        <v>162.77000000000001</v>
      </c>
    </row>
    <row r="879" spans="1:2">
      <c r="A879" s="3">
        <f ca="1">IFERROR(__xludf.DUMMYFUNCTION("""COMPUTED_VALUE"""),30475.6666666666)</f>
        <v>30475.666666666599</v>
      </c>
      <c r="B879" s="1">
        <f ca="1">IFERROR(__xludf.DUMMYFUNCTION("""COMPUTED_VALUE"""),161.36)</f>
        <v>161.36000000000001</v>
      </c>
    </row>
    <row r="880" spans="1:2">
      <c r="A880" s="3">
        <f ca="1">IFERROR(__xludf.DUMMYFUNCTION("""COMPUTED_VALUE"""),30476.6666666666)</f>
        <v>30476.666666666599</v>
      </c>
      <c r="B880" s="1">
        <f ca="1">IFERROR(__xludf.DUMMYFUNCTION("""COMPUTED_VALUE"""),161.83)</f>
        <v>161.83000000000001</v>
      </c>
    </row>
    <row r="881" spans="1:2">
      <c r="A881" s="3">
        <f ca="1">IFERROR(__xludf.DUMMYFUNCTION("""COMPUTED_VALUE"""),30477.6666666666)</f>
        <v>30477.666666666599</v>
      </c>
      <c r="B881" s="1">
        <f ca="1">IFERROR(__xludf.DUMMYFUNCTION("""COMPUTED_VALUE"""),162.68)</f>
        <v>162.68</v>
      </c>
    </row>
    <row r="882" spans="1:2">
      <c r="A882" s="3">
        <f ca="1">IFERROR(__xludf.DUMMYFUNCTION("""COMPUTED_VALUE"""),30480.6666666666)</f>
        <v>30480.666666666599</v>
      </c>
      <c r="B882" s="1">
        <f ca="1">IFERROR(__xludf.DUMMYFUNCTION("""COMPUTED_VALUE"""),164.84)</f>
        <v>164.84</v>
      </c>
    </row>
    <row r="883" spans="1:2">
      <c r="A883" s="3">
        <f ca="1">IFERROR(__xludf.DUMMYFUNCTION("""COMPUTED_VALUE"""),30481.6666666666)</f>
        <v>30481.666666666599</v>
      </c>
      <c r="B883" s="1">
        <f ca="1">IFERROR(__xludf.DUMMYFUNCTION("""COMPUTED_VALUE"""),165.53)</f>
        <v>165.53</v>
      </c>
    </row>
    <row r="884" spans="1:2">
      <c r="A884" s="3">
        <f ca="1">IFERROR(__xludf.DUMMYFUNCTION("""COMPUTED_VALUE"""),30482.6666666666)</f>
        <v>30482.666666666599</v>
      </c>
      <c r="B884" s="1">
        <f ca="1">IFERROR(__xludf.DUMMYFUNCTION("""COMPUTED_VALUE"""),167.12)</f>
        <v>167.12</v>
      </c>
    </row>
    <row r="885" spans="1:2">
      <c r="A885" s="3">
        <f ca="1">IFERROR(__xludf.DUMMYFUNCTION("""COMPUTED_VALUE"""),30483.6666666666)</f>
        <v>30483.666666666599</v>
      </c>
      <c r="B885" s="1">
        <f ca="1">IFERROR(__xludf.DUMMYFUNCTION("""COMPUTED_VALUE"""),169.14)</f>
        <v>169.14</v>
      </c>
    </row>
    <row r="886" spans="1:2">
      <c r="A886" s="3">
        <f ca="1">IFERROR(__xludf.DUMMYFUNCTION("""COMPUTED_VALUE"""),30484.6666666666)</f>
        <v>30484.666666666599</v>
      </c>
      <c r="B886" s="1">
        <f ca="1">IFERROR(__xludf.DUMMYFUNCTION("""COMPUTED_VALUE"""),169.13)</f>
        <v>169.13</v>
      </c>
    </row>
    <row r="887" spans="1:2">
      <c r="A887" s="3">
        <f ca="1">IFERROR(__xludf.DUMMYFUNCTION("""COMPUTED_VALUE"""),30487.6666666666)</f>
        <v>30487.666666666599</v>
      </c>
      <c r="B887" s="1">
        <f ca="1">IFERROR(__xludf.DUMMYFUNCTION("""COMPUTED_VALUE"""),169.02)</f>
        <v>169.02</v>
      </c>
    </row>
    <row r="888" spans="1:2">
      <c r="A888" s="3">
        <f ca="1">IFERROR(__xludf.DUMMYFUNCTION("""COMPUTED_VALUE"""),30488.6666666666)</f>
        <v>30488.666666666599</v>
      </c>
      <c r="B888" s="1">
        <f ca="1">IFERROR(__xludf.DUMMYFUNCTION("""COMPUTED_VALUE"""),170.53)</f>
        <v>170.53</v>
      </c>
    </row>
    <row r="889" spans="1:2">
      <c r="A889" s="3">
        <f ca="1">IFERROR(__xludf.DUMMYFUNCTION("""COMPUTED_VALUE"""),30489.6666666666)</f>
        <v>30489.666666666599</v>
      </c>
      <c r="B889" s="1">
        <f ca="1">IFERROR(__xludf.DUMMYFUNCTION("""COMPUTED_VALUE"""),170.99)</f>
        <v>170.99</v>
      </c>
    </row>
    <row r="890" spans="1:2">
      <c r="A890" s="3">
        <f ca="1">IFERROR(__xludf.DUMMYFUNCTION("""COMPUTED_VALUE"""),30490.6666666666)</f>
        <v>30490.666666666599</v>
      </c>
      <c r="B890" s="1">
        <f ca="1">IFERROR(__xludf.DUMMYFUNCTION("""COMPUTED_VALUE"""),170.57)</f>
        <v>170.57</v>
      </c>
    </row>
    <row r="891" spans="1:2">
      <c r="A891" s="3">
        <f ca="1">IFERROR(__xludf.DUMMYFUNCTION("""COMPUTED_VALUE"""),30491.6666666666)</f>
        <v>30491.666666666599</v>
      </c>
      <c r="B891" s="1">
        <f ca="1">IFERROR(__xludf.DUMMYFUNCTION("""COMPUTED_VALUE"""),170.41)</f>
        <v>170.41</v>
      </c>
    </row>
    <row r="892" spans="1:2">
      <c r="A892" s="3">
        <f ca="1">IFERROR(__xludf.DUMMYFUNCTION("""COMPUTED_VALUE"""),30494.6666666666)</f>
        <v>30494.666666666599</v>
      </c>
      <c r="B892" s="1">
        <f ca="1">IFERROR(__xludf.DUMMYFUNCTION("""COMPUTED_VALUE"""),168.46)</f>
        <v>168.46</v>
      </c>
    </row>
    <row r="893" spans="1:2">
      <c r="A893" s="3">
        <f ca="1">IFERROR(__xludf.DUMMYFUNCTION("""COMPUTED_VALUE"""),30495.6666666666)</f>
        <v>30495.666666666599</v>
      </c>
      <c r="B893" s="1">
        <f ca="1">IFERROR(__xludf.DUMMYFUNCTION("""COMPUTED_VALUE"""),165.68)</f>
        <v>165.68</v>
      </c>
    </row>
    <row r="894" spans="1:2">
      <c r="A894" s="3">
        <f ca="1">IFERROR(__xludf.DUMMYFUNCTION("""COMPUTED_VALUE"""),30496.6666666666)</f>
        <v>30496.666666666599</v>
      </c>
      <c r="B894" s="1">
        <f ca="1">IFERROR(__xludf.DUMMYFUNCTION("""COMPUTED_VALUE"""),166.64)</f>
        <v>166.64</v>
      </c>
    </row>
    <row r="895" spans="1:2">
      <c r="A895" s="3">
        <f ca="1">IFERROR(__xludf.DUMMYFUNCTION("""COMPUTED_VALUE"""),30497.6666666666)</f>
        <v>30497.666666666599</v>
      </c>
      <c r="B895" s="1">
        <f ca="1">IFERROR(__xludf.DUMMYFUNCTION("""COMPUTED_VALUE"""),167.64)</f>
        <v>167.64</v>
      </c>
    </row>
    <row r="896" spans="1:2">
      <c r="A896" s="3">
        <f ca="1">IFERROR(__xludf.DUMMYFUNCTION("""COMPUTED_VALUE"""),30498.6666666666)</f>
        <v>30498.666666666599</v>
      </c>
      <c r="B896" s="1">
        <f ca="1">IFERROR(__xludf.DUMMYFUNCTION("""COMPUTED_VALUE"""),168.64)</f>
        <v>168.64</v>
      </c>
    </row>
    <row r="897" spans="1:2">
      <c r="A897" s="3">
        <f ca="1">IFERROR(__xludf.DUMMYFUNCTION("""COMPUTED_VALUE"""),30501.6666666666)</f>
        <v>30501.666666666599</v>
      </c>
      <c r="B897" s="1">
        <f ca="1">IFERROR(__xludf.DUMMYFUNCTION("""COMPUTED_VALUE"""),164.46)</f>
        <v>164.46</v>
      </c>
    </row>
    <row r="898" spans="1:2">
      <c r="A898" s="3">
        <f ca="1">IFERROR(__xludf.DUMMYFUNCTION("""COMPUTED_VALUE"""),30502.6666666666)</f>
        <v>30502.666666666599</v>
      </c>
      <c r="B898" s="1">
        <f ca="1">IFERROR(__xludf.DUMMYFUNCTION("""COMPUTED_VALUE"""),166.6)</f>
        <v>166.6</v>
      </c>
    </row>
    <row r="899" spans="1:2">
      <c r="A899" s="3">
        <f ca="1">IFERROR(__xludf.DUMMYFUNCTION("""COMPUTED_VALUE"""),30503.6666666666)</f>
        <v>30503.666666666599</v>
      </c>
      <c r="B899" s="1">
        <f ca="1">IFERROR(__xludf.DUMMYFUNCTION("""COMPUTED_VALUE"""),168.48)</f>
        <v>168.48</v>
      </c>
    </row>
    <row r="900" spans="1:2">
      <c r="A900" s="3">
        <f ca="1">IFERROR(__xludf.DUMMYFUNCTION("""COMPUTED_VALUE"""),30504.6666666666)</f>
        <v>30504.666666666599</v>
      </c>
      <c r="B900" s="1">
        <f ca="1">IFERROR(__xludf.DUMMYFUNCTION("""COMPUTED_VALUE"""),167.56)</f>
        <v>167.56</v>
      </c>
    </row>
    <row r="901" spans="1:2">
      <c r="A901" s="3">
        <f ca="1">IFERROR(__xludf.DUMMYFUNCTION("""COMPUTED_VALUE"""),30505.6666666666)</f>
        <v>30505.666666666599</v>
      </c>
      <c r="B901" s="1">
        <f ca="1">IFERROR(__xludf.DUMMYFUNCTION("""COMPUTED_VALUE"""),167.08)</f>
        <v>167.08</v>
      </c>
    </row>
    <row r="902" spans="1:2">
      <c r="A902" s="3">
        <f ca="1">IFERROR(__xludf.DUMMYFUNCTION("""COMPUTED_VALUE"""),30508.6666666666)</f>
        <v>30508.666666666599</v>
      </c>
      <c r="B902" s="1">
        <f ca="1">IFERROR(__xludf.DUMMYFUNCTION("""COMPUTED_VALUE"""),168.11)</f>
        <v>168.11</v>
      </c>
    </row>
    <row r="903" spans="1:2">
      <c r="A903" s="3">
        <f ca="1">IFERROR(__xludf.DUMMYFUNCTION("""COMPUTED_VALUE"""),30509.6666666666)</f>
        <v>30509.666666666599</v>
      </c>
      <c r="B903" s="1">
        <f ca="1">IFERROR(__xludf.DUMMYFUNCTION("""COMPUTED_VALUE"""),165.53)</f>
        <v>165.53</v>
      </c>
    </row>
    <row r="904" spans="1:2">
      <c r="A904" s="3">
        <f ca="1">IFERROR(__xludf.DUMMYFUNCTION("""COMPUTED_VALUE"""),30510.6666666666)</f>
        <v>30510.666666666599</v>
      </c>
      <c r="B904" s="1">
        <f ca="1">IFERROR(__xludf.DUMMYFUNCTION("""COMPUTED_VALUE"""),165.46)</f>
        <v>165.46</v>
      </c>
    </row>
    <row r="905" spans="1:2">
      <c r="A905" s="3">
        <f ca="1">IFERROR(__xludf.DUMMYFUNCTION("""COMPUTED_VALUE"""),30511.6666666666)</f>
        <v>30511.666666666599</v>
      </c>
      <c r="B905" s="1">
        <f ca="1">IFERROR(__xludf.DUMMYFUNCTION("""COMPUTED_VALUE"""),166.01)</f>
        <v>166.01</v>
      </c>
    </row>
    <row r="906" spans="1:2">
      <c r="A906" s="3">
        <f ca="1">IFERROR(__xludf.DUMMYFUNCTION("""COMPUTED_VALUE"""),30512.6666666666)</f>
        <v>30512.666666666599</v>
      </c>
      <c r="B906" s="1">
        <f ca="1">IFERROR(__xludf.DUMMYFUNCTION("""COMPUTED_VALUE"""),164.29)</f>
        <v>164.29</v>
      </c>
    </row>
    <row r="907" spans="1:2">
      <c r="A907" s="3">
        <f ca="1">IFERROR(__xludf.DUMMYFUNCTION("""COMPUTED_VALUE"""),30515.6666666666)</f>
        <v>30515.666666666599</v>
      </c>
      <c r="B907" s="1">
        <f ca="1">IFERROR(__xludf.DUMMYFUNCTION("""COMPUTED_VALUE"""),163.95)</f>
        <v>163.95</v>
      </c>
    </row>
    <row r="908" spans="1:2">
      <c r="A908" s="3">
        <f ca="1">IFERROR(__xludf.DUMMYFUNCTION("""COMPUTED_VALUE"""),30516.6666666666)</f>
        <v>30516.666666666599</v>
      </c>
      <c r="B908" s="1">
        <f ca="1">IFERROR(__xludf.DUMMYFUNCTION("""COMPUTED_VALUE"""),164.82)</f>
        <v>164.82</v>
      </c>
    </row>
    <row r="909" spans="1:2">
      <c r="A909" s="3">
        <f ca="1">IFERROR(__xludf.DUMMYFUNCTION("""COMPUTED_VALUE"""),30517.6666666666)</f>
        <v>30517.666666666599</v>
      </c>
      <c r="B909" s="1">
        <f ca="1">IFERROR(__xludf.DUMMYFUNCTION("""COMPUTED_VALUE"""),169.29)</f>
        <v>169.29</v>
      </c>
    </row>
    <row r="910" spans="1:2">
      <c r="A910" s="3">
        <f ca="1">IFERROR(__xludf.DUMMYFUNCTION("""COMPUTED_VALUE"""),30518.6666666666)</f>
        <v>30518.666666666599</v>
      </c>
      <c r="B910" s="1">
        <f ca="1">IFERROR(__xludf.DUMMYFUNCTION("""COMPUTED_VALUE"""),169.06)</f>
        <v>169.06</v>
      </c>
    </row>
    <row r="911" spans="1:2">
      <c r="A911" s="3">
        <f ca="1">IFERROR(__xludf.DUMMYFUNCTION("""COMPUTED_VALUE"""),30519.6666666666)</f>
        <v>30519.666666666599</v>
      </c>
      <c r="B911" s="1">
        <f ca="1">IFERROR(__xludf.DUMMYFUNCTION("""COMPUTED_VALUE"""),168.89)</f>
        <v>168.89</v>
      </c>
    </row>
    <row r="912" spans="1:2">
      <c r="A912" s="3">
        <f ca="1">IFERROR(__xludf.DUMMYFUNCTION("""COMPUTED_VALUE"""),30522.6666666666)</f>
        <v>30522.666666666599</v>
      </c>
      <c r="B912" s="1">
        <f ca="1">IFERROR(__xludf.DUMMYFUNCTION("""COMPUTED_VALUE"""),169.53)</f>
        <v>169.53</v>
      </c>
    </row>
    <row r="913" spans="1:2">
      <c r="A913" s="3">
        <f ca="1">IFERROR(__xludf.DUMMYFUNCTION("""COMPUTED_VALUE"""),30523.6666666666)</f>
        <v>30523.666666666599</v>
      </c>
      <c r="B913" s="1">
        <f ca="1">IFERROR(__xludf.DUMMYFUNCTION("""COMPUTED_VALUE"""),170.53)</f>
        <v>170.53</v>
      </c>
    </row>
    <row r="914" spans="1:2">
      <c r="A914" s="3">
        <f ca="1">IFERROR(__xludf.DUMMYFUNCTION("""COMPUTED_VALUE"""),30524.6666666666)</f>
        <v>30524.666666666599</v>
      </c>
      <c r="B914" s="1">
        <f ca="1">IFERROR(__xludf.DUMMYFUNCTION("""COMPUTED_VALUE"""),167.59)</f>
        <v>167.59</v>
      </c>
    </row>
    <row r="915" spans="1:2">
      <c r="A915" s="3">
        <f ca="1">IFERROR(__xludf.DUMMYFUNCTION("""COMPUTED_VALUE"""),30525.6666666666)</f>
        <v>30525.666666666599</v>
      </c>
      <c r="B915" s="1">
        <f ca="1">IFERROR(__xludf.DUMMYFUNCTION("""COMPUTED_VALUE"""),165.04)</f>
        <v>165.04</v>
      </c>
    </row>
    <row r="916" spans="1:2">
      <c r="A916" s="3">
        <f ca="1">IFERROR(__xludf.DUMMYFUNCTION("""COMPUTED_VALUE"""),30526.6666666666)</f>
        <v>30526.666666666599</v>
      </c>
      <c r="B916" s="1">
        <f ca="1">IFERROR(__xludf.DUMMYFUNCTION("""COMPUTED_VALUE"""),162.56)</f>
        <v>162.56</v>
      </c>
    </row>
    <row r="917" spans="1:2">
      <c r="A917" s="3">
        <f ca="1">IFERROR(__xludf.DUMMYFUNCTION("""COMPUTED_VALUE"""),30529.6666666666)</f>
        <v>30529.666666666599</v>
      </c>
      <c r="B917" s="1">
        <f ca="1">IFERROR(__xludf.DUMMYFUNCTION("""COMPUTED_VALUE"""),162.04)</f>
        <v>162.04</v>
      </c>
    </row>
    <row r="918" spans="1:2">
      <c r="A918" s="3">
        <f ca="1">IFERROR(__xludf.DUMMYFUNCTION("""COMPUTED_VALUE"""),30530.6666666666)</f>
        <v>30530.666666666599</v>
      </c>
      <c r="B918" s="1">
        <f ca="1">IFERROR(__xludf.DUMMYFUNCTION("""COMPUTED_VALUE"""),162.01)</f>
        <v>162.01</v>
      </c>
    </row>
    <row r="919" spans="1:2">
      <c r="A919" s="3">
        <f ca="1">IFERROR(__xludf.DUMMYFUNCTION("""COMPUTED_VALUE"""),30531.6666666666)</f>
        <v>30531.666666666599</v>
      </c>
      <c r="B919" s="1">
        <f ca="1">IFERROR(__xludf.DUMMYFUNCTION("""COMPUTED_VALUE"""),163.44)</f>
        <v>163.44</v>
      </c>
    </row>
    <row r="920" spans="1:2">
      <c r="A920" s="3">
        <f ca="1">IFERROR(__xludf.DUMMYFUNCTION("""COMPUTED_VALUE"""),30532.6666666666)</f>
        <v>30532.666666666599</v>
      </c>
      <c r="B920" s="1">
        <f ca="1">IFERROR(__xludf.DUMMYFUNCTION("""COMPUTED_VALUE"""),161.33)</f>
        <v>161.33000000000001</v>
      </c>
    </row>
    <row r="921" spans="1:2">
      <c r="A921" s="3">
        <f ca="1">IFERROR(__xludf.DUMMYFUNCTION("""COMPUTED_VALUE"""),30533.6666666666)</f>
        <v>30533.666666666599</v>
      </c>
      <c r="B921" s="1">
        <f ca="1">IFERROR(__xludf.DUMMYFUNCTION("""COMPUTED_VALUE"""),161.74)</f>
        <v>161.74</v>
      </c>
    </row>
    <row r="922" spans="1:2">
      <c r="A922" s="3">
        <f ca="1">IFERROR(__xludf.DUMMYFUNCTION("""COMPUTED_VALUE"""),30536.6666666666)</f>
        <v>30536.666666666599</v>
      </c>
      <c r="B922" s="1">
        <f ca="1">IFERROR(__xludf.DUMMYFUNCTION("""COMPUTED_VALUE"""),159.18)</f>
        <v>159.18</v>
      </c>
    </row>
    <row r="923" spans="1:2">
      <c r="A923" s="3">
        <f ca="1">IFERROR(__xludf.DUMMYFUNCTION("""COMPUTED_VALUE"""),30537.6666666666)</f>
        <v>30537.666666666599</v>
      </c>
      <c r="B923" s="1">
        <f ca="1">IFERROR(__xludf.DUMMYFUNCTION("""COMPUTED_VALUE"""),160.13)</f>
        <v>160.13</v>
      </c>
    </row>
    <row r="924" spans="1:2">
      <c r="A924" s="3">
        <f ca="1">IFERROR(__xludf.DUMMYFUNCTION("""COMPUTED_VALUE"""),30538.6666666666)</f>
        <v>30538.666666666599</v>
      </c>
      <c r="B924" s="1">
        <f ca="1">IFERROR(__xludf.DUMMYFUNCTION("""COMPUTED_VALUE"""),161.54)</f>
        <v>161.54</v>
      </c>
    </row>
    <row r="925" spans="1:2">
      <c r="A925" s="3">
        <f ca="1">IFERROR(__xludf.DUMMYFUNCTION("""COMPUTED_VALUE"""),30539.6666666666)</f>
        <v>30539.666666666599</v>
      </c>
      <c r="B925" s="1">
        <f ca="1">IFERROR(__xludf.DUMMYFUNCTION("""COMPUTED_VALUE"""),161.54)</f>
        <v>161.54</v>
      </c>
    </row>
    <row r="926" spans="1:2">
      <c r="A926" s="3">
        <f ca="1">IFERROR(__xludf.DUMMYFUNCTION("""COMPUTED_VALUE"""),30540.6666666666)</f>
        <v>30540.666666666599</v>
      </c>
      <c r="B926" s="1">
        <f ca="1">IFERROR(__xludf.DUMMYFUNCTION("""COMPUTED_VALUE"""),162.16)</f>
        <v>162.16</v>
      </c>
    </row>
    <row r="927" spans="1:2">
      <c r="A927" s="3">
        <f ca="1">IFERROR(__xludf.DUMMYFUNCTION("""COMPUTED_VALUE"""),30543.6666666666)</f>
        <v>30543.666666666599</v>
      </c>
      <c r="B927" s="1">
        <f ca="1">IFERROR(__xludf.DUMMYFUNCTION("""COMPUTED_VALUE"""),163.7)</f>
        <v>163.69999999999999</v>
      </c>
    </row>
    <row r="928" spans="1:2">
      <c r="A928" s="3">
        <f ca="1">IFERROR(__xludf.DUMMYFUNCTION("""COMPUTED_VALUE"""),30544.6666666666)</f>
        <v>30544.666666666599</v>
      </c>
      <c r="B928" s="1">
        <f ca="1">IFERROR(__xludf.DUMMYFUNCTION("""COMPUTED_VALUE"""),163.41)</f>
        <v>163.41</v>
      </c>
    </row>
    <row r="929" spans="1:2">
      <c r="A929" s="3">
        <f ca="1">IFERROR(__xludf.DUMMYFUNCTION("""COMPUTED_VALUE"""),30545.6666666666)</f>
        <v>30545.666666666599</v>
      </c>
      <c r="B929" s="1">
        <f ca="1">IFERROR(__xludf.DUMMYFUNCTION("""COMPUTED_VALUE"""),165.29)</f>
        <v>165.29</v>
      </c>
    </row>
    <row r="930" spans="1:2">
      <c r="A930" s="3">
        <f ca="1">IFERROR(__xludf.DUMMYFUNCTION("""COMPUTED_VALUE"""),30546.6666666666)</f>
        <v>30546.666666666599</v>
      </c>
      <c r="B930" s="1">
        <f ca="1">IFERROR(__xludf.DUMMYFUNCTION("""COMPUTED_VALUE"""),163.55)</f>
        <v>163.55000000000001</v>
      </c>
    </row>
    <row r="931" spans="1:2">
      <c r="A931" s="3">
        <f ca="1">IFERROR(__xludf.DUMMYFUNCTION("""COMPUTED_VALUE"""),30547.6666666666)</f>
        <v>30547.666666666599</v>
      </c>
      <c r="B931" s="1">
        <f ca="1">IFERROR(__xludf.DUMMYFUNCTION("""COMPUTED_VALUE"""),163.98)</f>
        <v>163.98</v>
      </c>
    </row>
    <row r="932" spans="1:2">
      <c r="A932" s="3">
        <f ca="1">IFERROR(__xludf.DUMMYFUNCTION("""COMPUTED_VALUE"""),30550.6666666666)</f>
        <v>30550.666666666599</v>
      </c>
      <c r="B932" s="1">
        <f ca="1">IFERROR(__xludf.DUMMYFUNCTION("""COMPUTED_VALUE"""),164.34)</f>
        <v>164.34</v>
      </c>
    </row>
    <row r="933" spans="1:2">
      <c r="A933" s="3">
        <f ca="1">IFERROR(__xludf.DUMMYFUNCTION("""COMPUTED_VALUE"""),30551.6666666666)</f>
        <v>30551.666666666599</v>
      </c>
      <c r="B933" s="1">
        <f ca="1">IFERROR(__xludf.DUMMYFUNCTION("""COMPUTED_VALUE"""),162.77)</f>
        <v>162.77000000000001</v>
      </c>
    </row>
    <row r="934" spans="1:2">
      <c r="A934" s="3">
        <f ca="1">IFERROR(__xludf.DUMMYFUNCTION("""COMPUTED_VALUE"""),30552.6666666666)</f>
        <v>30552.666666666599</v>
      </c>
      <c r="B934" s="1">
        <f ca="1">IFERROR(__xludf.DUMMYFUNCTION("""COMPUTED_VALUE"""),161.25)</f>
        <v>161.25</v>
      </c>
    </row>
    <row r="935" spans="1:2">
      <c r="A935" s="3">
        <f ca="1">IFERROR(__xludf.DUMMYFUNCTION("""COMPUTED_VALUE"""),30553.6666666666)</f>
        <v>30553.666666666599</v>
      </c>
      <c r="B935" s="1">
        <f ca="1">IFERROR(__xludf.DUMMYFUNCTION("""COMPUTED_VALUE"""),160.84)</f>
        <v>160.84</v>
      </c>
    </row>
    <row r="936" spans="1:2">
      <c r="A936" s="3">
        <f ca="1">IFERROR(__xludf.DUMMYFUNCTION("""COMPUTED_VALUE"""),30554.6666666666)</f>
        <v>30554.666666666599</v>
      </c>
      <c r="B936" s="1">
        <f ca="1">IFERROR(__xludf.DUMMYFUNCTION("""COMPUTED_VALUE"""),162.14)</f>
        <v>162.13999999999999</v>
      </c>
    </row>
    <row r="937" spans="1:2">
      <c r="A937" s="3">
        <f ca="1">IFERROR(__xludf.DUMMYFUNCTION("""COMPUTED_VALUE"""),30557.6666666666)</f>
        <v>30557.666666666599</v>
      </c>
      <c r="B937" s="1">
        <f ca="1">IFERROR(__xludf.DUMMYFUNCTION("""COMPUTED_VALUE"""),162.25)</f>
        <v>162.25</v>
      </c>
    </row>
    <row r="938" spans="1:2">
      <c r="A938" s="3">
        <f ca="1">IFERROR(__xludf.DUMMYFUNCTION("""COMPUTED_VALUE"""),30558.6666666666)</f>
        <v>30558.666666666599</v>
      </c>
      <c r="B938" s="1">
        <f ca="1">IFERROR(__xludf.DUMMYFUNCTION("""COMPUTED_VALUE"""),162.58)</f>
        <v>162.58000000000001</v>
      </c>
    </row>
    <row r="939" spans="1:2">
      <c r="A939" s="3">
        <f ca="1">IFERROR(__xludf.DUMMYFUNCTION("""COMPUTED_VALUE"""),30559.6666666666)</f>
        <v>30559.666666666599</v>
      </c>
      <c r="B939" s="1">
        <f ca="1">IFERROR(__xludf.DUMMYFUNCTION("""COMPUTED_VALUE"""),164.4)</f>
        <v>164.4</v>
      </c>
    </row>
    <row r="940" spans="1:2">
      <c r="A940" s="3">
        <f ca="1">IFERROR(__xludf.DUMMYFUNCTION("""COMPUTED_VALUE"""),30560.6666666666)</f>
        <v>30560.666666666599</v>
      </c>
      <c r="B940" s="1">
        <f ca="1">IFERROR(__xludf.DUMMYFUNCTION("""COMPUTED_VALUE"""),164.23)</f>
        <v>164.23</v>
      </c>
    </row>
    <row r="941" spans="1:2">
      <c r="A941" s="3">
        <f ca="1">IFERROR(__xludf.DUMMYFUNCTION("""COMPUTED_VALUE"""),30561.6666666666)</f>
        <v>30561.666666666599</v>
      </c>
      <c r="B941" s="1">
        <f ca="1">IFERROR(__xludf.DUMMYFUNCTION("""COMPUTED_VALUE"""),165)</f>
        <v>165</v>
      </c>
    </row>
    <row r="942" spans="1:2">
      <c r="A942" s="3">
        <f ca="1">IFERROR(__xludf.DUMMYFUNCTION("""COMPUTED_VALUE"""),30565.6666666666)</f>
        <v>30565.666666666599</v>
      </c>
      <c r="B942" s="1">
        <f ca="1">IFERROR(__xludf.DUMMYFUNCTION("""COMPUTED_VALUE"""),167.89)</f>
        <v>167.89</v>
      </c>
    </row>
    <row r="943" spans="1:2">
      <c r="A943" s="3">
        <f ca="1">IFERROR(__xludf.DUMMYFUNCTION("""COMPUTED_VALUE"""),30566.6666666666)</f>
        <v>30566.666666666599</v>
      </c>
      <c r="B943" s="1">
        <f ca="1">IFERROR(__xludf.DUMMYFUNCTION("""COMPUTED_VALUE"""),167.96)</f>
        <v>167.96</v>
      </c>
    </row>
    <row r="944" spans="1:2">
      <c r="A944" s="3">
        <f ca="1">IFERROR(__xludf.DUMMYFUNCTION("""COMPUTED_VALUE"""),30567.6666666666)</f>
        <v>30567.666666666599</v>
      </c>
      <c r="B944" s="1">
        <f ca="1">IFERROR(__xludf.DUMMYFUNCTION("""COMPUTED_VALUE"""),167.77)</f>
        <v>167.77</v>
      </c>
    </row>
    <row r="945" spans="1:2">
      <c r="A945" s="3">
        <f ca="1">IFERROR(__xludf.DUMMYFUNCTION("""COMPUTED_VALUE"""),30568.6666666666)</f>
        <v>30568.666666666599</v>
      </c>
      <c r="B945" s="1">
        <f ca="1">IFERROR(__xludf.DUMMYFUNCTION("""COMPUTED_VALUE"""),166.92)</f>
        <v>166.92</v>
      </c>
    </row>
    <row r="946" spans="1:2">
      <c r="A946" s="3">
        <f ca="1">IFERROR(__xludf.DUMMYFUNCTION("""COMPUTED_VALUE"""),30571.6666666666)</f>
        <v>30571.666666666599</v>
      </c>
      <c r="B946" s="1">
        <f ca="1">IFERROR(__xludf.DUMMYFUNCTION("""COMPUTED_VALUE"""),165.48)</f>
        <v>165.48</v>
      </c>
    </row>
    <row r="947" spans="1:2">
      <c r="A947" s="3">
        <f ca="1">IFERROR(__xludf.DUMMYFUNCTION("""COMPUTED_VALUE"""),30572.6666666666)</f>
        <v>30572.666666666599</v>
      </c>
      <c r="B947" s="1">
        <f ca="1">IFERROR(__xludf.DUMMYFUNCTION("""COMPUTED_VALUE"""),164.8)</f>
        <v>164.8</v>
      </c>
    </row>
    <row r="948" spans="1:2">
      <c r="A948" s="3">
        <f ca="1">IFERROR(__xludf.DUMMYFUNCTION("""COMPUTED_VALUE"""),30573.6666666666)</f>
        <v>30573.666666666599</v>
      </c>
      <c r="B948" s="1">
        <f ca="1">IFERROR(__xludf.DUMMYFUNCTION("""COMPUTED_VALUE"""),165.35)</f>
        <v>165.35</v>
      </c>
    </row>
    <row r="949" spans="1:2">
      <c r="A949" s="3">
        <f ca="1">IFERROR(__xludf.DUMMYFUNCTION("""COMPUTED_VALUE"""),30574.6666666666)</f>
        <v>30574.666666666599</v>
      </c>
      <c r="B949" s="1">
        <f ca="1">IFERROR(__xludf.DUMMYFUNCTION("""COMPUTED_VALUE"""),164.38)</f>
        <v>164.38</v>
      </c>
    </row>
    <row r="950" spans="1:2">
      <c r="A950" s="3">
        <f ca="1">IFERROR(__xludf.DUMMYFUNCTION("""COMPUTED_VALUE"""),30575.6666666666)</f>
        <v>30575.666666666599</v>
      </c>
      <c r="B950" s="1">
        <f ca="1">IFERROR(__xludf.DUMMYFUNCTION("""COMPUTED_VALUE"""),166.25)</f>
        <v>166.25</v>
      </c>
    </row>
    <row r="951" spans="1:2">
      <c r="A951" s="3">
        <f ca="1">IFERROR(__xludf.DUMMYFUNCTION("""COMPUTED_VALUE"""),30578.6666666666)</f>
        <v>30578.666666666599</v>
      </c>
      <c r="B951" s="1">
        <f ca="1">IFERROR(__xludf.DUMMYFUNCTION("""COMPUTED_VALUE"""),167.62)</f>
        <v>167.62</v>
      </c>
    </row>
    <row r="952" spans="1:2">
      <c r="A952" s="3">
        <f ca="1">IFERROR(__xludf.DUMMYFUNCTION("""COMPUTED_VALUE"""),30579.6666666666)</f>
        <v>30579.666666666599</v>
      </c>
      <c r="B952" s="1">
        <f ca="1">IFERROR(__xludf.DUMMYFUNCTION("""COMPUTED_VALUE"""),169.24)</f>
        <v>169.24</v>
      </c>
    </row>
    <row r="953" spans="1:2">
      <c r="A953" s="3">
        <f ca="1">IFERROR(__xludf.DUMMYFUNCTION("""COMPUTED_VALUE"""),30580.6666666666)</f>
        <v>30580.666666666599</v>
      </c>
      <c r="B953" s="1">
        <f ca="1">IFERROR(__xludf.DUMMYFUNCTION("""COMPUTED_VALUE"""),168.41)</f>
        <v>168.41</v>
      </c>
    </row>
    <row r="954" spans="1:2">
      <c r="A954" s="3">
        <f ca="1">IFERROR(__xludf.DUMMYFUNCTION("""COMPUTED_VALUE"""),30581.6666666666)</f>
        <v>30581.666666666599</v>
      </c>
      <c r="B954" s="1">
        <f ca="1">IFERROR(__xludf.DUMMYFUNCTION("""COMPUTED_VALUE"""),169.76)</f>
        <v>169.76</v>
      </c>
    </row>
    <row r="955" spans="1:2">
      <c r="A955" s="3">
        <f ca="1">IFERROR(__xludf.DUMMYFUNCTION("""COMPUTED_VALUE"""),30582.6666666666)</f>
        <v>30582.666666666599</v>
      </c>
      <c r="B955" s="1">
        <f ca="1">IFERROR(__xludf.DUMMYFUNCTION("""COMPUTED_VALUE"""),169.51)</f>
        <v>169.51</v>
      </c>
    </row>
    <row r="956" spans="1:2">
      <c r="A956" s="3">
        <f ca="1">IFERROR(__xludf.DUMMYFUNCTION("""COMPUTED_VALUE"""),30585.6666666666)</f>
        <v>30585.666666666599</v>
      </c>
      <c r="B956" s="1">
        <f ca="1">IFERROR(__xludf.DUMMYFUNCTION("""COMPUTED_VALUE"""),170.07)</f>
        <v>170.07</v>
      </c>
    </row>
    <row r="957" spans="1:2">
      <c r="A957" s="3">
        <f ca="1">IFERROR(__xludf.DUMMYFUNCTION("""COMPUTED_VALUE"""),30586.6666666666)</f>
        <v>30586.666666666599</v>
      </c>
      <c r="B957" s="1">
        <f ca="1">IFERROR(__xludf.DUMMYFUNCTION("""COMPUTED_VALUE"""),168.43)</f>
        <v>168.43</v>
      </c>
    </row>
    <row r="958" spans="1:2">
      <c r="A958" s="3">
        <f ca="1">IFERROR(__xludf.DUMMYFUNCTION("""COMPUTED_VALUE"""),30587.6666666666)</f>
        <v>30587.666666666599</v>
      </c>
      <c r="B958" s="1">
        <f ca="1">IFERROR(__xludf.DUMMYFUNCTION("""COMPUTED_VALUE"""),168)</f>
        <v>168</v>
      </c>
    </row>
    <row r="959" spans="1:2">
      <c r="A959" s="3">
        <f ca="1">IFERROR(__xludf.DUMMYFUNCTION("""COMPUTED_VALUE"""),30588.6666666666)</f>
        <v>30588.666666666599</v>
      </c>
      <c r="B959" s="1">
        <f ca="1">IFERROR(__xludf.DUMMYFUNCTION("""COMPUTED_VALUE"""),167.23)</f>
        <v>167.23</v>
      </c>
    </row>
    <row r="960" spans="1:2">
      <c r="A960" s="3">
        <f ca="1">IFERROR(__xludf.DUMMYFUNCTION("""COMPUTED_VALUE"""),30589.6666666666)</f>
        <v>30589.666666666599</v>
      </c>
      <c r="B960" s="1">
        <f ca="1">IFERROR(__xludf.DUMMYFUNCTION("""COMPUTED_VALUE"""),166.07)</f>
        <v>166.07</v>
      </c>
    </row>
    <row r="961" spans="1:2">
      <c r="A961" s="3">
        <f ca="1">IFERROR(__xludf.DUMMYFUNCTION("""COMPUTED_VALUE"""),30592.6666666666)</f>
        <v>30592.666666666599</v>
      </c>
      <c r="B961" s="1">
        <f ca="1">IFERROR(__xludf.DUMMYFUNCTION("""COMPUTED_VALUE"""),165.81)</f>
        <v>165.81</v>
      </c>
    </row>
    <row r="962" spans="1:2">
      <c r="A962" s="3">
        <f ca="1">IFERROR(__xludf.DUMMYFUNCTION("""COMPUTED_VALUE"""),30593.6666666666)</f>
        <v>30593.666666666599</v>
      </c>
      <c r="B962" s="1">
        <f ca="1">IFERROR(__xludf.DUMMYFUNCTION("""COMPUTED_VALUE"""),166.27)</f>
        <v>166.27</v>
      </c>
    </row>
    <row r="963" spans="1:2">
      <c r="A963" s="3">
        <f ca="1">IFERROR(__xludf.DUMMYFUNCTION("""COMPUTED_VALUE"""),30594.6666666666)</f>
        <v>30594.666666666599</v>
      </c>
      <c r="B963" s="1">
        <f ca="1">IFERROR(__xludf.DUMMYFUNCTION("""COMPUTED_VALUE"""),167.74)</f>
        <v>167.74</v>
      </c>
    </row>
    <row r="964" spans="1:2">
      <c r="A964" s="3">
        <f ca="1">IFERROR(__xludf.DUMMYFUNCTION("""COMPUTED_VALUE"""),30595.6666666666)</f>
        <v>30595.666666666599</v>
      </c>
      <c r="B964" s="1">
        <f ca="1">IFERROR(__xludf.DUMMYFUNCTION("""COMPUTED_VALUE"""),170.28)</f>
        <v>170.28</v>
      </c>
    </row>
    <row r="965" spans="1:2">
      <c r="A965" s="3">
        <f ca="1">IFERROR(__xludf.DUMMYFUNCTION("""COMPUTED_VALUE"""),30596.6666666666)</f>
        <v>30596.666666666599</v>
      </c>
      <c r="B965" s="1">
        <f ca="1">IFERROR(__xludf.DUMMYFUNCTION("""COMPUTED_VALUE"""),170.8)</f>
        <v>170.8</v>
      </c>
    </row>
    <row r="966" spans="1:2">
      <c r="A966" s="3">
        <f ca="1">IFERROR(__xludf.DUMMYFUNCTION("""COMPUTED_VALUE"""),30599.6666666666)</f>
        <v>30599.666666666599</v>
      </c>
      <c r="B966" s="1">
        <f ca="1">IFERROR(__xludf.DUMMYFUNCTION("""COMPUTED_VALUE"""),172.65)</f>
        <v>172.65</v>
      </c>
    </row>
    <row r="967" spans="1:2">
      <c r="A967" s="3">
        <f ca="1">IFERROR(__xludf.DUMMYFUNCTION("""COMPUTED_VALUE"""),30600.6666666666)</f>
        <v>30600.666666666599</v>
      </c>
      <c r="B967" s="1">
        <f ca="1">IFERROR(__xludf.DUMMYFUNCTION("""COMPUTED_VALUE"""),170.34)</f>
        <v>170.34</v>
      </c>
    </row>
    <row r="968" spans="1:2">
      <c r="A968" s="3">
        <f ca="1">IFERROR(__xludf.DUMMYFUNCTION("""COMPUTED_VALUE"""),30601.6666666666)</f>
        <v>30601.666666666599</v>
      </c>
      <c r="B968" s="1">
        <f ca="1">IFERROR(__xludf.DUMMYFUNCTION("""COMPUTED_VALUE"""),169.62)</f>
        <v>169.62</v>
      </c>
    </row>
    <row r="969" spans="1:2">
      <c r="A969" s="3">
        <f ca="1">IFERROR(__xludf.DUMMYFUNCTION("""COMPUTED_VALUE"""),30602.6666666666)</f>
        <v>30602.666666666599</v>
      </c>
      <c r="B969" s="1">
        <f ca="1">IFERROR(__xludf.DUMMYFUNCTION("""COMPUTED_VALUE"""),169.87)</f>
        <v>169.87</v>
      </c>
    </row>
    <row r="970" spans="1:2">
      <c r="A970" s="3">
        <f ca="1">IFERROR(__xludf.DUMMYFUNCTION("""COMPUTED_VALUE"""),30603.6666666666)</f>
        <v>30603.666666666599</v>
      </c>
      <c r="B970" s="1">
        <f ca="1">IFERROR(__xludf.DUMMYFUNCTION("""COMPUTED_VALUE"""),169.86)</f>
        <v>169.86</v>
      </c>
    </row>
    <row r="971" spans="1:2">
      <c r="A971" s="3">
        <f ca="1">IFERROR(__xludf.DUMMYFUNCTION("""COMPUTED_VALUE"""),30606.6666666666)</f>
        <v>30606.666666666599</v>
      </c>
      <c r="B971" s="1">
        <f ca="1">IFERROR(__xludf.DUMMYFUNCTION("""COMPUTED_VALUE"""),170.43)</f>
        <v>170.43</v>
      </c>
    </row>
    <row r="972" spans="1:2">
      <c r="A972" s="3">
        <f ca="1">IFERROR(__xludf.DUMMYFUNCTION("""COMPUTED_VALUE"""),30607.6666666666)</f>
        <v>30607.666666666599</v>
      </c>
      <c r="B972" s="1">
        <f ca="1">IFERROR(__xludf.DUMMYFUNCTION("""COMPUTED_VALUE"""),167.81)</f>
        <v>167.81</v>
      </c>
    </row>
    <row r="973" spans="1:2">
      <c r="A973" s="3">
        <f ca="1">IFERROR(__xludf.DUMMYFUNCTION("""COMPUTED_VALUE"""),30608.6666666666)</f>
        <v>30608.666666666599</v>
      </c>
      <c r="B973" s="1">
        <f ca="1">IFERROR(__xludf.DUMMYFUNCTION("""COMPUTED_VALUE"""),166.73)</f>
        <v>166.73</v>
      </c>
    </row>
    <row r="974" spans="1:2">
      <c r="A974" s="3">
        <f ca="1">IFERROR(__xludf.DUMMYFUNCTION("""COMPUTED_VALUE"""),30609.6666666666)</f>
        <v>30609.666666666599</v>
      </c>
      <c r="B974" s="1">
        <f ca="1">IFERROR(__xludf.DUMMYFUNCTION("""COMPUTED_VALUE"""),166.98)</f>
        <v>166.98</v>
      </c>
    </row>
    <row r="975" spans="1:2">
      <c r="A975" s="3">
        <f ca="1">IFERROR(__xludf.DUMMYFUNCTION("""COMPUTED_VALUE"""),30610.6666666666)</f>
        <v>30610.666666666599</v>
      </c>
      <c r="B975" s="1">
        <f ca="1">IFERROR(__xludf.DUMMYFUNCTION("""COMPUTED_VALUE"""),165.95)</f>
        <v>165.95</v>
      </c>
    </row>
    <row r="976" spans="1:2">
      <c r="A976" s="3">
        <f ca="1">IFERROR(__xludf.DUMMYFUNCTION("""COMPUTED_VALUE"""),30613.6666666666)</f>
        <v>30613.666666666599</v>
      </c>
      <c r="B976" s="1">
        <f ca="1">IFERROR(__xludf.DUMMYFUNCTION("""COMPUTED_VALUE"""),165.99)</f>
        <v>165.99</v>
      </c>
    </row>
    <row r="977" spans="1:2">
      <c r="A977" s="3">
        <f ca="1">IFERROR(__xludf.DUMMYFUNCTION("""COMPUTED_VALUE"""),30614.6666666666)</f>
        <v>30614.666666666599</v>
      </c>
      <c r="B977" s="1">
        <f ca="1">IFERROR(__xludf.DUMMYFUNCTION("""COMPUTED_VALUE"""),166.47)</f>
        <v>166.47</v>
      </c>
    </row>
    <row r="978" spans="1:2">
      <c r="A978" s="3">
        <f ca="1">IFERROR(__xludf.DUMMYFUNCTION("""COMPUTED_VALUE"""),30615.6666666666)</f>
        <v>30615.666666666599</v>
      </c>
      <c r="B978" s="1">
        <f ca="1">IFERROR(__xludf.DUMMYFUNCTION("""COMPUTED_VALUE"""),165.38)</f>
        <v>165.38</v>
      </c>
    </row>
    <row r="979" spans="1:2">
      <c r="A979" s="3">
        <f ca="1">IFERROR(__xludf.DUMMYFUNCTION("""COMPUTED_VALUE"""),30616.6666666666)</f>
        <v>30616.666666666599</v>
      </c>
      <c r="B979" s="1">
        <f ca="1">IFERROR(__xludf.DUMMYFUNCTION("""COMPUTED_VALUE"""),164.84)</f>
        <v>164.84</v>
      </c>
    </row>
    <row r="980" spans="1:2">
      <c r="A980" s="3">
        <f ca="1">IFERROR(__xludf.DUMMYFUNCTION("""COMPUTED_VALUE"""),30617.6666666666)</f>
        <v>30617.666666666599</v>
      </c>
      <c r="B980" s="1">
        <f ca="1">IFERROR(__xludf.DUMMYFUNCTION("""COMPUTED_VALUE"""),163.37)</f>
        <v>163.37</v>
      </c>
    </row>
    <row r="981" spans="1:2">
      <c r="A981" s="3">
        <f ca="1">IFERROR(__xludf.DUMMYFUNCTION("""COMPUTED_VALUE"""),30620.6666666666)</f>
        <v>30620.666666666599</v>
      </c>
      <c r="B981" s="1">
        <f ca="1">IFERROR(__xludf.DUMMYFUNCTION("""COMPUTED_VALUE"""),163.55)</f>
        <v>163.55000000000001</v>
      </c>
    </row>
    <row r="982" spans="1:2">
      <c r="A982" s="3">
        <f ca="1">IFERROR(__xludf.DUMMYFUNCTION("""COMPUTED_VALUE"""),30621.6666666666)</f>
        <v>30621.666666666599</v>
      </c>
      <c r="B982" s="1">
        <f ca="1">IFERROR(__xludf.DUMMYFUNCTION("""COMPUTED_VALUE"""),163.66)</f>
        <v>163.66</v>
      </c>
    </row>
    <row r="983" spans="1:2">
      <c r="A983" s="3">
        <f ca="1">IFERROR(__xludf.DUMMYFUNCTION("""COMPUTED_VALUE"""),30622.6666666666)</f>
        <v>30622.666666666599</v>
      </c>
      <c r="B983" s="1">
        <f ca="1">IFERROR(__xludf.DUMMYFUNCTION("""COMPUTED_VALUE"""),164.84)</f>
        <v>164.84</v>
      </c>
    </row>
    <row r="984" spans="1:2">
      <c r="A984" s="3">
        <f ca="1">IFERROR(__xludf.DUMMYFUNCTION("""COMPUTED_VALUE"""),30623.6666666666)</f>
        <v>30623.666666666599</v>
      </c>
      <c r="B984" s="1">
        <f ca="1">IFERROR(__xludf.DUMMYFUNCTION("""COMPUTED_VALUE"""),163.45)</f>
        <v>163.44999999999999</v>
      </c>
    </row>
    <row r="985" spans="1:2">
      <c r="A985" s="3">
        <f ca="1">IFERROR(__xludf.DUMMYFUNCTION("""COMPUTED_VALUE"""),30624.6666666666)</f>
        <v>30624.666666666599</v>
      </c>
      <c r="B985" s="1">
        <f ca="1">IFERROR(__xludf.DUMMYFUNCTION("""COMPUTED_VALUE"""),162.44)</f>
        <v>162.44</v>
      </c>
    </row>
    <row r="986" spans="1:2">
      <c r="A986" s="3">
        <f ca="1">IFERROR(__xludf.DUMMYFUNCTION("""COMPUTED_VALUE"""),30627.6666666666)</f>
        <v>30627.666666666599</v>
      </c>
      <c r="B986" s="1">
        <f ca="1">IFERROR(__xludf.DUMMYFUNCTION("""COMPUTED_VALUE"""),161.91)</f>
        <v>161.91</v>
      </c>
    </row>
    <row r="987" spans="1:2">
      <c r="A987" s="3">
        <f ca="1">IFERROR(__xludf.DUMMYFUNCTION("""COMPUTED_VALUE"""),30628.6666666666)</f>
        <v>30628.666666666599</v>
      </c>
      <c r="B987" s="1">
        <f ca="1">IFERROR(__xludf.DUMMYFUNCTION("""COMPUTED_VALUE"""),161.76)</f>
        <v>161.76</v>
      </c>
    </row>
    <row r="988" spans="1:2">
      <c r="A988" s="3">
        <f ca="1">IFERROR(__xludf.DUMMYFUNCTION("""COMPUTED_VALUE"""),30629.6666666666)</f>
        <v>30629.666666666599</v>
      </c>
      <c r="B988" s="1">
        <f ca="1">IFERROR(__xludf.DUMMYFUNCTION("""COMPUTED_VALUE"""),163.97)</f>
        <v>163.97</v>
      </c>
    </row>
    <row r="989" spans="1:2">
      <c r="A989" s="3">
        <f ca="1">IFERROR(__xludf.DUMMYFUNCTION("""COMPUTED_VALUE"""),30630.6666666666)</f>
        <v>30630.666666666599</v>
      </c>
      <c r="B989" s="1">
        <f ca="1">IFERROR(__xludf.DUMMYFUNCTION("""COMPUTED_VALUE"""),164.41)</f>
        <v>164.41</v>
      </c>
    </row>
    <row r="990" spans="1:2">
      <c r="A990" s="3">
        <f ca="1">IFERROR(__xludf.DUMMYFUNCTION("""COMPUTED_VALUE"""),30631.6666666666)</f>
        <v>30631.666666666599</v>
      </c>
      <c r="B990" s="1">
        <f ca="1">IFERROR(__xludf.DUMMYFUNCTION("""COMPUTED_VALUE"""),166.29)</f>
        <v>166.29</v>
      </c>
    </row>
    <row r="991" spans="1:2">
      <c r="A991" s="3">
        <f ca="1">IFERROR(__xludf.DUMMYFUNCTION("""COMPUTED_VALUE"""),30634.6666666666)</f>
        <v>30634.666666666599</v>
      </c>
      <c r="B991" s="1">
        <f ca="1">IFERROR(__xludf.DUMMYFUNCTION("""COMPUTED_VALUE"""),166.58)</f>
        <v>166.58</v>
      </c>
    </row>
    <row r="992" spans="1:2">
      <c r="A992" s="3">
        <f ca="1">IFERROR(__xludf.DUMMYFUNCTION("""COMPUTED_VALUE"""),30635.6666666666)</f>
        <v>30635.666666666599</v>
      </c>
      <c r="B992" s="1">
        <f ca="1">IFERROR(__xludf.DUMMYFUNCTION("""COMPUTED_VALUE"""),165.36)</f>
        <v>165.36</v>
      </c>
    </row>
    <row r="993" spans="1:2">
      <c r="A993" s="3">
        <f ca="1">IFERROR(__xludf.DUMMYFUNCTION("""COMPUTED_VALUE"""),30636.6666666666)</f>
        <v>30636.666666666599</v>
      </c>
      <c r="B993" s="1">
        <f ca="1">IFERROR(__xludf.DUMMYFUNCTION("""COMPUTED_VALUE"""),166.08)</f>
        <v>166.08</v>
      </c>
    </row>
    <row r="994" spans="1:2">
      <c r="A994" s="3">
        <f ca="1">IFERROR(__xludf.DUMMYFUNCTION("""COMPUTED_VALUE"""),30637.6666666666)</f>
        <v>30637.666666666599</v>
      </c>
      <c r="B994" s="1">
        <f ca="1">IFERROR(__xludf.DUMMYFUNCTION("""COMPUTED_VALUE"""),166.13)</f>
        <v>166.13</v>
      </c>
    </row>
    <row r="995" spans="1:2">
      <c r="A995" s="3">
        <f ca="1">IFERROR(__xludf.DUMMYFUNCTION("""COMPUTED_VALUE"""),30638.6666666666)</f>
        <v>30638.666666666599</v>
      </c>
      <c r="B995" s="1">
        <f ca="1">IFERROR(__xludf.DUMMYFUNCTION("""COMPUTED_VALUE"""),165.09)</f>
        <v>165.09</v>
      </c>
    </row>
    <row r="996" spans="1:2">
      <c r="A996" s="3">
        <f ca="1">IFERROR(__xludf.DUMMYFUNCTION("""COMPUTED_VALUE"""),30641.6666666666)</f>
        <v>30641.666666666599</v>
      </c>
      <c r="B996" s="1">
        <f ca="1">IFERROR(__xludf.DUMMYFUNCTION("""COMPUTED_VALUE"""),166.05)</f>
        <v>166.05</v>
      </c>
    </row>
    <row r="997" spans="1:2">
      <c r="A997" s="3">
        <f ca="1">IFERROR(__xludf.DUMMYFUNCTION("""COMPUTED_VALUE"""),30642.6666666666)</f>
        <v>30642.666666666599</v>
      </c>
      <c r="B997" s="1">
        <f ca="1">IFERROR(__xludf.DUMMYFUNCTION("""COMPUTED_VALUE"""),166.84)</f>
        <v>166.84</v>
      </c>
    </row>
    <row r="998" spans="1:2">
      <c r="A998" s="3">
        <f ca="1">IFERROR(__xludf.DUMMYFUNCTION("""COMPUTED_VALUE"""),30643.6666666666)</f>
        <v>30643.666666666599</v>
      </c>
      <c r="B998" s="1">
        <f ca="1">IFERROR(__xludf.DUMMYFUNCTION("""COMPUTED_VALUE"""),166.96)</f>
        <v>166.96</v>
      </c>
    </row>
    <row r="999" spans="1:2">
      <c r="A999" s="3">
        <f ca="1">IFERROR(__xludf.DUMMYFUNCTION("""COMPUTED_VALUE"""),30645.6666666666)</f>
        <v>30645.666666666599</v>
      </c>
      <c r="B999" s="1">
        <f ca="1">IFERROR(__xludf.DUMMYFUNCTION("""COMPUTED_VALUE"""),167.18)</f>
        <v>167.18</v>
      </c>
    </row>
    <row r="1000" spans="1:2">
      <c r="A1000" s="3">
        <f ca="1">IFERROR(__xludf.DUMMYFUNCTION("""COMPUTED_VALUE"""),30648.6666666666)</f>
        <v>30648.666666666599</v>
      </c>
      <c r="B1000" s="1">
        <f ca="1">IFERROR(__xludf.DUMMYFUNCTION("""COMPUTED_VALUE"""),166.54)</f>
        <v>166.54</v>
      </c>
    </row>
    <row r="1001" spans="1:2">
      <c r="A1001" s="3">
        <f ca="1">IFERROR(__xludf.DUMMYFUNCTION("""COMPUTED_VALUE"""),30649.6666666666)</f>
        <v>30649.666666666599</v>
      </c>
      <c r="B1001" s="1">
        <f ca="1">IFERROR(__xludf.DUMMYFUNCTION("""COMPUTED_VALUE"""),167.91)</f>
        <v>167.91</v>
      </c>
    </row>
    <row r="1002" spans="1:2">
      <c r="A1002" s="3">
        <f ca="1">IFERROR(__xludf.DUMMYFUNCTION("""COMPUTED_VALUE"""),30650.6666666666)</f>
        <v>30650.666666666599</v>
      </c>
      <c r="B1002" s="1">
        <f ca="1">IFERROR(__xludf.DUMMYFUNCTION("""COMPUTED_VALUE"""),166.4)</f>
        <v>166.4</v>
      </c>
    </row>
    <row r="1003" spans="1:2">
      <c r="A1003" s="3">
        <f ca="1">IFERROR(__xludf.DUMMYFUNCTION("""COMPUTED_VALUE"""),30651.6666666666)</f>
        <v>30651.666666666599</v>
      </c>
      <c r="B1003" s="1">
        <f ca="1">IFERROR(__xludf.DUMMYFUNCTION("""COMPUTED_VALUE"""),166.49)</f>
        <v>166.49</v>
      </c>
    </row>
    <row r="1004" spans="1:2">
      <c r="A1004" s="3">
        <f ca="1">IFERROR(__xludf.DUMMYFUNCTION("""COMPUTED_VALUE"""),30652.6666666666)</f>
        <v>30652.666666666599</v>
      </c>
      <c r="B1004" s="1">
        <f ca="1">IFERROR(__xludf.DUMMYFUNCTION("""COMPUTED_VALUE"""),165.44)</f>
        <v>165.44</v>
      </c>
    </row>
    <row r="1005" spans="1:2">
      <c r="A1005" s="3">
        <f ca="1">IFERROR(__xludf.DUMMYFUNCTION("""COMPUTED_VALUE"""),30655.6666666666)</f>
        <v>30655.666666666599</v>
      </c>
      <c r="B1005" s="1">
        <f ca="1">IFERROR(__xludf.DUMMYFUNCTION("""COMPUTED_VALUE"""),165.76)</f>
        <v>165.76</v>
      </c>
    </row>
    <row r="1006" spans="1:2">
      <c r="A1006" s="3">
        <f ca="1">IFERROR(__xludf.DUMMYFUNCTION("""COMPUTED_VALUE"""),30656.6666666666)</f>
        <v>30656.666666666599</v>
      </c>
      <c r="B1006" s="1">
        <f ca="1">IFERROR(__xludf.DUMMYFUNCTION("""COMPUTED_VALUE"""),165.47)</f>
        <v>165.47</v>
      </c>
    </row>
    <row r="1007" spans="1:2">
      <c r="A1007" s="3">
        <f ca="1">IFERROR(__xludf.DUMMYFUNCTION("""COMPUTED_VALUE"""),30657.6666666666)</f>
        <v>30657.666666666599</v>
      </c>
      <c r="B1007" s="1">
        <f ca="1">IFERROR(__xludf.DUMMYFUNCTION("""COMPUTED_VALUE"""),165.91)</f>
        <v>165.91</v>
      </c>
    </row>
    <row r="1008" spans="1:2">
      <c r="A1008" s="3">
        <f ca="1">IFERROR(__xludf.DUMMYFUNCTION("""COMPUTED_VALUE"""),30658.6666666666)</f>
        <v>30658.666666666599</v>
      </c>
      <c r="B1008" s="1">
        <f ca="1">IFERROR(__xludf.DUMMYFUNCTION("""COMPUTED_VALUE"""),165.2)</f>
        <v>165.2</v>
      </c>
    </row>
    <row r="1009" spans="1:2">
      <c r="A1009" s="3">
        <f ca="1">IFERROR(__xludf.DUMMYFUNCTION("""COMPUTED_VALUE"""),30659.6666666666)</f>
        <v>30659.666666666599</v>
      </c>
      <c r="B1009" s="1">
        <f ca="1">IFERROR(__xludf.DUMMYFUNCTION("""COMPUTED_VALUE"""),165.08)</f>
        <v>165.08</v>
      </c>
    </row>
    <row r="1010" spans="1:2">
      <c r="A1010" s="3">
        <f ca="1">IFERROR(__xludf.DUMMYFUNCTION("""COMPUTED_VALUE"""),30662.6666666666)</f>
        <v>30662.666666666599</v>
      </c>
      <c r="B1010" s="1">
        <f ca="1">IFERROR(__xludf.DUMMYFUNCTION("""COMPUTED_VALUE"""),165.62)</f>
        <v>165.62</v>
      </c>
    </row>
    <row r="1011" spans="1:2">
      <c r="A1011" s="3">
        <f ca="1">IFERROR(__xludf.DUMMYFUNCTION("""COMPUTED_VALUE"""),30663.6666666666)</f>
        <v>30663.666666666599</v>
      </c>
      <c r="B1011" s="1">
        <f ca="1">IFERROR(__xludf.DUMMYFUNCTION("""COMPUTED_VALUE"""),164.93)</f>
        <v>164.93</v>
      </c>
    </row>
    <row r="1012" spans="1:2">
      <c r="A1012" s="3">
        <f ca="1">IFERROR(__xludf.DUMMYFUNCTION("""COMPUTED_VALUE"""),30664.6666666666)</f>
        <v>30664.666666666599</v>
      </c>
      <c r="B1012" s="1">
        <f ca="1">IFERROR(__xludf.DUMMYFUNCTION("""COMPUTED_VALUE"""),163.33)</f>
        <v>163.33000000000001</v>
      </c>
    </row>
    <row r="1013" spans="1:2">
      <c r="A1013" s="3">
        <f ca="1">IFERROR(__xludf.DUMMYFUNCTION("""COMPUTED_VALUE"""),30665.6666666666)</f>
        <v>30665.666666666599</v>
      </c>
      <c r="B1013" s="1">
        <f ca="1">IFERROR(__xludf.DUMMYFUNCTION("""COMPUTED_VALUE"""),161.66)</f>
        <v>161.66</v>
      </c>
    </row>
    <row r="1014" spans="1:2">
      <c r="A1014" s="3">
        <f ca="1">IFERROR(__xludf.DUMMYFUNCTION("""COMPUTED_VALUE"""),30666.6666666666)</f>
        <v>30666.666666666599</v>
      </c>
      <c r="B1014" s="1">
        <f ca="1">IFERROR(__xludf.DUMMYFUNCTION("""COMPUTED_VALUE"""),162.39)</f>
        <v>162.38999999999999</v>
      </c>
    </row>
    <row r="1015" spans="1:2">
      <c r="A1015" s="3">
        <f ca="1">IFERROR(__xludf.DUMMYFUNCTION("""COMPUTED_VALUE"""),30669.6666666666)</f>
        <v>30669.666666666599</v>
      </c>
      <c r="B1015" s="1">
        <f ca="1">IFERROR(__xludf.DUMMYFUNCTION("""COMPUTED_VALUE"""),162.32)</f>
        <v>162.32</v>
      </c>
    </row>
    <row r="1016" spans="1:2">
      <c r="A1016" s="3">
        <f ca="1">IFERROR(__xludf.DUMMYFUNCTION("""COMPUTED_VALUE"""),30670.6666666666)</f>
        <v>30670.666666666599</v>
      </c>
      <c r="B1016" s="1">
        <f ca="1">IFERROR(__xludf.DUMMYFUNCTION("""COMPUTED_VALUE"""),162)</f>
        <v>162</v>
      </c>
    </row>
    <row r="1017" spans="1:2">
      <c r="A1017" s="3">
        <f ca="1">IFERROR(__xludf.DUMMYFUNCTION("""COMPUTED_VALUE"""),30671.6666666666)</f>
        <v>30671.666666666599</v>
      </c>
      <c r="B1017" s="1">
        <f ca="1">IFERROR(__xludf.DUMMYFUNCTION("""COMPUTED_VALUE"""),163.56)</f>
        <v>163.56</v>
      </c>
    </row>
    <row r="1018" spans="1:2">
      <c r="A1018" s="3">
        <f ca="1">IFERROR(__xludf.DUMMYFUNCTION("""COMPUTED_VALUE"""),30672.6666666666)</f>
        <v>30672.666666666599</v>
      </c>
      <c r="B1018" s="1">
        <f ca="1">IFERROR(__xludf.DUMMYFUNCTION("""COMPUTED_VALUE"""),163.53)</f>
        <v>163.53</v>
      </c>
    </row>
    <row r="1019" spans="1:2">
      <c r="A1019" s="3">
        <f ca="1">IFERROR(__xludf.DUMMYFUNCTION("""COMPUTED_VALUE"""),30673.6666666666)</f>
        <v>30673.666666666599</v>
      </c>
      <c r="B1019" s="1">
        <f ca="1">IFERROR(__xludf.DUMMYFUNCTION("""COMPUTED_VALUE"""),163.22)</f>
        <v>163.22</v>
      </c>
    </row>
    <row r="1020" spans="1:2">
      <c r="A1020" s="3">
        <f ca="1">IFERROR(__xludf.DUMMYFUNCTION("""COMPUTED_VALUE"""),30677.6666666666)</f>
        <v>30677.666666666599</v>
      </c>
      <c r="B1020" s="1">
        <f ca="1">IFERROR(__xludf.DUMMYFUNCTION("""COMPUTED_VALUE"""),164.76)</f>
        <v>164.76</v>
      </c>
    </row>
    <row r="1021" spans="1:2">
      <c r="A1021" s="3">
        <f ca="1">IFERROR(__xludf.DUMMYFUNCTION("""COMPUTED_VALUE"""),30678.6666666666)</f>
        <v>30678.666666666599</v>
      </c>
      <c r="B1021" s="1">
        <f ca="1">IFERROR(__xludf.DUMMYFUNCTION("""COMPUTED_VALUE"""),165.34)</f>
        <v>165.34</v>
      </c>
    </row>
    <row r="1022" spans="1:2">
      <c r="A1022" s="3">
        <f ca="1">IFERROR(__xludf.DUMMYFUNCTION("""COMPUTED_VALUE"""),30679.6666666666)</f>
        <v>30679.666666666599</v>
      </c>
      <c r="B1022" s="1">
        <f ca="1">IFERROR(__xludf.DUMMYFUNCTION("""COMPUTED_VALUE"""),164.86)</f>
        <v>164.86</v>
      </c>
    </row>
    <row r="1023" spans="1:2">
      <c r="A1023" s="3">
        <f ca="1">IFERROR(__xludf.DUMMYFUNCTION("""COMPUTED_VALUE"""),30680.6666666666)</f>
        <v>30680.666666666599</v>
      </c>
      <c r="B1023" s="1">
        <f ca="1">IFERROR(__xludf.DUMMYFUNCTION("""COMPUTED_VALUE"""),164.93)</f>
        <v>164.93</v>
      </c>
    </row>
    <row r="1024" spans="1:2">
      <c r="A1024" s="3">
        <f ca="1">IFERROR(__xludf.DUMMYFUNCTION("""COMPUTED_VALUE"""),30684.6666666666)</f>
        <v>30684.666666666599</v>
      </c>
      <c r="B1024" s="1">
        <f ca="1">IFERROR(__xludf.DUMMYFUNCTION("""COMPUTED_VALUE"""),164.04)</f>
        <v>164.04</v>
      </c>
    </row>
    <row r="1025" spans="1:2">
      <c r="A1025" s="3">
        <f ca="1">IFERROR(__xludf.DUMMYFUNCTION("""COMPUTED_VALUE"""),30685.6666666666)</f>
        <v>30685.666666666599</v>
      </c>
      <c r="B1025" s="1">
        <f ca="1">IFERROR(__xludf.DUMMYFUNCTION("""COMPUTED_VALUE"""),166.78)</f>
        <v>166.78</v>
      </c>
    </row>
    <row r="1026" spans="1:2">
      <c r="A1026" s="3">
        <f ca="1">IFERROR(__xludf.DUMMYFUNCTION("""COMPUTED_VALUE"""),30686.6666666666)</f>
        <v>30686.666666666599</v>
      </c>
      <c r="B1026" s="1">
        <f ca="1">IFERROR(__xludf.DUMMYFUNCTION("""COMPUTED_VALUE"""),168.81)</f>
        <v>168.81</v>
      </c>
    </row>
    <row r="1027" spans="1:2">
      <c r="A1027" s="3">
        <f ca="1">IFERROR(__xludf.DUMMYFUNCTION("""COMPUTED_VALUE"""),30687.6666666666)</f>
        <v>30687.666666666599</v>
      </c>
      <c r="B1027" s="1">
        <f ca="1">IFERROR(__xludf.DUMMYFUNCTION("""COMPUTED_VALUE"""),169.28)</f>
        <v>169.28</v>
      </c>
    </row>
    <row r="1028" spans="1:2">
      <c r="A1028" s="3">
        <f ca="1">IFERROR(__xludf.DUMMYFUNCTION("""COMPUTED_VALUE"""),30690.6666666666)</f>
        <v>30690.666666666599</v>
      </c>
      <c r="B1028" s="1">
        <f ca="1">IFERROR(__xludf.DUMMYFUNCTION("""COMPUTED_VALUE"""),168.9)</f>
        <v>168.9</v>
      </c>
    </row>
    <row r="1029" spans="1:2">
      <c r="A1029" s="3">
        <f ca="1">IFERROR(__xludf.DUMMYFUNCTION("""COMPUTED_VALUE"""),30691.6666666666)</f>
        <v>30691.666666666599</v>
      </c>
      <c r="B1029" s="1">
        <f ca="1">IFERROR(__xludf.DUMMYFUNCTION("""COMPUTED_VALUE"""),167.95)</f>
        <v>167.95</v>
      </c>
    </row>
    <row r="1030" spans="1:2">
      <c r="A1030" s="3">
        <f ca="1">IFERROR(__xludf.DUMMYFUNCTION("""COMPUTED_VALUE"""),30692.6666666666)</f>
        <v>30692.666666666599</v>
      </c>
      <c r="B1030" s="1">
        <f ca="1">IFERROR(__xludf.DUMMYFUNCTION("""COMPUTED_VALUE"""),167.8)</f>
        <v>167.8</v>
      </c>
    </row>
    <row r="1031" spans="1:2">
      <c r="A1031" s="3">
        <f ca="1">IFERROR(__xludf.DUMMYFUNCTION("""COMPUTED_VALUE"""),30693.6666666666)</f>
        <v>30693.666666666599</v>
      </c>
      <c r="B1031" s="1">
        <f ca="1">IFERROR(__xludf.DUMMYFUNCTION("""COMPUTED_VALUE"""),167.75)</f>
        <v>167.75</v>
      </c>
    </row>
    <row r="1032" spans="1:2">
      <c r="A1032" s="3">
        <f ca="1">IFERROR(__xludf.DUMMYFUNCTION("""COMPUTED_VALUE"""),30694.6666666666)</f>
        <v>30694.666666666599</v>
      </c>
      <c r="B1032" s="1">
        <f ca="1">IFERROR(__xludf.DUMMYFUNCTION("""COMPUTED_VALUE"""),167.02)</f>
        <v>167.02</v>
      </c>
    </row>
    <row r="1033" spans="1:2">
      <c r="A1033" s="3">
        <f ca="1">IFERROR(__xludf.DUMMYFUNCTION("""COMPUTED_VALUE"""),30697.6666666666)</f>
        <v>30697.666666666599</v>
      </c>
      <c r="B1033" s="1">
        <f ca="1">IFERROR(__xludf.DUMMYFUNCTION("""COMPUTED_VALUE"""),167.18)</f>
        <v>167.18</v>
      </c>
    </row>
    <row r="1034" spans="1:2">
      <c r="A1034" s="3">
        <f ca="1">IFERROR(__xludf.DUMMYFUNCTION("""COMPUTED_VALUE"""),30698.6666666666)</f>
        <v>30698.666666666599</v>
      </c>
      <c r="B1034" s="1">
        <f ca="1">IFERROR(__xludf.DUMMYFUNCTION("""COMPUTED_VALUE"""),167.83)</f>
        <v>167.83</v>
      </c>
    </row>
    <row r="1035" spans="1:2">
      <c r="A1035" s="3">
        <f ca="1">IFERROR(__xludf.DUMMYFUNCTION("""COMPUTED_VALUE"""),30699.6666666666)</f>
        <v>30699.666666666599</v>
      </c>
      <c r="B1035" s="1">
        <f ca="1">IFERROR(__xludf.DUMMYFUNCTION("""COMPUTED_VALUE"""),167.55)</f>
        <v>167.55</v>
      </c>
    </row>
    <row r="1036" spans="1:2">
      <c r="A1036" s="3">
        <f ca="1">IFERROR(__xludf.DUMMYFUNCTION("""COMPUTED_VALUE"""),30700.6666666666)</f>
        <v>30700.666666666599</v>
      </c>
      <c r="B1036" s="1">
        <f ca="1">IFERROR(__xludf.DUMMYFUNCTION("""COMPUTED_VALUE"""),167.04)</f>
        <v>167.04</v>
      </c>
    </row>
    <row r="1037" spans="1:2">
      <c r="A1037" s="3">
        <f ca="1">IFERROR(__xludf.DUMMYFUNCTION("""COMPUTED_VALUE"""),30701.6666666666)</f>
        <v>30701.666666666599</v>
      </c>
      <c r="B1037" s="1">
        <f ca="1">IFERROR(__xludf.DUMMYFUNCTION("""COMPUTED_VALUE"""),166.21)</f>
        <v>166.21</v>
      </c>
    </row>
    <row r="1038" spans="1:2">
      <c r="A1038" s="3">
        <f ca="1">IFERROR(__xludf.DUMMYFUNCTION("""COMPUTED_VALUE"""),30704.6666666666)</f>
        <v>30704.666666666599</v>
      </c>
      <c r="B1038" s="1">
        <f ca="1">IFERROR(__xludf.DUMMYFUNCTION("""COMPUTED_VALUE"""),164.87)</f>
        <v>164.87</v>
      </c>
    </row>
    <row r="1039" spans="1:2">
      <c r="A1039" s="3">
        <f ca="1">IFERROR(__xludf.DUMMYFUNCTION("""COMPUTED_VALUE"""),30705.6666666666)</f>
        <v>30705.666666666599</v>
      </c>
      <c r="B1039" s="1">
        <f ca="1">IFERROR(__xludf.DUMMYFUNCTION("""COMPUTED_VALUE"""),165.94)</f>
        <v>165.94</v>
      </c>
    </row>
    <row r="1040" spans="1:2">
      <c r="A1040" s="3">
        <f ca="1">IFERROR(__xludf.DUMMYFUNCTION("""COMPUTED_VALUE"""),30706.6666666666)</f>
        <v>30706.666666666599</v>
      </c>
      <c r="B1040" s="1">
        <f ca="1">IFERROR(__xludf.DUMMYFUNCTION("""COMPUTED_VALUE"""),164.84)</f>
        <v>164.84</v>
      </c>
    </row>
    <row r="1041" spans="1:2">
      <c r="A1041" s="3">
        <f ca="1">IFERROR(__xludf.DUMMYFUNCTION("""COMPUTED_VALUE"""),30707.6666666666)</f>
        <v>30707.666666666599</v>
      </c>
      <c r="B1041" s="1">
        <f ca="1">IFERROR(__xludf.DUMMYFUNCTION("""COMPUTED_VALUE"""),164.24)</f>
        <v>164.24</v>
      </c>
    </row>
    <row r="1042" spans="1:2">
      <c r="A1042" s="3">
        <f ca="1">IFERROR(__xludf.DUMMYFUNCTION("""COMPUTED_VALUE"""),30708.6666666666)</f>
        <v>30708.666666666599</v>
      </c>
      <c r="B1042" s="1">
        <f ca="1">IFERROR(__xludf.DUMMYFUNCTION("""COMPUTED_VALUE"""),163.94)</f>
        <v>163.94</v>
      </c>
    </row>
    <row r="1043" spans="1:2">
      <c r="A1043" s="3">
        <f ca="1">IFERROR(__xludf.DUMMYFUNCTION("""COMPUTED_VALUE"""),30711.6666666666)</f>
        <v>30711.666666666599</v>
      </c>
      <c r="B1043" s="1">
        <f ca="1">IFERROR(__xludf.DUMMYFUNCTION("""COMPUTED_VALUE"""),162.87)</f>
        <v>162.87</v>
      </c>
    </row>
    <row r="1044" spans="1:2">
      <c r="A1044" s="3">
        <f ca="1">IFERROR(__xludf.DUMMYFUNCTION("""COMPUTED_VALUE"""),30712.6666666666)</f>
        <v>30712.666666666599</v>
      </c>
      <c r="B1044" s="1">
        <f ca="1">IFERROR(__xludf.DUMMYFUNCTION("""COMPUTED_VALUE"""),163.41)</f>
        <v>163.41</v>
      </c>
    </row>
    <row r="1045" spans="1:2">
      <c r="A1045" s="3">
        <f ca="1">IFERROR(__xludf.DUMMYFUNCTION("""COMPUTED_VALUE"""),30713.6666666666)</f>
        <v>30713.666666666599</v>
      </c>
      <c r="B1045" s="1">
        <f ca="1">IFERROR(__xludf.DUMMYFUNCTION("""COMPUTED_VALUE"""),162.74)</f>
        <v>162.74</v>
      </c>
    </row>
    <row r="1046" spans="1:2">
      <c r="A1046" s="3">
        <f ca="1">IFERROR(__xludf.DUMMYFUNCTION("""COMPUTED_VALUE"""),30714.6666666666)</f>
        <v>30714.666666666599</v>
      </c>
      <c r="B1046" s="1">
        <f ca="1">IFERROR(__xludf.DUMMYFUNCTION("""COMPUTED_VALUE"""),163.36)</f>
        <v>163.36000000000001</v>
      </c>
    </row>
    <row r="1047" spans="1:2">
      <c r="A1047" s="3">
        <f ca="1">IFERROR(__xludf.DUMMYFUNCTION("""COMPUTED_VALUE"""),30715.6666666666)</f>
        <v>30715.666666666599</v>
      </c>
      <c r="B1047" s="1">
        <f ca="1">IFERROR(__xludf.DUMMYFUNCTION("""COMPUTED_VALUE"""),160.91)</f>
        <v>160.91</v>
      </c>
    </row>
    <row r="1048" spans="1:2">
      <c r="A1048" s="3">
        <f ca="1">IFERROR(__xludf.DUMMYFUNCTION("""COMPUTED_VALUE"""),30718.6666666666)</f>
        <v>30718.666666666599</v>
      </c>
      <c r="B1048" s="1">
        <f ca="1">IFERROR(__xludf.DUMMYFUNCTION("""COMPUTED_VALUE"""),158.08)</f>
        <v>158.08000000000001</v>
      </c>
    </row>
    <row r="1049" spans="1:2">
      <c r="A1049" s="3">
        <f ca="1">IFERROR(__xludf.DUMMYFUNCTION("""COMPUTED_VALUE"""),30719.6666666666)</f>
        <v>30719.666666666599</v>
      </c>
      <c r="B1049" s="1">
        <f ca="1">IFERROR(__xludf.DUMMYFUNCTION("""COMPUTED_VALUE"""),158.74)</f>
        <v>158.74</v>
      </c>
    </row>
    <row r="1050" spans="1:2">
      <c r="A1050" s="3">
        <f ca="1">IFERROR(__xludf.DUMMYFUNCTION("""COMPUTED_VALUE"""),30720.6666666666)</f>
        <v>30720.666666666599</v>
      </c>
      <c r="B1050" s="1">
        <f ca="1">IFERROR(__xludf.DUMMYFUNCTION("""COMPUTED_VALUE"""),155.85)</f>
        <v>155.85</v>
      </c>
    </row>
    <row r="1051" spans="1:2">
      <c r="A1051" s="3">
        <f ca="1">IFERROR(__xludf.DUMMYFUNCTION("""COMPUTED_VALUE"""),30721.6666666666)</f>
        <v>30721.666666666599</v>
      </c>
      <c r="B1051" s="1">
        <f ca="1">IFERROR(__xludf.DUMMYFUNCTION("""COMPUTED_VALUE"""),155.42)</f>
        <v>155.41999999999999</v>
      </c>
    </row>
    <row r="1052" spans="1:2">
      <c r="A1052" s="3">
        <f ca="1">IFERROR(__xludf.DUMMYFUNCTION("""COMPUTED_VALUE"""),30722.6666666666)</f>
        <v>30722.666666666599</v>
      </c>
      <c r="B1052" s="1">
        <f ca="1">IFERROR(__xludf.DUMMYFUNCTION("""COMPUTED_VALUE"""),156.3)</f>
        <v>156.30000000000001</v>
      </c>
    </row>
    <row r="1053" spans="1:2">
      <c r="A1053" s="3">
        <f ca="1">IFERROR(__xludf.DUMMYFUNCTION("""COMPUTED_VALUE"""),30725.6666666666)</f>
        <v>30725.666666666599</v>
      </c>
      <c r="B1053" s="1">
        <f ca="1">IFERROR(__xludf.DUMMYFUNCTION("""COMPUTED_VALUE"""),154.95)</f>
        <v>154.94999999999999</v>
      </c>
    </row>
    <row r="1054" spans="1:2">
      <c r="A1054" s="3">
        <f ca="1">IFERROR(__xludf.DUMMYFUNCTION("""COMPUTED_VALUE"""),30726.6666666666)</f>
        <v>30726.666666666599</v>
      </c>
      <c r="B1054" s="1">
        <f ca="1">IFERROR(__xludf.DUMMYFUNCTION("""COMPUTED_VALUE"""),156.61)</f>
        <v>156.61000000000001</v>
      </c>
    </row>
    <row r="1055" spans="1:2">
      <c r="A1055" s="3">
        <f ca="1">IFERROR(__xludf.DUMMYFUNCTION("""COMPUTED_VALUE"""),30727.6666666666)</f>
        <v>30727.666666666599</v>
      </c>
      <c r="B1055" s="1">
        <f ca="1">IFERROR(__xludf.DUMMYFUNCTION("""COMPUTED_VALUE"""),156.25)</f>
        <v>156.25</v>
      </c>
    </row>
    <row r="1056" spans="1:2">
      <c r="A1056" s="3">
        <f ca="1">IFERROR(__xludf.DUMMYFUNCTION("""COMPUTED_VALUE"""),30728.6666666666)</f>
        <v>30728.666666666599</v>
      </c>
      <c r="B1056" s="1">
        <f ca="1">IFERROR(__xludf.DUMMYFUNCTION("""COMPUTED_VALUE"""),156.13)</f>
        <v>156.13</v>
      </c>
    </row>
    <row r="1057" spans="1:2">
      <c r="A1057" s="3">
        <f ca="1">IFERROR(__xludf.DUMMYFUNCTION("""COMPUTED_VALUE"""),30729.6666666666)</f>
        <v>30729.666666666599</v>
      </c>
      <c r="B1057" s="1">
        <f ca="1">IFERROR(__xludf.DUMMYFUNCTION("""COMPUTED_VALUE"""),155.74)</f>
        <v>155.74</v>
      </c>
    </row>
    <row r="1058" spans="1:2">
      <c r="A1058" s="3">
        <f ca="1">IFERROR(__xludf.DUMMYFUNCTION("""COMPUTED_VALUE"""),30732.6666666666)</f>
        <v>30732.666666666599</v>
      </c>
      <c r="B1058" s="1">
        <f ca="1">IFERROR(__xludf.DUMMYFUNCTION("""COMPUTED_VALUE"""),154.64)</f>
        <v>154.63999999999999</v>
      </c>
    </row>
    <row r="1059" spans="1:2">
      <c r="A1059" s="3">
        <f ca="1">IFERROR(__xludf.DUMMYFUNCTION("""COMPUTED_VALUE"""),30733.6666666666)</f>
        <v>30733.666666666599</v>
      </c>
      <c r="B1059" s="1">
        <f ca="1">IFERROR(__xludf.DUMMYFUNCTION("""COMPUTED_VALUE"""),154.64)</f>
        <v>154.63999999999999</v>
      </c>
    </row>
    <row r="1060" spans="1:2">
      <c r="A1060" s="3">
        <f ca="1">IFERROR(__xludf.DUMMYFUNCTION("""COMPUTED_VALUE"""),30734.6666666666)</f>
        <v>30734.666666666599</v>
      </c>
      <c r="B1060" s="1">
        <f ca="1">IFERROR(__xludf.DUMMYFUNCTION("""COMPUTED_VALUE"""),154.31)</f>
        <v>154.31</v>
      </c>
    </row>
    <row r="1061" spans="1:2">
      <c r="A1061" s="3">
        <f ca="1">IFERROR(__xludf.DUMMYFUNCTION("""COMPUTED_VALUE"""),30735.6666666666)</f>
        <v>30735.666666666599</v>
      </c>
      <c r="B1061" s="1">
        <f ca="1">IFERROR(__xludf.DUMMYFUNCTION("""COMPUTED_VALUE"""),154.29)</f>
        <v>154.29</v>
      </c>
    </row>
    <row r="1062" spans="1:2">
      <c r="A1062" s="3">
        <f ca="1">IFERROR(__xludf.DUMMYFUNCTION("""COMPUTED_VALUE"""),30736.6666666666)</f>
        <v>30736.666666666599</v>
      </c>
      <c r="B1062" s="1">
        <f ca="1">IFERROR(__xludf.DUMMYFUNCTION("""COMPUTED_VALUE"""),157.51)</f>
        <v>157.51</v>
      </c>
    </row>
    <row r="1063" spans="1:2">
      <c r="A1063" s="3">
        <f ca="1">IFERROR(__xludf.DUMMYFUNCTION("""COMPUTED_VALUE"""),30739.6666666666)</f>
        <v>30739.666666666599</v>
      </c>
      <c r="B1063" s="1">
        <f ca="1">IFERROR(__xludf.DUMMYFUNCTION("""COMPUTED_VALUE"""),159.3)</f>
        <v>159.30000000000001</v>
      </c>
    </row>
    <row r="1064" spans="1:2">
      <c r="A1064" s="3">
        <f ca="1">IFERROR(__xludf.DUMMYFUNCTION("""COMPUTED_VALUE"""),30740.6666666666)</f>
        <v>30740.666666666599</v>
      </c>
      <c r="B1064" s="1">
        <f ca="1">IFERROR(__xludf.DUMMYFUNCTION("""COMPUTED_VALUE"""),156.82)</f>
        <v>156.82</v>
      </c>
    </row>
    <row r="1065" spans="1:2">
      <c r="A1065" s="3">
        <f ca="1">IFERROR(__xludf.DUMMYFUNCTION("""COMPUTED_VALUE"""),30741.6666666666)</f>
        <v>30741.666666666599</v>
      </c>
      <c r="B1065" s="1">
        <f ca="1">IFERROR(__xludf.DUMMYFUNCTION("""COMPUTED_VALUE"""),157.06)</f>
        <v>157.06</v>
      </c>
    </row>
    <row r="1066" spans="1:2">
      <c r="A1066" s="3">
        <f ca="1">IFERROR(__xludf.DUMMYFUNCTION("""COMPUTED_VALUE"""),30742.6666666666)</f>
        <v>30742.666666666599</v>
      </c>
      <c r="B1066" s="1">
        <f ca="1">IFERROR(__xludf.DUMMYFUNCTION("""COMPUTED_VALUE"""),158.19)</f>
        <v>158.19</v>
      </c>
    </row>
    <row r="1067" spans="1:2">
      <c r="A1067" s="3">
        <f ca="1">IFERROR(__xludf.DUMMYFUNCTION("""COMPUTED_VALUE"""),30743.6666666666)</f>
        <v>30743.666666666599</v>
      </c>
      <c r="B1067" s="1">
        <f ca="1">IFERROR(__xludf.DUMMYFUNCTION("""COMPUTED_VALUE"""),159.24)</f>
        <v>159.24</v>
      </c>
    </row>
    <row r="1068" spans="1:2">
      <c r="A1068" s="3">
        <f ca="1">IFERROR(__xludf.DUMMYFUNCTION("""COMPUTED_VALUE"""),30746.6666666666)</f>
        <v>30746.666666666599</v>
      </c>
      <c r="B1068" s="1">
        <f ca="1">IFERROR(__xludf.DUMMYFUNCTION("""COMPUTED_VALUE"""),157.89)</f>
        <v>157.88999999999999</v>
      </c>
    </row>
    <row r="1069" spans="1:2">
      <c r="A1069" s="3">
        <f ca="1">IFERROR(__xludf.DUMMYFUNCTION("""COMPUTED_VALUE"""),30747.6666666666)</f>
        <v>30747.666666666599</v>
      </c>
      <c r="B1069" s="1">
        <f ca="1">IFERROR(__xludf.DUMMYFUNCTION("""COMPUTED_VALUE"""),156.25)</f>
        <v>156.25</v>
      </c>
    </row>
    <row r="1070" spans="1:2">
      <c r="A1070" s="3">
        <f ca="1">IFERROR(__xludf.DUMMYFUNCTION("""COMPUTED_VALUE"""),30748.6666666666)</f>
        <v>30748.666666666599</v>
      </c>
      <c r="B1070" s="1">
        <f ca="1">IFERROR(__xludf.DUMMYFUNCTION("""COMPUTED_VALUE"""),154.57)</f>
        <v>154.57</v>
      </c>
    </row>
    <row r="1071" spans="1:2">
      <c r="A1071" s="3">
        <f ca="1">IFERROR(__xludf.DUMMYFUNCTION("""COMPUTED_VALUE"""),30749.6666666666)</f>
        <v>30749.666666666599</v>
      </c>
      <c r="B1071" s="1">
        <f ca="1">IFERROR(__xludf.DUMMYFUNCTION("""COMPUTED_VALUE"""),155.19)</f>
        <v>155.19</v>
      </c>
    </row>
    <row r="1072" spans="1:2">
      <c r="A1072" s="3">
        <f ca="1">IFERROR(__xludf.DUMMYFUNCTION("""COMPUTED_VALUE"""),30750.6666666666)</f>
        <v>30750.666666666599</v>
      </c>
      <c r="B1072" s="1">
        <f ca="1">IFERROR(__xludf.DUMMYFUNCTION("""COMPUTED_VALUE"""),154.35)</f>
        <v>154.35</v>
      </c>
    </row>
    <row r="1073" spans="1:2">
      <c r="A1073" s="3">
        <f ca="1">IFERROR(__xludf.DUMMYFUNCTION("""COMPUTED_VALUE"""),30753.6666666666)</f>
        <v>30753.666666666599</v>
      </c>
      <c r="B1073" s="1">
        <f ca="1">IFERROR(__xludf.DUMMYFUNCTION("""COMPUTED_VALUE"""),156.34)</f>
        <v>156.34</v>
      </c>
    </row>
    <row r="1074" spans="1:2">
      <c r="A1074" s="3">
        <f ca="1">IFERROR(__xludf.DUMMYFUNCTION("""COMPUTED_VALUE"""),30754.6666666666)</f>
        <v>30754.666666666599</v>
      </c>
      <c r="B1074" s="1">
        <f ca="1">IFERROR(__xludf.DUMMYFUNCTION("""COMPUTED_VALUE"""),156.78)</f>
        <v>156.78</v>
      </c>
    </row>
    <row r="1075" spans="1:2">
      <c r="A1075" s="3">
        <f ca="1">IFERROR(__xludf.DUMMYFUNCTION("""COMPUTED_VALUE"""),30755.6666666666)</f>
        <v>30755.666666666599</v>
      </c>
      <c r="B1075" s="1">
        <f ca="1">IFERROR(__xludf.DUMMYFUNCTION("""COMPUTED_VALUE"""),156.77)</f>
        <v>156.77000000000001</v>
      </c>
    </row>
    <row r="1076" spans="1:2">
      <c r="A1076" s="3">
        <f ca="1">IFERROR(__xludf.DUMMYFUNCTION("""COMPUTED_VALUE"""),30756.6666666666)</f>
        <v>30756.666666666599</v>
      </c>
      <c r="B1076" s="1">
        <f ca="1">IFERROR(__xludf.DUMMYFUNCTION("""COMPUTED_VALUE"""),157.41)</f>
        <v>157.41</v>
      </c>
    </row>
    <row r="1077" spans="1:2">
      <c r="A1077" s="3">
        <f ca="1">IFERROR(__xludf.DUMMYFUNCTION("""COMPUTED_VALUE"""),30757.6666666666)</f>
        <v>30757.666666666599</v>
      </c>
      <c r="B1077" s="1">
        <f ca="1">IFERROR(__xludf.DUMMYFUNCTION("""COMPUTED_VALUE"""),159.27)</f>
        <v>159.27000000000001</v>
      </c>
    </row>
    <row r="1078" spans="1:2">
      <c r="A1078" s="3">
        <f ca="1">IFERROR(__xludf.DUMMYFUNCTION("""COMPUTED_VALUE"""),30760.6666666666)</f>
        <v>30760.666666666599</v>
      </c>
      <c r="B1078" s="1">
        <f ca="1">IFERROR(__xludf.DUMMYFUNCTION("""COMPUTED_VALUE"""),157.78)</f>
        <v>157.78</v>
      </c>
    </row>
    <row r="1079" spans="1:2">
      <c r="A1079" s="3">
        <f ca="1">IFERROR(__xludf.DUMMYFUNCTION("""COMPUTED_VALUE"""),30761.6666666666)</f>
        <v>30761.666666666599</v>
      </c>
      <c r="B1079" s="1">
        <f ca="1">IFERROR(__xludf.DUMMYFUNCTION("""COMPUTED_VALUE"""),158.86)</f>
        <v>158.86000000000001</v>
      </c>
    </row>
    <row r="1080" spans="1:2">
      <c r="A1080" s="3">
        <f ca="1">IFERROR(__xludf.DUMMYFUNCTION("""COMPUTED_VALUE"""),30762.6666666666)</f>
        <v>30762.666666666599</v>
      </c>
      <c r="B1080" s="1">
        <f ca="1">IFERROR(__xludf.DUMMYFUNCTION("""COMPUTED_VALUE"""),158.66)</f>
        <v>158.66</v>
      </c>
    </row>
    <row r="1081" spans="1:2">
      <c r="A1081" s="3">
        <f ca="1">IFERROR(__xludf.DUMMYFUNCTION("""COMPUTED_VALUE"""),30763.6666666666)</f>
        <v>30763.666666666599</v>
      </c>
      <c r="B1081" s="1">
        <f ca="1">IFERROR(__xludf.DUMMYFUNCTION("""COMPUTED_VALUE"""),156.69)</f>
        <v>156.69</v>
      </c>
    </row>
    <row r="1082" spans="1:2">
      <c r="A1082" s="3">
        <f ca="1">IFERROR(__xludf.DUMMYFUNCTION("""COMPUTED_VALUE"""),30764.6666666666)</f>
        <v>30764.666666666599</v>
      </c>
      <c r="B1082" s="1">
        <f ca="1">IFERROR(__xludf.DUMMYFUNCTION("""COMPUTED_VALUE"""),156.86)</f>
        <v>156.86000000000001</v>
      </c>
    </row>
    <row r="1083" spans="1:2">
      <c r="A1083" s="3">
        <f ca="1">IFERROR(__xludf.DUMMYFUNCTION("""COMPUTED_VALUE"""),30767.6666666666)</f>
        <v>30767.666666666599</v>
      </c>
      <c r="B1083" s="1">
        <f ca="1">IFERROR(__xludf.DUMMYFUNCTION("""COMPUTED_VALUE"""),156.67)</f>
        <v>156.66999999999999</v>
      </c>
    </row>
    <row r="1084" spans="1:2">
      <c r="A1084" s="3">
        <f ca="1">IFERROR(__xludf.DUMMYFUNCTION("""COMPUTED_VALUE"""),30768.6666666666)</f>
        <v>30768.666666666599</v>
      </c>
      <c r="B1084" s="1">
        <f ca="1">IFERROR(__xludf.DUMMYFUNCTION("""COMPUTED_VALUE"""),157.3)</f>
        <v>157.30000000000001</v>
      </c>
    </row>
    <row r="1085" spans="1:2">
      <c r="A1085" s="3">
        <f ca="1">IFERROR(__xludf.DUMMYFUNCTION("""COMPUTED_VALUE"""),30769.6666666666)</f>
        <v>30769.666666666599</v>
      </c>
      <c r="B1085" s="1">
        <f ca="1">IFERROR(__xludf.DUMMYFUNCTION("""COMPUTED_VALUE"""),159.88)</f>
        <v>159.88</v>
      </c>
    </row>
    <row r="1086" spans="1:2">
      <c r="A1086" s="3">
        <f ca="1">IFERROR(__xludf.DUMMYFUNCTION("""COMPUTED_VALUE"""),30770.6666666666)</f>
        <v>30770.666666666599</v>
      </c>
      <c r="B1086" s="1">
        <f ca="1">IFERROR(__xludf.DUMMYFUNCTION("""COMPUTED_VALUE"""),159.52)</f>
        <v>159.52000000000001</v>
      </c>
    </row>
    <row r="1087" spans="1:2">
      <c r="A1087" s="3">
        <f ca="1">IFERROR(__xludf.DUMMYFUNCTION("""COMPUTED_VALUE"""),30771.6666666666)</f>
        <v>30771.666666666599</v>
      </c>
      <c r="B1087" s="1">
        <f ca="1">IFERROR(__xludf.DUMMYFUNCTION("""COMPUTED_VALUE"""),159.18)</f>
        <v>159.18</v>
      </c>
    </row>
    <row r="1088" spans="1:2">
      <c r="A1088" s="3">
        <f ca="1">IFERROR(__xludf.DUMMYFUNCTION("""COMPUTED_VALUE"""),30774.6666666666)</f>
        <v>30774.666666666599</v>
      </c>
      <c r="B1088" s="1">
        <f ca="1">IFERROR(__xludf.DUMMYFUNCTION("""COMPUTED_VALUE"""),157.98)</f>
        <v>157.97999999999999</v>
      </c>
    </row>
    <row r="1089" spans="1:2">
      <c r="A1089" s="3">
        <f ca="1">IFERROR(__xludf.DUMMYFUNCTION("""COMPUTED_VALUE"""),30775.6666666666)</f>
        <v>30775.666666666599</v>
      </c>
      <c r="B1089" s="1">
        <f ca="1">IFERROR(__xludf.DUMMYFUNCTION("""COMPUTED_VALUE"""),157.66)</f>
        <v>157.66</v>
      </c>
    </row>
    <row r="1090" spans="1:2">
      <c r="A1090" s="3">
        <f ca="1">IFERROR(__xludf.DUMMYFUNCTION("""COMPUTED_VALUE"""),30776.6666666666)</f>
        <v>30776.666666666599</v>
      </c>
      <c r="B1090" s="1">
        <f ca="1">IFERROR(__xludf.DUMMYFUNCTION("""COMPUTED_VALUE"""),157.54)</f>
        <v>157.54</v>
      </c>
    </row>
    <row r="1091" spans="1:2">
      <c r="A1091" s="3">
        <f ca="1">IFERROR(__xludf.DUMMYFUNCTION("""COMPUTED_VALUE"""),30777.6666666666)</f>
        <v>30777.666666666599</v>
      </c>
      <c r="B1091" s="1">
        <f ca="1">IFERROR(__xludf.DUMMYFUNCTION("""COMPUTED_VALUE"""),155.04)</f>
        <v>155.04</v>
      </c>
    </row>
    <row r="1092" spans="1:2">
      <c r="A1092" s="3">
        <f ca="1">IFERROR(__xludf.DUMMYFUNCTION("""COMPUTED_VALUE"""),30778.6666666666)</f>
        <v>30778.666666666599</v>
      </c>
      <c r="B1092" s="1">
        <f ca="1">IFERROR(__xludf.DUMMYFUNCTION("""COMPUTED_VALUE"""),155.48)</f>
        <v>155.47999999999999</v>
      </c>
    </row>
    <row r="1093" spans="1:2">
      <c r="A1093" s="3">
        <f ca="1">IFERROR(__xludf.DUMMYFUNCTION("""COMPUTED_VALUE"""),30781.6666666666)</f>
        <v>30781.666666666599</v>
      </c>
      <c r="B1093" s="1">
        <f ca="1">IFERROR(__xludf.DUMMYFUNCTION("""COMPUTED_VALUE"""),155.45)</f>
        <v>155.44999999999999</v>
      </c>
    </row>
    <row r="1094" spans="1:2">
      <c r="A1094" s="3">
        <f ca="1">IFERROR(__xludf.DUMMYFUNCTION("""COMPUTED_VALUE"""),30782.6666666666)</f>
        <v>30782.666666666599</v>
      </c>
      <c r="B1094" s="1">
        <f ca="1">IFERROR(__xludf.DUMMYFUNCTION("""COMPUTED_VALUE"""),155.87)</f>
        <v>155.87</v>
      </c>
    </row>
    <row r="1095" spans="1:2">
      <c r="A1095" s="3">
        <f ca="1">IFERROR(__xludf.DUMMYFUNCTION("""COMPUTED_VALUE"""),30783.6666666666)</f>
        <v>30783.666666666599</v>
      </c>
      <c r="B1095" s="1">
        <f ca="1">IFERROR(__xludf.DUMMYFUNCTION("""COMPUTED_VALUE"""),155)</f>
        <v>155</v>
      </c>
    </row>
    <row r="1096" spans="1:2">
      <c r="A1096" s="3">
        <f ca="1">IFERROR(__xludf.DUMMYFUNCTION("""COMPUTED_VALUE"""),30784.6666666666)</f>
        <v>30784.666666666599</v>
      </c>
      <c r="B1096" s="1">
        <f ca="1">IFERROR(__xludf.DUMMYFUNCTION("""COMPUTED_VALUE"""),157.73)</f>
        <v>157.72999999999999</v>
      </c>
    </row>
    <row r="1097" spans="1:2">
      <c r="A1097" s="3">
        <f ca="1">IFERROR(__xludf.DUMMYFUNCTION("""COMPUTED_VALUE"""),30785.6666666666)</f>
        <v>30785.666666666599</v>
      </c>
      <c r="B1097" s="1">
        <f ca="1">IFERROR(__xludf.DUMMYFUNCTION("""COMPUTED_VALUE"""),157.31)</f>
        <v>157.31</v>
      </c>
    </row>
    <row r="1098" spans="1:2">
      <c r="A1098" s="3">
        <f ca="1">IFERROR(__xludf.DUMMYFUNCTION("""COMPUTED_VALUE"""),30788.6666666666)</f>
        <v>30788.666666666599</v>
      </c>
      <c r="B1098" s="1">
        <f ca="1">IFERROR(__xludf.DUMMYFUNCTION("""COMPUTED_VALUE"""),158.32)</f>
        <v>158.32</v>
      </c>
    </row>
    <row r="1099" spans="1:2">
      <c r="A1099" s="3">
        <f ca="1">IFERROR(__xludf.DUMMYFUNCTION("""COMPUTED_VALUE"""),30789.6666666666)</f>
        <v>30789.666666666599</v>
      </c>
      <c r="B1099" s="1">
        <f ca="1">IFERROR(__xludf.DUMMYFUNCTION("""COMPUTED_VALUE"""),158.97)</f>
        <v>158.97</v>
      </c>
    </row>
    <row r="1100" spans="1:2">
      <c r="A1100" s="3">
        <f ca="1">IFERROR(__xludf.DUMMYFUNCTION("""COMPUTED_VALUE"""),30790.6666666666)</f>
        <v>30790.666666666599</v>
      </c>
      <c r="B1100" s="1">
        <f ca="1">IFERROR(__xludf.DUMMYFUNCTION("""COMPUTED_VALUE"""),157.9)</f>
        <v>157.9</v>
      </c>
    </row>
    <row r="1101" spans="1:2">
      <c r="A1101" s="3">
        <f ca="1">IFERROR(__xludf.DUMMYFUNCTION("""COMPUTED_VALUE"""),30791.6666666666)</f>
        <v>30791.666666666599</v>
      </c>
      <c r="B1101" s="1">
        <f ca="1">IFERROR(__xludf.DUMMYFUNCTION("""COMPUTED_VALUE"""),158.02)</f>
        <v>158.02000000000001</v>
      </c>
    </row>
    <row r="1102" spans="1:2">
      <c r="A1102" s="3">
        <f ca="1">IFERROR(__xludf.DUMMYFUNCTION("""COMPUTED_VALUE"""),30795.6666666666)</f>
        <v>30795.666666666599</v>
      </c>
      <c r="B1102" s="1">
        <f ca="1">IFERROR(__xludf.DUMMYFUNCTION("""COMPUTED_VALUE"""),156.8)</f>
        <v>156.80000000000001</v>
      </c>
    </row>
    <row r="1103" spans="1:2">
      <c r="A1103" s="3">
        <f ca="1">IFERROR(__xludf.DUMMYFUNCTION("""COMPUTED_VALUE"""),30796.6666666666)</f>
        <v>30796.666666666599</v>
      </c>
      <c r="B1103" s="1">
        <f ca="1">IFERROR(__xludf.DUMMYFUNCTION("""COMPUTED_VALUE"""),158.07)</f>
        <v>158.07</v>
      </c>
    </row>
    <row r="1104" spans="1:2">
      <c r="A1104" s="3">
        <f ca="1">IFERROR(__xludf.DUMMYFUNCTION("""COMPUTED_VALUE"""),30797.6666666666)</f>
        <v>30797.666666666599</v>
      </c>
      <c r="B1104" s="1">
        <f ca="1">IFERROR(__xludf.DUMMYFUNCTION("""COMPUTED_VALUE"""),158.65)</f>
        <v>158.65</v>
      </c>
    </row>
    <row r="1105" spans="1:2">
      <c r="A1105" s="3">
        <f ca="1">IFERROR(__xludf.DUMMYFUNCTION("""COMPUTED_VALUE"""),30798.6666666666)</f>
        <v>30798.666666666599</v>
      </c>
      <c r="B1105" s="1">
        <f ca="1">IFERROR(__xludf.DUMMYFUNCTION("""COMPUTED_VALUE"""),160.3)</f>
        <v>160.30000000000001</v>
      </c>
    </row>
    <row r="1106" spans="1:2">
      <c r="A1106" s="3">
        <f ca="1">IFERROR(__xludf.DUMMYFUNCTION("""COMPUTED_VALUE"""),30799.6666666666)</f>
        <v>30799.666666666599</v>
      </c>
      <c r="B1106" s="1">
        <f ca="1">IFERROR(__xludf.DUMMYFUNCTION("""COMPUTED_VALUE"""),159.89)</f>
        <v>159.88999999999999</v>
      </c>
    </row>
    <row r="1107" spans="1:2">
      <c r="A1107" s="3">
        <f ca="1">IFERROR(__xludf.DUMMYFUNCTION("""COMPUTED_VALUE"""),30802.6666666666)</f>
        <v>30802.666666666599</v>
      </c>
      <c r="B1107" s="1">
        <f ca="1">IFERROR(__xludf.DUMMYFUNCTION("""COMPUTED_VALUE"""),160.05)</f>
        <v>160.05000000000001</v>
      </c>
    </row>
    <row r="1108" spans="1:2">
      <c r="A1108" s="3">
        <f ca="1">IFERROR(__xludf.DUMMYFUNCTION("""COMPUTED_VALUE"""),30803.6666666666)</f>
        <v>30803.666666666599</v>
      </c>
      <c r="B1108" s="1">
        <f ca="1">IFERROR(__xludf.DUMMYFUNCTION("""COMPUTED_VALUE"""),161.68)</f>
        <v>161.68</v>
      </c>
    </row>
    <row r="1109" spans="1:2">
      <c r="A1109" s="3">
        <f ca="1">IFERROR(__xludf.DUMMYFUNCTION("""COMPUTED_VALUE"""),30804.6666666666)</f>
        <v>30804.666666666599</v>
      </c>
      <c r="B1109" s="1">
        <f ca="1">IFERROR(__xludf.DUMMYFUNCTION("""COMPUTED_VALUE"""),161.9)</f>
        <v>161.9</v>
      </c>
    </row>
    <row r="1110" spans="1:2">
      <c r="A1110" s="3">
        <f ca="1">IFERROR(__xludf.DUMMYFUNCTION("""COMPUTED_VALUE"""),30805.6666666666)</f>
        <v>30805.666666666599</v>
      </c>
      <c r="B1110" s="1">
        <f ca="1">IFERROR(__xludf.DUMMYFUNCTION("""COMPUTED_VALUE"""),161.2)</f>
        <v>161.19999999999999</v>
      </c>
    </row>
    <row r="1111" spans="1:2">
      <c r="A1111" s="3">
        <f ca="1">IFERROR(__xludf.DUMMYFUNCTION("""COMPUTED_VALUE"""),30806.6666666666)</f>
        <v>30806.666666666599</v>
      </c>
      <c r="B1111" s="1">
        <f ca="1">IFERROR(__xludf.DUMMYFUNCTION("""COMPUTED_VALUE"""),159.11)</f>
        <v>159.11000000000001</v>
      </c>
    </row>
    <row r="1112" spans="1:2">
      <c r="A1112" s="3">
        <f ca="1">IFERROR(__xludf.DUMMYFUNCTION("""COMPUTED_VALUE"""),30809.6666666666)</f>
        <v>30809.666666666599</v>
      </c>
      <c r="B1112" s="1">
        <f ca="1">IFERROR(__xludf.DUMMYFUNCTION("""COMPUTED_VALUE"""),159.47)</f>
        <v>159.47</v>
      </c>
    </row>
    <row r="1113" spans="1:2">
      <c r="A1113" s="3">
        <f ca="1">IFERROR(__xludf.DUMMYFUNCTION("""COMPUTED_VALUE"""),30810.6666666666)</f>
        <v>30810.666666666599</v>
      </c>
      <c r="B1113" s="1">
        <f ca="1">IFERROR(__xludf.DUMMYFUNCTION("""COMPUTED_VALUE"""),160.52)</f>
        <v>160.52000000000001</v>
      </c>
    </row>
    <row r="1114" spans="1:2">
      <c r="A1114" s="3">
        <f ca="1">IFERROR(__xludf.DUMMYFUNCTION("""COMPUTED_VALUE"""),30811.6666666666)</f>
        <v>30811.666666666599</v>
      </c>
      <c r="B1114" s="1">
        <f ca="1">IFERROR(__xludf.DUMMYFUNCTION("""COMPUTED_VALUE"""),160.11)</f>
        <v>160.11000000000001</v>
      </c>
    </row>
    <row r="1115" spans="1:2">
      <c r="A1115" s="3">
        <f ca="1">IFERROR(__xludf.DUMMYFUNCTION("""COMPUTED_VALUE"""),30812.6666666666)</f>
        <v>30812.666666666599</v>
      </c>
      <c r="B1115" s="1">
        <f ca="1">IFERROR(__xludf.DUMMYFUNCTION("""COMPUTED_VALUE"""),160)</f>
        <v>160</v>
      </c>
    </row>
    <row r="1116" spans="1:2">
      <c r="A1116" s="3">
        <f ca="1">IFERROR(__xludf.DUMMYFUNCTION("""COMPUTED_VALUE"""),30813.6666666666)</f>
        <v>30813.666666666599</v>
      </c>
      <c r="B1116" s="1">
        <f ca="1">IFERROR(__xludf.DUMMYFUNCTION("""COMPUTED_VALUE"""),158.49)</f>
        <v>158.49</v>
      </c>
    </row>
    <row r="1117" spans="1:2">
      <c r="A1117" s="3">
        <f ca="1">IFERROR(__xludf.DUMMYFUNCTION("""COMPUTED_VALUE"""),30816.6666666666)</f>
        <v>30816.666666666599</v>
      </c>
      <c r="B1117" s="1">
        <f ca="1">IFERROR(__xludf.DUMMYFUNCTION("""COMPUTED_VALUE"""),157.5)</f>
        <v>157.5</v>
      </c>
    </row>
    <row r="1118" spans="1:2">
      <c r="A1118" s="3">
        <f ca="1">IFERROR(__xludf.DUMMYFUNCTION("""COMPUTED_VALUE"""),30817.6666666666)</f>
        <v>30817.666666666599</v>
      </c>
      <c r="B1118" s="1">
        <f ca="1">IFERROR(__xludf.DUMMYFUNCTION("""COMPUTED_VALUE"""),158)</f>
        <v>158</v>
      </c>
    </row>
    <row r="1119" spans="1:2">
      <c r="A1119" s="3">
        <f ca="1">IFERROR(__xludf.DUMMYFUNCTION("""COMPUTED_VALUE"""),30818.6666666666)</f>
        <v>30818.666666666599</v>
      </c>
      <c r="B1119" s="1">
        <f ca="1">IFERROR(__xludf.DUMMYFUNCTION("""COMPUTED_VALUE"""),157.99)</f>
        <v>157.99</v>
      </c>
    </row>
    <row r="1120" spans="1:2">
      <c r="A1120" s="3">
        <f ca="1">IFERROR(__xludf.DUMMYFUNCTION("""COMPUTED_VALUE"""),30819.6666666666)</f>
        <v>30819.666666666599</v>
      </c>
      <c r="B1120" s="1">
        <f ca="1">IFERROR(__xludf.DUMMYFUNCTION("""COMPUTED_VALUE"""),156.57)</f>
        <v>156.57</v>
      </c>
    </row>
    <row r="1121" spans="1:2">
      <c r="A1121" s="3">
        <f ca="1">IFERROR(__xludf.DUMMYFUNCTION("""COMPUTED_VALUE"""),30820.6666666666)</f>
        <v>30820.666666666599</v>
      </c>
      <c r="B1121" s="1">
        <f ca="1">IFERROR(__xludf.DUMMYFUNCTION("""COMPUTED_VALUE"""),155.78)</f>
        <v>155.78</v>
      </c>
    </row>
    <row r="1122" spans="1:2">
      <c r="A1122" s="3">
        <f ca="1">IFERROR(__xludf.DUMMYFUNCTION("""COMPUTED_VALUE"""),30823.6666666666)</f>
        <v>30823.666666666599</v>
      </c>
      <c r="B1122" s="1">
        <f ca="1">IFERROR(__xludf.DUMMYFUNCTION("""COMPUTED_VALUE"""),154.73)</f>
        <v>154.72999999999999</v>
      </c>
    </row>
    <row r="1123" spans="1:2">
      <c r="A1123" s="3">
        <f ca="1">IFERROR(__xludf.DUMMYFUNCTION("""COMPUTED_VALUE"""),30824.6666666666)</f>
        <v>30824.666666666599</v>
      </c>
      <c r="B1123" s="1">
        <f ca="1">IFERROR(__xludf.DUMMYFUNCTION("""COMPUTED_VALUE"""),153.88)</f>
        <v>153.88</v>
      </c>
    </row>
    <row r="1124" spans="1:2">
      <c r="A1124" s="3">
        <f ca="1">IFERROR(__xludf.DUMMYFUNCTION("""COMPUTED_VALUE"""),30825.6666666666)</f>
        <v>30825.666666666599</v>
      </c>
      <c r="B1124" s="1">
        <f ca="1">IFERROR(__xludf.DUMMYFUNCTION("""COMPUTED_VALUE"""),153.15)</f>
        <v>153.15</v>
      </c>
    </row>
    <row r="1125" spans="1:2">
      <c r="A1125" s="3">
        <f ca="1">IFERROR(__xludf.DUMMYFUNCTION("""COMPUTED_VALUE"""),30826.6666666666)</f>
        <v>30826.666666666599</v>
      </c>
      <c r="B1125" s="1">
        <f ca="1">IFERROR(__xludf.DUMMYFUNCTION("""COMPUTED_VALUE"""),151.23)</f>
        <v>151.22999999999999</v>
      </c>
    </row>
    <row r="1126" spans="1:2">
      <c r="A1126" s="3">
        <f ca="1">IFERROR(__xludf.DUMMYFUNCTION("""COMPUTED_VALUE"""),30827.6666666666)</f>
        <v>30827.666666666599</v>
      </c>
      <c r="B1126" s="1">
        <f ca="1">IFERROR(__xludf.DUMMYFUNCTION("""COMPUTED_VALUE"""),151.62)</f>
        <v>151.62</v>
      </c>
    </row>
    <row r="1127" spans="1:2">
      <c r="A1127" s="3">
        <f ca="1">IFERROR(__xludf.DUMMYFUNCTION("""COMPUTED_VALUE"""),30831.6666666666)</f>
        <v>30831.666666666599</v>
      </c>
      <c r="B1127" s="1">
        <f ca="1">IFERROR(__xludf.DUMMYFUNCTION("""COMPUTED_VALUE"""),150.29)</f>
        <v>150.29</v>
      </c>
    </row>
    <row r="1128" spans="1:2">
      <c r="A1128" s="3">
        <f ca="1">IFERROR(__xludf.DUMMYFUNCTION("""COMPUTED_VALUE"""),30832.6666666666)</f>
        <v>30832.666666666599</v>
      </c>
      <c r="B1128" s="1">
        <f ca="1">IFERROR(__xludf.DUMMYFUNCTION("""COMPUTED_VALUE"""),150.35)</f>
        <v>150.35</v>
      </c>
    </row>
    <row r="1129" spans="1:2">
      <c r="A1129" s="3">
        <f ca="1">IFERROR(__xludf.DUMMYFUNCTION("""COMPUTED_VALUE"""),30833.6666666666)</f>
        <v>30833.666666666599</v>
      </c>
      <c r="B1129" s="1">
        <f ca="1">IFERROR(__xludf.DUMMYFUNCTION("""COMPUTED_VALUE"""),150.55)</f>
        <v>150.55000000000001</v>
      </c>
    </row>
    <row r="1130" spans="1:2">
      <c r="A1130" s="3">
        <f ca="1">IFERROR(__xludf.DUMMYFUNCTION("""COMPUTED_VALUE"""),30834.6666666666)</f>
        <v>30834.666666666599</v>
      </c>
      <c r="B1130" s="1">
        <f ca="1">IFERROR(__xludf.DUMMYFUNCTION("""COMPUTED_VALUE"""),153.24)</f>
        <v>153.24</v>
      </c>
    </row>
    <row r="1131" spans="1:2">
      <c r="A1131" s="3">
        <f ca="1">IFERROR(__xludf.DUMMYFUNCTION("""COMPUTED_VALUE"""),30837.6666666666)</f>
        <v>30837.666666666599</v>
      </c>
      <c r="B1131" s="1">
        <f ca="1">IFERROR(__xludf.DUMMYFUNCTION("""COMPUTED_VALUE"""),154.34)</f>
        <v>154.34</v>
      </c>
    </row>
    <row r="1132" spans="1:2">
      <c r="A1132" s="3">
        <f ca="1">IFERROR(__xludf.DUMMYFUNCTION("""COMPUTED_VALUE"""),30838.6666666666)</f>
        <v>30838.666666666599</v>
      </c>
      <c r="B1132" s="1">
        <f ca="1">IFERROR(__xludf.DUMMYFUNCTION("""COMPUTED_VALUE"""),153.65)</f>
        <v>153.65</v>
      </c>
    </row>
    <row r="1133" spans="1:2">
      <c r="A1133" s="3">
        <f ca="1">IFERROR(__xludf.DUMMYFUNCTION("""COMPUTED_VALUE"""),30839.6666666666)</f>
        <v>30839.666666666599</v>
      </c>
      <c r="B1133" s="1">
        <f ca="1">IFERROR(__xludf.DUMMYFUNCTION("""COMPUTED_VALUE"""),155.01)</f>
        <v>155.01</v>
      </c>
    </row>
    <row r="1134" spans="1:2">
      <c r="A1134" s="3">
        <f ca="1">IFERROR(__xludf.DUMMYFUNCTION("""COMPUTED_VALUE"""),30840.6666666666)</f>
        <v>30840.666666666599</v>
      </c>
      <c r="B1134" s="1">
        <f ca="1">IFERROR(__xludf.DUMMYFUNCTION("""COMPUTED_VALUE"""),154.92)</f>
        <v>154.91999999999999</v>
      </c>
    </row>
    <row r="1135" spans="1:2">
      <c r="A1135" s="3">
        <f ca="1">IFERROR(__xludf.DUMMYFUNCTION("""COMPUTED_VALUE"""),30841.6666666666)</f>
        <v>30841.666666666599</v>
      </c>
      <c r="B1135" s="1">
        <f ca="1">IFERROR(__xludf.DUMMYFUNCTION("""COMPUTED_VALUE"""),155.17)</f>
        <v>155.16999999999999</v>
      </c>
    </row>
    <row r="1136" spans="1:2">
      <c r="A1136" s="3">
        <f ca="1">IFERROR(__xludf.DUMMYFUNCTION("""COMPUTED_VALUE"""),30844.6666666666)</f>
        <v>30844.666666666599</v>
      </c>
      <c r="B1136" s="1">
        <f ca="1">IFERROR(__xludf.DUMMYFUNCTION("""COMPUTED_VALUE"""),153.06)</f>
        <v>153.06</v>
      </c>
    </row>
    <row r="1137" spans="1:2">
      <c r="A1137" s="3">
        <f ca="1">IFERROR(__xludf.DUMMYFUNCTION("""COMPUTED_VALUE"""),30845.6666666666)</f>
        <v>30845.666666666599</v>
      </c>
      <c r="B1137" s="1">
        <f ca="1">IFERROR(__xludf.DUMMYFUNCTION("""COMPUTED_VALUE"""),152.19)</f>
        <v>152.19</v>
      </c>
    </row>
    <row r="1138" spans="1:2">
      <c r="A1138" s="3">
        <f ca="1">IFERROR(__xludf.DUMMYFUNCTION("""COMPUTED_VALUE"""),30846.6666666666)</f>
        <v>30846.666666666599</v>
      </c>
      <c r="B1138" s="1">
        <f ca="1">IFERROR(__xludf.DUMMYFUNCTION("""COMPUTED_VALUE"""),152.13)</f>
        <v>152.13</v>
      </c>
    </row>
    <row r="1139" spans="1:2">
      <c r="A1139" s="3">
        <f ca="1">IFERROR(__xludf.DUMMYFUNCTION("""COMPUTED_VALUE"""),30847.6666666666)</f>
        <v>30847.666666666599</v>
      </c>
      <c r="B1139" s="1">
        <f ca="1">IFERROR(__xludf.DUMMYFUNCTION("""COMPUTED_VALUE"""),150.39)</f>
        <v>150.38999999999999</v>
      </c>
    </row>
    <row r="1140" spans="1:2">
      <c r="A1140" s="3">
        <f ca="1">IFERROR(__xludf.DUMMYFUNCTION("""COMPUTED_VALUE"""),30848.6666666666)</f>
        <v>30848.666666666599</v>
      </c>
      <c r="B1140" s="1">
        <f ca="1">IFERROR(__xludf.DUMMYFUNCTION("""COMPUTED_VALUE"""),149.03)</f>
        <v>149.03</v>
      </c>
    </row>
    <row r="1141" spans="1:2">
      <c r="A1141" s="3">
        <f ca="1">IFERROR(__xludf.DUMMYFUNCTION("""COMPUTED_VALUE"""),30851.6666666666)</f>
        <v>30851.666666666599</v>
      </c>
      <c r="B1141" s="1">
        <f ca="1">IFERROR(__xludf.DUMMYFUNCTION("""COMPUTED_VALUE"""),151.73)</f>
        <v>151.72999999999999</v>
      </c>
    </row>
    <row r="1142" spans="1:2">
      <c r="A1142" s="3">
        <f ca="1">IFERROR(__xludf.DUMMYFUNCTION("""COMPUTED_VALUE"""),30852.6666666666)</f>
        <v>30852.666666666599</v>
      </c>
      <c r="B1142" s="1">
        <f ca="1">IFERROR(__xludf.DUMMYFUNCTION("""COMPUTED_VALUE"""),152.61)</f>
        <v>152.61000000000001</v>
      </c>
    </row>
    <row r="1143" spans="1:2">
      <c r="A1143" s="3">
        <f ca="1">IFERROR(__xludf.DUMMYFUNCTION("""COMPUTED_VALUE"""),30853.6666666666)</f>
        <v>30853.666666666599</v>
      </c>
      <c r="B1143" s="1">
        <f ca="1">IFERROR(__xludf.DUMMYFUNCTION("""COMPUTED_VALUE"""),154.84)</f>
        <v>154.84</v>
      </c>
    </row>
    <row r="1144" spans="1:2">
      <c r="A1144" s="3">
        <f ca="1">IFERROR(__xludf.DUMMYFUNCTION("""COMPUTED_VALUE"""),30854.6666666666)</f>
        <v>30854.666666666599</v>
      </c>
      <c r="B1144" s="1">
        <f ca="1">IFERROR(__xludf.DUMMYFUNCTION("""COMPUTED_VALUE"""),154.51)</f>
        <v>154.51</v>
      </c>
    </row>
    <row r="1145" spans="1:2">
      <c r="A1145" s="3">
        <f ca="1">IFERROR(__xludf.DUMMYFUNCTION("""COMPUTED_VALUE"""),30855.6666666666)</f>
        <v>30855.666666666599</v>
      </c>
      <c r="B1145" s="1">
        <f ca="1">IFERROR(__xludf.DUMMYFUNCTION("""COMPUTED_VALUE"""),154.46)</f>
        <v>154.46</v>
      </c>
    </row>
    <row r="1146" spans="1:2">
      <c r="A1146" s="3">
        <f ca="1">IFERROR(__xludf.DUMMYFUNCTION("""COMPUTED_VALUE"""),30858.6666666666)</f>
        <v>30858.666666666599</v>
      </c>
      <c r="B1146" s="1">
        <f ca="1">IFERROR(__xludf.DUMMYFUNCTION("""COMPUTED_VALUE"""),153.97)</f>
        <v>153.97</v>
      </c>
    </row>
    <row r="1147" spans="1:2">
      <c r="A1147" s="3">
        <f ca="1">IFERROR(__xludf.DUMMYFUNCTION("""COMPUTED_VALUE"""),30859.6666666666)</f>
        <v>30859.666666666599</v>
      </c>
      <c r="B1147" s="1">
        <f ca="1">IFERROR(__xludf.DUMMYFUNCTION("""COMPUTED_VALUE"""),152.71)</f>
        <v>152.71</v>
      </c>
    </row>
    <row r="1148" spans="1:2">
      <c r="A1148" s="3">
        <f ca="1">IFERROR(__xludf.DUMMYFUNCTION("""COMPUTED_VALUE"""),30860.6666666666)</f>
        <v>30860.666666666599</v>
      </c>
      <c r="B1148" s="1">
        <f ca="1">IFERROR(__xludf.DUMMYFUNCTION("""COMPUTED_VALUE"""),151.64)</f>
        <v>151.63999999999999</v>
      </c>
    </row>
    <row r="1149" spans="1:2">
      <c r="A1149" s="3">
        <f ca="1">IFERROR(__xludf.DUMMYFUNCTION("""COMPUTED_VALUE"""),30861.6666666666)</f>
        <v>30861.666666666599</v>
      </c>
      <c r="B1149" s="1">
        <f ca="1">IFERROR(__xludf.DUMMYFUNCTION("""COMPUTED_VALUE"""),152.84)</f>
        <v>152.84</v>
      </c>
    </row>
    <row r="1150" spans="1:2">
      <c r="A1150" s="3">
        <f ca="1">IFERROR(__xludf.DUMMYFUNCTION("""COMPUTED_VALUE"""),30862.6666666666)</f>
        <v>30862.666666666599</v>
      </c>
      <c r="B1150" s="1">
        <f ca="1">IFERROR(__xludf.DUMMYFUNCTION("""COMPUTED_VALUE"""),153.18)</f>
        <v>153.18</v>
      </c>
    </row>
    <row r="1151" spans="1:2">
      <c r="A1151" s="3">
        <f ca="1">IFERROR(__xludf.DUMMYFUNCTION("""COMPUTED_VALUE"""),30865.6666666666)</f>
        <v>30865.666666666599</v>
      </c>
      <c r="B1151" s="1">
        <f ca="1">IFERROR(__xludf.DUMMYFUNCTION("""COMPUTED_VALUE"""),153.2)</f>
        <v>153.19999999999999</v>
      </c>
    </row>
    <row r="1152" spans="1:2">
      <c r="A1152" s="3">
        <f ca="1">IFERROR(__xludf.DUMMYFUNCTION("""COMPUTED_VALUE"""),30866.6666666666)</f>
        <v>30866.666666666599</v>
      </c>
      <c r="B1152" s="1">
        <f ca="1">IFERROR(__xludf.DUMMYFUNCTION("""COMPUTED_VALUE"""),153.7)</f>
        <v>153.69999999999999</v>
      </c>
    </row>
    <row r="1153" spans="1:2">
      <c r="A1153" s="3">
        <f ca="1">IFERROR(__xludf.DUMMYFUNCTION("""COMPUTED_VALUE"""),30868.6666666666)</f>
        <v>30868.666666666599</v>
      </c>
      <c r="B1153" s="1">
        <f ca="1">IFERROR(__xludf.DUMMYFUNCTION("""COMPUTED_VALUE"""),152.76)</f>
        <v>152.76</v>
      </c>
    </row>
    <row r="1154" spans="1:2">
      <c r="A1154" s="3">
        <f ca="1">IFERROR(__xludf.DUMMYFUNCTION("""COMPUTED_VALUE"""),30869.6666666666)</f>
        <v>30869.666666666599</v>
      </c>
      <c r="B1154" s="1">
        <f ca="1">IFERROR(__xludf.DUMMYFUNCTION("""COMPUTED_VALUE"""),152.24)</f>
        <v>152.24</v>
      </c>
    </row>
    <row r="1155" spans="1:2">
      <c r="A1155" s="3">
        <f ca="1">IFERROR(__xludf.DUMMYFUNCTION("""COMPUTED_VALUE"""),30872.6666666666)</f>
        <v>30872.666666666599</v>
      </c>
      <c r="B1155" s="1">
        <f ca="1">IFERROR(__xludf.DUMMYFUNCTION("""COMPUTED_VALUE"""),153.36)</f>
        <v>153.36000000000001</v>
      </c>
    </row>
    <row r="1156" spans="1:2">
      <c r="A1156" s="3">
        <f ca="1">IFERROR(__xludf.DUMMYFUNCTION("""COMPUTED_VALUE"""),30873.6666666666)</f>
        <v>30873.666666666599</v>
      </c>
      <c r="B1156" s="1">
        <f ca="1">IFERROR(__xludf.DUMMYFUNCTION("""COMPUTED_VALUE"""),152.89)</f>
        <v>152.88999999999999</v>
      </c>
    </row>
    <row r="1157" spans="1:2">
      <c r="A1157" s="3">
        <f ca="1">IFERROR(__xludf.DUMMYFUNCTION("""COMPUTED_VALUE"""),30874.6666666666)</f>
        <v>30874.666666666599</v>
      </c>
      <c r="B1157" s="1">
        <f ca="1">IFERROR(__xludf.DUMMYFUNCTION("""COMPUTED_VALUE"""),150.56)</f>
        <v>150.56</v>
      </c>
    </row>
    <row r="1158" spans="1:2">
      <c r="A1158" s="3">
        <f ca="1">IFERROR(__xludf.DUMMYFUNCTION("""COMPUTED_VALUE"""),30875.6666666666)</f>
        <v>30875.666666666599</v>
      </c>
      <c r="B1158" s="1">
        <f ca="1">IFERROR(__xludf.DUMMYFUNCTION("""COMPUTED_VALUE"""),150.03)</f>
        <v>150.03</v>
      </c>
    </row>
    <row r="1159" spans="1:2">
      <c r="A1159" s="3">
        <f ca="1">IFERROR(__xludf.DUMMYFUNCTION("""COMPUTED_VALUE"""),30876.6666666666)</f>
        <v>30876.666666666599</v>
      </c>
      <c r="B1159" s="1">
        <f ca="1">IFERROR(__xludf.DUMMYFUNCTION("""COMPUTED_VALUE"""),150.88)</f>
        <v>150.88</v>
      </c>
    </row>
    <row r="1160" spans="1:2">
      <c r="A1160" s="3">
        <f ca="1">IFERROR(__xludf.DUMMYFUNCTION("""COMPUTED_VALUE"""),30879.6666666666)</f>
        <v>30879.666666666599</v>
      </c>
      <c r="B1160" s="1">
        <f ca="1">IFERROR(__xludf.DUMMYFUNCTION("""COMPUTED_VALUE"""),151.6)</f>
        <v>151.6</v>
      </c>
    </row>
    <row r="1161" spans="1:2">
      <c r="A1161" s="3">
        <f ca="1">IFERROR(__xludf.DUMMYFUNCTION("""COMPUTED_VALUE"""),30880.6666666666)</f>
        <v>30880.666666666599</v>
      </c>
      <c r="B1161" s="1">
        <f ca="1">IFERROR(__xludf.DUMMYFUNCTION("""COMPUTED_VALUE"""),152.38)</f>
        <v>152.38</v>
      </c>
    </row>
    <row r="1162" spans="1:2">
      <c r="A1162" s="3">
        <f ca="1">IFERROR(__xludf.DUMMYFUNCTION("""COMPUTED_VALUE"""),30881.6666666666)</f>
        <v>30881.666666666599</v>
      </c>
      <c r="B1162" s="1">
        <f ca="1">IFERROR(__xludf.DUMMYFUNCTION("""COMPUTED_VALUE"""),151.4)</f>
        <v>151.4</v>
      </c>
    </row>
    <row r="1163" spans="1:2">
      <c r="A1163" s="3">
        <f ca="1">IFERROR(__xludf.DUMMYFUNCTION("""COMPUTED_VALUE"""),30882.6666666666)</f>
        <v>30882.666666666599</v>
      </c>
      <c r="B1163" s="1">
        <f ca="1">IFERROR(__xludf.DUMMYFUNCTION("""COMPUTED_VALUE"""),150.37)</f>
        <v>150.37</v>
      </c>
    </row>
    <row r="1164" spans="1:2">
      <c r="A1164" s="3">
        <f ca="1">IFERROR(__xludf.DUMMYFUNCTION("""COMPUTED_VALUE"""),30883.6666666666)</f>
        <v>30883.666666666599</v>
      </c>
      <c r="B1164" s="1">
        <f ca="1">IFERROR(__xludf.DUMMYFUNCTION("""COMPUTED_VALUE"""),149.55)</f>
        <v>149.55000000000001</v>
      </c>
    </row>
    <row r="1165" spans="1:2">
      <c r="A1165" s="3">
        <f ca="1">IFERROR(__xludf.DUMMYFUNCTION("""COMPUTED_VALUE"""),30886.6666666666)</f>
        <v>30886.666666666599</v>
      </c>
      <c r="B1165" s="1">
        <f ca="1">IFERROR(__xludf.DUMMYFUNCTION("""COMPUTED_VALUE"""),148.95)</f>
        <v>148.94999999999999</v>
      </c>
    </row>
    <row r="1166" spans="1:2">
      <c r="A1166" s="3">
        <f ca="1">IFERROR(__xludf.DUMMYFUNCTION("""COMPUTED_VALUE"""),30887.6666666666)</f>
        <v>30887.666666666599</v>
      </c>
      <c r="B1166" s="1">
        <f ca="1">IFERROR(__xludf.DUMMYFUNCTION("""COMPUTED_VALUE"""),147.82)</f>
        <v>147.82</v>
      </c>
    </row>
    <row r="1167" spans="1:2">
      <c r="A1167" s="3">
        <f ca="1">IFERROR(__xludf.DUMMYFUNCTION("""COMPUTED_VALUE"""),30888.6666666666)</f>
        <v>30888.666666666599</v>
      </c>
      <c r="B1167" s="1">
        <f ca="1">IFERROR(__xludf.DUMMYFUNCTION("""COMPUTED_VALUE"""),148.83)</f>
        <v>148.83000000000001</v>
      </c>
    </row>
    <row r="1168" spans="1:2">
      <c r="A1168" s="3">
        <f ca="1">IFERROR(__xludf.DUMMYFUNCTION("""COMPUTED_VALUE"""),30889.6666666666)</f>
        <v>30889.666666666599</v>
      </c>
      <c r="B1168" s="1">
        <f ca="1">IFERROR(__xludf.DUMMYFUNCTION("""COMPUTED_VALUE"""),150.08)</f>
        <v>150.08000000000001</v>
      </c>
    </row>
    <row r="1169" spans="1:2">
      <c r="A1169" s="3">
        <f ca="1">IFERROR(__xludf.DUMMYFUNCTION("""COMPUTED_VALUE"""),30890.6666666666)</f>
        <v>30890.666666666599</v>
      </c>
      <c r="B1169" s="1">
        <f ca="1">IFERROR(__xludf.DUMMYFUNCTION("""COMPUTED_VALUE"""),151.19)</f>
        <v>151.19</v>
      </c>
    </row>
    <row r="1170" spans="1:2">
      <c r="A1170" s="3">
        <f ca="1">IFERROR(__xludf.DUMMYFUNCTION("""COMPUTED_VALUE"""),30893.6666666666)</f>
        <v>30893.666666666599</v>
      </c>
      <c r="B1170" s="1">
        <f ca="1">IFERROR(__xludf.DUMMYFUNCTION("""COMPUTED_VALUE"""),150.19)</f>
        <v>150.19</v>
      </c>
    </row>
    <row r="1171" spans="1:2">
      <c r="A1171" s="3">
        <f ca="1">IFERROR(__xludf.DUMMYFUNCTION("""COMPUTED_VALUE"""),30894.6666666666)</f>
        <v>30894.666666666599</v>
      </c>
      <c r="B1171" s="1">
        <f ca="1">IFERROR(__xludf.DUMMYFUNCTION("""COMPUTED_VALUE"""),150.66)</f>
        <v>150.66</v>
      </c>
    </row>
    <row r="1172" spans="1:2">
      <c r="A1172" s="3">
        <f ca="1">IFERROR(__xludf.DUMMYFUNCTION("""COMPUTED_VALUE"""),30895.6666666666)</f>
        <v>30895.666666666599</v>
      </c>
      <c r="B1172" s="1">
        <f ca="1">IFERROR(__xludf.DUMMYFUNCTION("""COMPUTED_VALUE"""),154.08)</f>
        <v>154.08000000000001</v>
      </c>
    </row>
    <row r="1173" spans="1:2">
      <c r="A1173" s="3">
        <f ca="1">IFERROR(__xludf.DUMMYFUNCTION("""COMPUTED_VALUE"""),30896.6666666666)</f>
        <v>30896.666666666599</v>
      </c>
      <c r="B1173" s="1">
        <f ca="1">IFERROR(__xludf.DUMMYFUNCTION("""COMPUTED_VALUE"""),157.99)</f>
        <v>157.99</v>
      </c>
    </row>
    <row r="1174" spans="1:2">
      <c r="A1174" s="3">
        <f ca="1">IFERROR(__xludf.DUMMYFUNCTION("""COMPUTED_VALUE"""),30897.6666666666)</f>
        <v>30897.666666666599</v>
      </c>
      <c r="B1174" s="1">
        <f ca="1">IFERROR(__xludf.DUMMYFUNCTION("""COMPUTED_VALUE"""),162.35)</f>
        <v>162.35</v>
      </c>
    </row>
    <row r="1175" spans="1:2">
      <c r="A1175" s="3">
        <f ca="1">IFERROR(__xludf.DUMMYFUNCTION("""COMPUTED_VALUE"""),30900.6666666666)</f>
        <v>30900.666666666599</v>
      </c>
      <c r="B1175" s="1">
        <f ca="1">IFERROR(__xludf.DUMMYFUNCTION("""COMPUTED_VALUE"""),162.6)</f>
        <v>162.6</v>
      </c>
    </row>
    <row r="1176" spans="1:2">
      <c r="A1176" s="3">
        <f ca="1">IFERROR(__xludf.DUMMYFUNCTION("""COMPUTED_VALUE"""),30901.6666666666)</f>
        <v>30901.666666666599</v>
      </c>
      <c r="B1176" s="1">
        <f ca="1">IFERROR(__xludf.DUMMYFUNCTION("""COMPUTED_VALUE"""),162.72)</f>
        <v>162.72</v>
      </c>
    </row>
    <row r="1177" spans="1:2">
      <c r="A1177" s="3">
        <f ca="1">IFERROR(__xludf.DUMMYFUNCTION("""COMPUTED_VALUE"""),30902.6666666666)</f>
        <v>30902.666666666599</v>
      </c>
      <c r="B1177" s="1">
        <f ca="1">IFERROR(__xludf.DUMMYFUNCTION("""COMPUTED_VALUE"""),161.75)</f>
        <v>161.75</v>
      </c>
    </row>
    <row r="1178" spans="1:2">
      <c r="A1178" s="3">
        <f ca="1">IFERROR(__xludf.DUMMYFUNCTION("""COMPUTED_VALUE"""),30903.6666666666)</f>
        <v>30903.666666666599</v>
      </c>
      <c r="B1178" s="1">
        <f ca="1">IFERROR(__xludf.DUMMYFUNCTION("""COMPUTED_VALUE"""),165.54)</f>
        <v>165.54</v>
      </c>
    </row>
    <row r="1179" spans="1:2">
      <c r="A1179" s="3">
        <f ca="1">IFERROR(__xludf.DUMMYFUNCTION("""COMPUTED_VALUE"""),30904.6666666666)</f>
        <v>30904.666666666599</v>
      </c>
      <c r="B1179" s="1">
        <f ca="1">IFERROR(__xludf.DUMMYFUNCTION("""COMPUTED_VALUE"""),165.42)</f>
        <v>165.42</v>
      </c>
    </row>
    <row r="1180" spans="1:2">
      <c r="A1180" s="3">
        <f ca="1">IFERROR(__xludf.DUMMYFUNCTION("""COMPUTED_VALUE"""),30907.6666666666)</f>
        <v>30907.666666666599</v>
      </c>
      <c r="B1180" s="1">
        <f ca="1">IFERROR(__xludf.DUMMYFUNCTION("""COMPUTED_VALUE"""),165.43)</f>
        <v>165.43</v>
      </c>
    </row>
    <row r="1181" spans="1:2">
      <c r="A1181" s="3">
        <f ca="1">IFERROR(__xludf.DUMMYFUNCTION("""COMPUTED_VALUE"""),30908.6666666666)</f>
        <v>30908.666666666599</v>
      </c>
      <c r="B1181" s="1">
        <f ca="1">IFERROR(__xludf.DUMMYFUNCTION("""COMPUTED_VALUE"""),164.42)</f>
        <v>164.42</v>
      </c>
    </row>
    <row r="1182" spans="1:2">
      <c r="A1182" s="3">
        <f ca="1">IFERROR(__xludf.DUMMYFUNCTION("""COMPUTED_VALUE"""),30909.6666666666)</f>
        <v>30909.666666666599</v>
      </c>
      <c r="B1182" s="1">
        <f ca="1">IFERROR(__xludf.DUMMYFUNCTION("""COMPUTED_VALUE"""),162.8)</f>
        <v>162.80000000000001</v>
      </c>
    </row>
    <row r="1183" spans="1:2">
      <c r="A1183" s="3">
        <f ca="1">IFERROR(__xludf.DUMMYFUNCTION("""COMPUTED_VALUE"""),30910.6666666666)</f>
        <v>30910.666666666599</v>
      </c>
      <c r="B1183" s="1">
        <f ca="1">IFERROR(__xludf.DUMMYFUNCTION("""COMPUTED_VALUE"""),163.77)</f>
        <v>163.77000000000001</v>
      </c>
    </row>
    <row r="1184" spans="1:2">
      <c r="A1184" s="3">
        <f ca="1">IFERROR(__xludf.DUMMYFUNCTION("""COMPUTED_VALUE"""),30911.6666666666)</f>
        <v>30911.666666666599</v>
      </c>
      <c r="B1184" s="1">
        <f ca="1">IFERROR(__xludf.DUMMYFUNCTION("""COMPUTED_VALUE"""),164.14)</f>
        <v>164.14</v>
      </c>
    </row>
    <row r="1185" spans="1:2">
      <c r="A1185" s="3">
        <f ca="1">IFERROR(__xludf.DUMMYFUNCTION("""COMPUTED_VALUE"""),30914.6666666666)</f>
        <v>30914.666666666599</v>
      </c>
      <c r="B1185" s="1">
        <f ca="1">IFERROR(__xludf.DUMMYFUNCTION("""COMPUTED_VALUE"""),164.94)</f>
        <v>164.94</v>
      </c>
    </row>
    <row r="1186" spans="1:2">
      <c r="A1186" s="3">
        <f ca="1">IFERROR(__xludf.DUMMYFUNCTION("""COMPUTED_VALUE"""),30915.6666666666)</f>
        <v>30915.666666666599</v>
      </c>
      <c r="B1186" s="1">
        <f ca="1">IFERROR(__xludf.DUMMYFUNCTION("""COMPUTED_VALUE"""),167.83)</f>
        <v>167.83</v>
      </c>
    </row>
    <row r="1187" spans="1:2">
      <c r="A1187" s="3">
        <f ca="1">IFERROR(__xludf.DUMMYFUNCTION("""COMPUTED_VALUE"""),30916.6666666666)</f>
        <v>30916.666666666599</v>
      </c>
      <c r="B1187" s="1">
        <f ca="1">IFERROR(__xludf.DUMMYFUNCTION("""COMPUTED_VALUE"""),167.06)</f>
        <v>167.06</v>
      </c>
    </row>
    <row r="1188" spans="1:2">
      <c r="A1188" s="3">
        <f ca="1">IFERROR(__xludf.DUMMYFUNCTION("""COMPUTED_VALUE"""),30917.6666666666)</f>
        <v>30917.666666666599</v>
      </c>
      <c r="B1188" s="1">
        <f ca="1">IFERROR(__xludf.DUMMYFUNCTION("""COMPUTED_VALUE"""),167.12)</f>
        <v>167.12</v>
      </c>
    </row>
    <row r="1189" spans="1:2">
      <c r="A1189" s="3">
        <f ca="1">IFERROR(__xludf.DUMMYFUNCTION("""COMPUTED_VALUE"""),30918.6666666666)</f>
        <v>30918.666666666599</v>
      </c>
      <c r="B1189" s="1">
        <f ca="1">IFERROR(__xludf.DUMMYFUNCTION("""COMPUTED_VALUE"""),167.51)</f>
        <v>167.51</v>
      </c>
    </row>
    <row r="1190" spans="1:2">
      <c r="A1190" s="3">
        <f ca="1">IFERROR(__xludf.DUMMYFUNCTION("""COMPUTED_VALUE"""),30921.6666666666)</f>
        <v>30921.666666666599</v>
      </c>
      <c r="B1190" s="1">
        <f ca="1">IFERROR(__xludf.DUMMYFUNCTION("""COMPUTED_VALUE"""),166.44)</f>
        <v>166.44</v>
      </c>
    </row>
    <row r="1191" spans="1:2">
      <c r="A1191" s="3">
        <f ca="1">IFERROR(__xludf.DUMMYFUNCTION("""COMPUTED_VALUE"""),30922.6666666666)</f>
        <v>30922.666666666599</v>
      </c>
      <c r="B1191" s="1">
        <f ca="1">IFERROR(__xludf.DUMMYFUNCTION("""COMPUTED_VALUE"""),167.4)</f>
        <v>167.4</v>
      </c>
    </row>
    <row r="1192" spans="1:2">
      <c r="A1192" s="3">
        <f ca="1">IFERROR(__xludf.DUMMYFUNCTION("""COMPUTED_VALUE"""),30923.6666666666)</f>
        <v>30923.666666666599</v>
      </c>
      <c r="B1192" s="1">
        <f ca="1">IFERROR(__xludf.DUMMYFUNCTION("""COMPUTED_VALUE"""),167.09)</f>
        <v>167.09</v>
      </c>
    </row>
    <row r="1193" spans="1:2">
      <c r="A1193" s="3">
        <f ca="1">IFERROR(__xludf.DUMMYFUNCTION("""COMPUTED_VALUE"""),30924.6666666666)</f>
        <v>30924.666666666599</v>
      </c>
      <c r="B1193" s="1">
        <f ca="1">IFERROR(__xludf.DUMMYFUNCTION("""COMPUTED_VALUE"""),166.6)</f>
        <v>166.6</v>
      </c>
    </row>
    <row r="1194" spans="1:2">
      <c r="A1194" s="3">
        <f ca="1">IFERROR(__xludf.DUMMYFUNCTION("""COMPUTED_VALUE"""),30925.6666666666)</f>
        <v>30925.666666666599</v>
      </c>
      <c r="B1194" s="1">
        <f ca="1">IFERROR(__xludf.DUMMYFUNCTION("""COMPUTED_VALUE"""),166.68)</f>
        <v>166.68</v>
      </c>
    </row>
    <row r="1195" spans="1:2">
      <c r="A1195" s="3">
        <f ca="1">IFERROR(__xludf.DUMMYFUNCTION("""COMPUTED_VALUE"""),30929.6666666666)</f>
        <v>30929.666666666599</v>
      </c>
      <c r="B1195" s="1">
        <f ca="1">IFERROR(__xludf.DUMMYFUNCTION("""COMPUTED_VALUE"""),164.88)</f>
        <v>164.88</v>
      </c>
    </row>
    <row r="1196" spans="1:2">
      <c r="A1196" s="3">
        <f ca="1">IFERROR(__xludf.DUMMYFUNCTION("""COMPUTED_VALUE"""),30930.6666666666)</f>
        <v>30930.666666666599</v>
      </c>
      <c r="B1196" s="1">
        <f ca="1">IFERROR(__xludf.DUMMYFUNCTION("""COMPUTED_VALUE"""),164.29)</f>
        <v>164.29</v>
      </c>
    </row>
    <row r="1197" spans="1:2">
      <c r="A1197" s="3">
        <f ca="1">IFERROR(__xludf.DUMMYFUNCTION("""COMPUTED_VALUE"""),30931.6666666666)</f>
        <v>30931.666666666599</v>
      </c>
      <c r="B1197" s="1">
        <f ca="1">IFERROR(__xludf.DUMMYFUNCTION("""COMPUTED_VALUE"""),165.65)</f>
        <v>165.65</v>
      </c>
    </row>
    <row r="1198" spans="1:2">
      <c r="A1198" s="3">
        <f ca="1">IFERROR(__xludf.DUMMYFUNCTION("""COMPUTED_VALUE"""),30932.6666666666)</f>
        <v>30932.666666666599</v>
      </c>
      <c r="B1198" s="1">
        <f ca="1">IFERROR(__xludf.DUMMYFUNCTION("""COMPUTED_VALUE"""),164.37)</f>
        <v>164.37</v>
      </c>
    </row>
    <row r="1199" spans="1:2">
      <c r="A1199" s="3">
        <f ca="1">IFERROR(__xludf.DUMMYFUNCTION("""COMPUTED_VALUE"""),30935.6666666666)</f>
        <v>30935.666666666599</v>
      </c>
      <c r="B1199" s="1">
        <f ca="1">IFERROR(__xludf.DUMMYFUNCTION("""COMPUTED_VALUE"""),164.26)</f>
        <v>164.26</v>
      </c>
    </row>
    <row r="1200" spans="1:2">
      <c r="A1200" s="3">
        <f ca="1">IFERROR(__xludf.DUMMYFUNCTION("""COMPUTED_VALUE"""),30936.6666666666)</f>
        <v>30936.666666666599</v>
      </c>
      <c r="B1200" s="1">
        <f ca="1">IFERROR(__xludf.DUMMYFUNCTION("""COMPUTED_VALUE"""),164.45)</f>
        <v>164.45</v>
      </c>
    </row>
    <row r="1201" spans="1:2">
      <c r="A1201" s="3">
        <f ca="1">IFERROR(__xludf.DUMMYFUNCTION("""COMPUTED_VALUE"""),30937.6666666666)</f>
        <v>30937.666666666599</v>
      </c>
      <c r="B1201" s="1">
        <f ca="1">IFERROR(__xludf.DUMMYFUNCTION("""COMPUTED_VALUE"""),164.68)</f>
        <v>164.68</v>
      </c>
    </row>
    <row r="1202" spans="1:2">
      <c r="A1202" s="3">
        <f ca="1">IFERROR(__xludf.DUMMYFUNCTION("""COMPUTED_VALUE"""),30938.6666666666)</f>
        <v>30938.666666666599</v>
      </c>
      <c r="B1202" s="1">
        <f ca="1">IFERROR(__xludf.DUMMYFUNCTION("""COMPUTED_VALUE"""),167.94)</f>
        <v>167.94</v>
      </c>
    </row>
    <row r="1203" spans="1:2">
      <c r="A1203" s="3">
        <f ca="1">IFERROR(__xludf.DUMMYFUNCTION("""COMPUTED_VALUE"""),30939.6666666666)</f>
        <v>30939.666666666599</v>
      </c>
      <c r="B1203" s="1">
        <f ca="1">IFERROR(__xludf.DUMMYFUNCTION("""COMPUTED_VALUE"""),168.78)</f>
        <v>168.78</v>
      </c>
    </row>
    <row r="1204" spans="1:2">
      <c r="A1204" s="3">
        <f ca="1">IFERROR(__xludf.DUMMYFUNCTION("""COMPUTED_VALUE"""),30942.6666666666)</f>
        <v>30942.666666666599</v>
      </c>
      <c r="B1204" s="1">
        <f ca="1">IFERROR(__xludf.DUMMYFUNCTION("""COMPUTED_VALUE"""),168.87)</f>
        <v>168.87</v>
      </c>
    </row>
    <row r="1205" spans="1:2">
      <c r="A1205" s="3">
        <f ca="1">IFERROR(__xludf.DUMMYFUNCTION("""COMPUTED_VALUE"""),30943.6666666666)</f>
        <v>30943.666666666599</v>
      </c>
      <c r="B1205" s="1">
        <f ca="1">IFERROR(__xludf.DUMMYFUNCTION("""COMPUTED_VALUE"""),167.65)</f>
        <v>167.65</v>
      </c>
    </row>
    <row r="1206" spans="1:2">
      <c r="A1206" s="3">
        <f ca="1">IFERROR(__xludf.DUMMYFUNCTION("""COMPUTED_VALUE"""),30944.6666666666)</f>
        <v>30944.666666666599</v>
      </c>
      <c r="B1206" s="1">
        <f ca="1">IFERROR(__xludf.DUMMYFUNCTION("""COMPUTED_VALUE"""),166.94)</f>
        <v>166.94</v>
      </c>
    </row>
    <row r="1207" spans="1:2">
      <c r="A1207" s="3">
        <f ca="1">IFERROR(__xludf.DUMMYFUNCTION("""COMPUTED_VALUE"""),30945.6666666666)</f>
        <v>30945.666666666599</v>
      </c>
      <c r="B1207" s="1">
        <f ca="1">IFERROR(__xludf.DUMMYFUNCTION("""COMPUTED_VALUE"""),167.47)</f>
        <v>167.47</v>
      </c>
    </row>
    <row r="1208" spans="1:2">
      <c r="A1208" s="3">
        <f ca="1">IFERROR(__xludf.DUMMYFUNCTION("""COMPUTED_VALUE"""),30946.6666666666)</f>
        <v>30946.666666666599</v>
      </c>
      <c r="B1208" s="1">
        <f ca="1">IFERROR(__xludf.DUMMYFUNCTION("""COMPUTED_VALUE"""),165.67)</f>
        <v>165.67</v>
      </c>
    </row>
    <row r="1209" spans="1:2">
      <c r="A1209" s="3">
        <f ca="1">IFERROR(__xludf.DUMMYFUNCTION("""COMPUTED_VALUE"""),30949.6666666666)</f>
        <v>30949.666666666599</v>
      </c>
      <c r="B1209" s="1">
        <f ca="1">IFERROR(__xludf.DUMMYFUNCTION("""COMPUTED_VALUE"""),165.28)</f>
        <v>165.28</v>
      </c>
    </row>
    <row r="1210" spans="1:2">
      <c r="A1210" s="3">
        <f ca="1">IFERROR(__xludf.DUMMYFUNCTION("""COMPUTED_VALUE"""),30950.6666666666)</f>
        <v>30950.666666666599</v>
      </c>
      <c r="B1210" s="1">
        <f ca="1">IFERROR(__xludf.DUMMYFUNCTION("""COMPUTED_VALUE"""),165.62)</f>
        <v>165.62</v>
      </c>
    </row>
    <row r="1211" spans="1:2">
      <c r="A1211" s="3">
        <f ca="1">IFERROR(__xludf.DUMMYFUNCTION("""COMPUTED_VALUE"""),30951.6666666666)</f>
        <v>30951.666666666599</v>
      </c>
      <c r="B1211" s="1">
        <f ca="1">IFERROR(__xludf.DUMMYFUNCTION("""COMPUTED_VALUE"""),166.28)</f>
        <v>166.28</v>
      </c>
    </row>
    <row r="1212" spans="1:2">
      <c r="A1212" s="3">
        <f ca="1">IFERROR(__xludf.DUMMYFUNCTION("""COMPUTED_VALUE"""),30952.6666666666)</f>
        <v>30952.666666666599</v>
      </c>
      <c r="B1212" s="1">
        <f ca="1">IFERROR(__xludf.DUMMYFUNCTION("""COMPUTED_VALUE"""),166.96)</f>
        <v>166.96</v>
      </c>
    </row>
    <row r="1213" spans="1:2">
      <c r="A1213" s="3">
        <f ca="1">IFERROR(__xludf.DUMMYFUNCTION("""COMPUTED_VALUE"""),30953.6666666666)</f>
        <v>30953.666666666599</v>
      </c>
      <c r="B1213" s="1">
        <f ca="1">IFERROR(__xludf.DUMMYFUNCTION("""COMPUTED_VALUE"""),166.1)</f>
        <v>166.1</v>
      </c>
    </row>
    <row r="1214" spans="1:2">
      <c r="A1214" s="3">
        <f ca="1">IFERROR(__xludf.DUMMYFUNCTION("""COMPUTED_VALUE"""),30956.6666666666)</f>
        <v>30956.666666666599</v>
      </c>
      <c r="B1214" s="1">
        <f ca="1">IFERROR(__xludf.DUMMYFUNCTION("""COMPUTED_VALUE"""),164.62)</f>
        <v>164.62</v>
      </c>
    </row>
    <row r="1215" spans="1:2">
      <c r="A1215" s="3">
        <f ca="1">IFERROR(__xludf.DUMMYFUNCTION("""COMPUTED_VALUE"""),30957.6666666666)</f>
        <v>30957.666666666599</v>
      </c>
      <c r="B1215" s="1">
        <f ca="1">IFERROR(__xludf.DUMMYFUNCTION("""COMPUTED_VALUE"""),163.59)</f>
        <v>163.59</v>
      </c>
    </row>
    <row r="1216" spans="1:2">
      <c r="A1216" s="3">
        <f ca="1">IFERROR(__xludf.DUMMYFUNCTION("""COMPUTED_VALUE"""),30958.6666666666)</f>
        <v>30958.666666666599</v>
      </c>
      <c r="B1216" s="1">
        <f ca="1">IFERROR(__xludf.DUMMYFUNCTION("""COMPUTED_VALUE"""),162.44)</f>
        <v>162.44</v>
      </c>
    </row>
    <row r="1217" spans="1:2">
      <c r="A1217" s="3">
        <f ca="1">IFERROR(__xludf.DUMMYFUNCTION("""COMPUTED_VALUE"""),30959.6666666666)</f>
        <v>30959.666666666599</v>
      </c>
      <c r="B1217" s="1">
        <f ca="1">IFERROR(__xludf.DUMMYFUNCTION("""COMPUTED_VALUE"""),162.92)</f>
        <v>162.91999999999999</v>
      </c>
    </row>
    <row r="1218" spans="1:2">
      <c r="A1218" s="3">
        <f ca="1">IFERROR(__xludf.DUMMYFUNCTION("""COMPUTED_VALUE"""),30960.6666666666)</f>
        <v>30960.666666666599</v>
      </c>
      <c r="B1218" s="1">
        <f ca="1">IFERROR(__xludf.DUMMYFUNCTION("""COMPUTED_VALUE"""),162.68)</f>
        <v>162.68</v>
      </c>
    </row>
    <row r="1219" spans="1:2">
      <c r="A1219" s="3">
        <f ca="1">IFERROR(__xludf.DUMMYFUNCTION("""COMPUTED_VALUE"""),30963.6666666666)</f>
        <v>30963.666666666599</v>
      </c>
      <c r="B1219" s="1">
        <f ca="1">IFERROR(__xludf.DUMMYFUNCTION("""COMPUTED_VALUE"""),162.13)</f>
        <v>162.13</v>
      </c>
    </row>
    <row r="1220" spans="1:2">
      <c r="A1220" s="3">
        <f ca="1">IFERROR(__xludf.DUMMYFUNCTION("""COMPUTED_VALUE"""),30964.6666666666)</f>
        <v>30964.666666666599</v>
      </c>
      <c r="B1220" s="1">
        <f ca="1">IFERROR(__xludf.DUMMYFUNCTION("""COMPUTED_VALUE"""),161.67)</f>
        <v>161.66999999999999</v>
      </c>
    </row>
    <row r="1221" spans="1:2">
      <c r="A1221" s="3">
        <f ca="1">IFERROR(__xludf.DUMMYFUNCTION("""COMPUTED_VALUE"""),30965.6666666666)</f>
        <v>30965.666666666599</v>
      </c>
      <c r="B1221" s="1">
        <f ca="1">IFERROR(__xludf.DUMMYFUNCTION("""COMPUTED_VALUE"""),162.11)</f>
        <v>162.11000000000001</v>
      </c>
    </row>
    <row r="1222" spans="1:2">
      <c r="A1222" s="3">
        <f ca="1">IFERROR(__xludf.DUMMYFUNCTION("""COMPUTED_VALUE"""),30966.6666666666)</f>
        <v>30966.666666666599</v>
      </c>
      <c r="B1222" s="1">
        <f ca="1">IFERROR(__xludf.DUMMYFUNCTION("""COMPUTED_VALUE"""),162.78)</f>
        <v>162.78</v>
      </c>
    </row>
    <row r="1223" spans="1:2">
      <c r="A1223" s="3">
        <f ca="1">IFERROR(__xludf.DUMMYFUNCTION("""COMPUTED_VALUE"""),30967.6666666666)</f>
        <v>30967.666666666599</v>
      </c>
      <c r="B1223" s="1">
        <f ca="1">IFERROR(__xludf.DUMMYFUNCTION("""COMPUTED_VALUE"""),164.18)</f>
        <v>164.18</v>
      </c>
    </row>
    <row r="1224" spans="1:2">
      <c r="A1224" s="3">
        <f ca="1">IFERROR(__xludf.DUMMYFUNCTION("""COMPUTED_VALUE"""),30970.6666666666)</f>
        <v>30970.666666666599</v>
      </c>
      <c r="B1224" s="1">
        <f ca="1">IFERROR(__xludf.DUMMYFUNCTION("""COMPUTED_VALUE"""),165.77)</f>
        <v>165.77</v>
      </c>
    </row>
    <row r="1225" spans="1:2">
      <c r="A1225" s="3">
        <f ca="1">IFERROR(__xludf.DUMMYFUNCTION("""COMPUTED_VALUE"""),30971.6666666666)</f>
        <v>30971.666666666599</v>
      </c>
      <c r="B1225" s="1">
        <f ca="1">IFERROR(__xludf.DUMMYFUNCTION("""COMPUTED_VALUE"""),164.78)</f>
        <v>164.78</v>
      </c>
    </row>
    <row r="1226" spans="1:2">
      <c r="A1226" s="3">
        <f ca="1">IFERROR(__xludf.DUMMYFUNCTION("""COMPUTED_VALUE"""),30972.6666666666)</f>
        <v>30972.666666666599</v>
      </c>
      <c r="B1226" s="1">
        <f ca="1">IFERROR(__xludf.DUMMYFUNCTION("""COMPUTED_VALUE"""),164.14)</f>
        <v>164.14</v>
      </c>
    </row>
    <row r="1227" spans="1:2">
      <c r="A1227" s="3">
        <f ca="1">IFERROR(__xludf.DUMMYFUNCTION("""COMPUTED_VALUE"""),30973.6666666666)</f>
        <v>30973.666666666599</v>
      </c>
      <c r="B1227" s="1">
        <f ca="1">IFERROR(__xludf.DUMMYFUNCTION("""COMPUTED_VALUE"""),168.1)</f>
        <v>168.1</v>
      </c>
    </row>
    <row r="1228" spans="1:2">
      <c r="A1228" s="3">
        <f ca="1">IFERROR(__xludf.DUMMYFUNCTION("""COMPUTED_VALUE"""),30974.6666666666)</f>
        <v>30974.666666666599</v>
      </c>
      <c r="B1228" s="1">
        <f ca="1">IFERROR(__xludf.DUMMYFUNCTION("""COMPUTED_VALUE"""),167.96)</f>
        <v>167.96</v>
      </c>
    </row>
    <row r="1229" spans="1:2">
      <c r="A1229" s="3">
        <f ca="1">IFERROR(__xludf.DUMMYFUNCTION("""COMPUTED_VALUE"""),30977.6666666666)</f>
        <v>30977.666666666599</v>
      </c>
      <c r="B1229" s="1">
        <f ca="1">IFERROR(__xludf.DUMMYFUNCTION("""COMPUTED_VALUE"""),167.36)</f>
        <v>167.36</v>
      </c>
    </row>
    <row r="1230" spans="1:2">
      <c r="A1230" s="3">
        <f ca="1">IFERROR(__xludf.DUMMYFUNCTION("""COMPUTED_VALUE"""),30978.6666666666)</f>
        <v>30978.666666666599</v>
      </c>
      <c r="B1230" s="1">
        <f ca="1">IFERROR(__xludf.DUMMYFUNCTION("""COMPUTED_VALUE"""),167.09)</f>
        <v>167.09</v>
      </c>
    </row>
    <row r="1231" spans="1:2">
      <c r="A1231" s="3">
        <f ca="1">IFERROR(__xludf.DUMMYFUNCTION("""COMPUTED_VALUE"""),30979.6666666666)</f>
        <v>30979.666666666599</v>
      </c>
      <c r="B1231" s="1">
        <f ca="1">IFERROR(__xludf.DUMMYFUNCTION("""COMPUTED_VALUE"""),167.2)</f>
        <v>167.2</v>
      </c>
    </row>
    <row r="1232" spans="1:2">
      <c r="A1232" s="3">
        <f ca="1">IFERROR(__xludf.DUMMYFUNCTION("""COMPUTED_VALUE"""),30980.6666666666)</f>
        <v>30980.666666666599</v>
      </c>
      <c r="B1232" s="1">
        <f ca="1">IFERROR(__xludf.DUMMYFUNCTION("""COMPUTED_VALUE"""),166.31)</f>
        <v>166.31</v>
      </c>
    </row>
    <row r="1233" spans="1:2">
      <c r="A1233" s="3">
        <f ca="1">IFERROR(__xludf.DUMMYFUNCTION("""COMPUTED_VALUE"""),30981.6666666666)</f>
        <v>30981.666666666599</v>
      </c>
      <c r="B1233" s="1">
        <f ca="1">IFERROR(__xludf.DUMMYFUNCTION("""COMPUTED_VALUE"""),165.29)</f>
        <v>165.29</v>
      </c>
    </row>
    <row r="1234" spans="1:2">
      <c r="A1234" s="3">
        <f ca="1">IFERROR(__xludf.DUMMYFUNCTION("""COMPUTED_VALUE"""),30984.6666666666)</f>
        <v>30984.666666666599</v>
      </c>
      <c r="B1234" s="1">
        <f ca="1">IFERROR(__xludf.DUMMYFUNCTION("""COMPUTED_VALUE"""),164.78)</f>
        <v>164.78</v>
      </c>
    </row>
    <row r="1235" spans="1:2">
      <c r="A1235" s="3">
        <f ca="1">IFERROR(__xludf.DUMMYFUNCTION("""COMPUTED_VALUE"""),30985.6666666666)</f>
        <v>30985.666666666599</v>
      </c>
      <c r="B1235" s="1">
        <f ca="1">IFERROR(__xludf.DUMMYFUNCTION("""COMPUTED_VALUE"""),166.84)</f>
        <v>166.84</v>
      </c>
    </row>
    <row r="1236" spans="1:2">
      <c r="A1236" s="3">
        <f ca="1">IFERROR(__xludf.DUMMYFUNCTION("""COMPUTED_VALUE"""),30986.6666666666)</f>
        <v>30986.666666666599</v>
      </c>
      <c r="B1236" s="1">
        <f ca="1">IFERROR(__xludf.DUMMYFUNCTION("""COMPUTED_VALUE"""),166.09)</f>
        <v>166.09</v>
      </c>
    </row>
    <row r="1237" spans="1:2">
      <c r="A1237" s="3">
        <f ca="1">IFERROR(__xludf.DUMMYFUNCTION("""COMPUTED_VALUE"""),30987.6666666666)</f>
        <v>30987.666666666599</v>
      </c>
      <c r="B1237" s="1">
        <f ca="1">IFERROR(__xludf.DUMMYFUNCTION("""COMPUTED_VALUE"""),167.49)</f>
        <v>167.49</v>
      </c>
    </row>
    <row r="1238" spans="1:2">
      <c r="A1238" s="3">
        <f ca="1">IFERROR(__xludf.DUMMYFUNCTION("""COMPUTED_VALUE"""),30988.6666666666)</f>
        <v>30988.666666666599</v>
      </c>
      <c r="B1238" s="1">
        <f ca="1">IFERROR(__xludf.DUMMYFUNCTION("""COMPUTED_VALUE"""),167.42)</f>
        <v>167.42</v>
      </c>
    </row>
    <row r="1239" spans="1:2">
      <c r="A1239" s="3">
        <f ca="1">IFERROR(__xludf.DUMMYFUNCTION("""COMPUTED_VALUE"""),30991.6666666666)</f>
        <v>30991.666666666599</v>
      </c>
      <c r="B1239" s="1">
        <f ca="1">IFERROR(__xludf.DUMMYFUNCTION("""COMPUTED_VALUE"""),168.58)</f>
        <v>168.58</v>
      </c>
    </row>
    <row r="1240" spans="1:2">
      <c r="A1240" s="3">
        <f ca="1">IFERROR(__xludf.DUMMYFUNCTION("""COMPUTED_VALUE"""),30992.6666666666)</f>
        <v>30992.666666666599</v>
      </c>
      <c r="B1240" s="1">
        <f ca="1">IFERROR(__xludf.DUMMYFUNCTION("""COMPUTED_VALUE"""),170.41)</f>
        <v>170.41</v>
      </c>
    </row>
    <row r="1241" spans="1:2">
      <c r="A1241" s="3">
        <f ca="1">IFERROR(__xludf.DUMMYFUNCTION("""COMPUTED_VALUE"""),30993.6666666666)</f>
        <v>30993.666666666599</v>
      </c>
      <c r="B1241" s="1">
        <f ca="1">IFERROR(__xludf.DUMMYFUNCTION("""COMPUTED_VALUE"""),169.17)</f>
        <v>169.17</v>
      </c>
    </row>
    <row r="1242" spans="1:2">
      <c r="A1242" s="3">
        <f ca="1">IFERROR(__xludf.DUMMYFUNCTION("""COMPUTED_VALUE"""),30994.6666666666)</f>
        <v>30994.666666666599</v>
      </c>
      <c r="B1242" s="1">
        <f ca="1">IFERROR(__xludf.DUMMYFUNCTION("""COMPUTED_VALUE"""),168.68)</f>
        <v>168.68</v>
      </c>
    </row>
    <row r="1243" spans="1:2">
      <c r="A1243" s="3">
        <f ca="1">IFERROR(__xludf.DUMMYFUNCTION("""COMPUTED_VALUE"""),30995.6666666666)</f>
        <v>30995.666666666599</v>
      </c>
      <c r="B1243" s="1">
        <f ca="1">IFERROR(__xludf.DUMMYFUNCTION("""COMPUTED_VALUE"""),167.6)</f>
        <v>167.6</v>
      </c>
    </row>
    <row r="1244" spans="1:2">
      <c r="A1244" s="3">
        <f ca="1">IFERROR(__xludf.DUMMYFUNCTION("""COMPUTED_VALUE"""),30998.6666666666)</f>
        <v>30998.666666666599</v>
      </c>
      <c r="B1244" s="1">
        <f ca="1">IFERROR(__xludf.DUMMYFUNCTION("""COMPUTED_VALUE"""),167.36)</f>
        <v>167.36</v>
      </c>
    </row>
    <row r="1245" spans="1:2">
      <c r="A1245" s="3">
        <f ca="1">IFERROR(__xludf.DUMMYFUNCTION("""COMPUTED_VALUE"""),30999.6666666666)</f>
        <v>30999.666666666599</v>
      </c>
      <c r="B1245" s="1">
        <f ca="1">IFERROR(__xludf.DUMMYFUNCTION("""COMPUTED_VALUE"""),165.97)</f>
        <v>165.97</v>
      </c>
    </row>
    <row r="1246" spans="1:2">
      <c r="A1246" s="3">
        <f ca="1">IFERROR(__xludf.DUMMYFUNCTION("""COMPUTED_VALUE"""),31000.6666666666)</f>
        <v>31000.666666666599</v>
      </c>
      <c r="B1246" s="1">
        <f ca="1">IFERROR(__xludf.DUMMYFUNCTION("""COMPUTED_VALUE"""),165.99)</f>
        <v>165.99</v>
      </c>
    </row>
    <row r="1247" spans="1:2">
      <c r="A1247" s="3">
        <f ca="1">IFERROR(__xludf.DUMMYFUNCTION("""COMPUTED_VALUE"""),31001.6666666666)</f>
        <v>31001.666666666599</v>
      </c>
      <c r="B1247" s="1">
        <f ca="1">IFERROR(__xludf.DUMMYFUNCTION("""COMPUTED_VALUE"""),165.89)</f>
        <v>165.89</v>
      </c>
    </row>
    <row r="1248" spans="1:2">
      <c r="A1248" s="3">
        <f ca="1">IFERROR(__xludf.DUMMYFUNCTION("""COMPUTED_VALUE"""),31002.6666666666)</f>
        <v>31002.666666666599</v>
      </c>
      <c r="B1248" s="1">
        <f ca="1">IFERROR(__xludf.DUMMYFUNCTION("""COMPUTED_VALUE"""),164.1)</f>
        <v>164.1</v>
      </c>
    </row>
    <row r="1249" spans="1:2">
      <c r="A1249" s="3">
        <f ca="1">IFERROR(__xludf.DUMMYFUNCTION("""COMPUTED_VALUE"""),31005.6666666666)</f>
        <v>31005.666666666599</v>
      </c>
      <c r="B1249" s="1">
        <f ca="1">IFERROR(__xludf.DUMMYFUNCTION("""COMPUTED_VALUE"""),163.09)</f>
        <v>163.09</v>
      </c>
    </row>
    <row r="1250" spans="1:2">
      <c r="A1250" s="3">
        <f ca="1">IFERROR(__xludf.DUMMYFUNCTION("""COMPUTED_VALUE"""),31006.6666666666)</f>
        <v>31006.666666666599</v>
      </c>
      <c r="B1250" s="1">
        <f ca="1">IFERROR(__xludf.DUMMYFUNCTION("""COMPUTED_VALUE"""),164.18)</f>
        <v>164.18</v>
      </c>
    </row>
    <row r="1251" spans="1:2">
      <c r="A1251" s="3">
        <f ca="1">IFERROR(__xludf.DUMMYFUNCTION("""COMPUTED_VALUE"""),31007.6666666666)</f>
        <v>31007.666666666599</v>
      </c>
      <c r="B1251" s="1">
        <f ca="1">IFERROR(__xludf.DUMMYFUNCTION("""COMPUTED_VALUE"""),164.51)</f>
        <v>164.51</v>
      </c>
    </row>
    <row r="1252" spans="1:2">
      <c r="A1252" s="3">
        <f ca="1">IFERROR(__xludf.DUMMYFUNCTION("""COMPUTED_VALUE"""),31009.6666666666)</f>
        <v>31009.666666666599</v>
      </c>
      <c r="B1252" s="1">
        <f ca="1">IFERROR(__xludf.DUMMYFUNCTION("""COMPUTED_VALUE"""),166.92)</f>
        <v>166.92</v>
      </c>
    </row>
    <row r="1253" spans="1:2">
      <c r="A1253" s="3">
        <f ca="1">IFERROR(__xludf.DUMMYFUNCTION("""COMPUTED_VALUE"""),31012.6666666666)</f>
        <v>31012.666666666599</v>
      </c>
      <c r="B1253" s="1">
        <f ca="1">IFERROR(__xludf.DUMMYFUNCTION("""COMPUTED_VALUE"""),165.55)</f>
        <v>165.55</v>
      </c>
    </row>
    <row r="1254" spans="1:2">
      <c r="A1254" s="3">
        <f ca="1">IFERROR(__xludf.DUMMYFUNCTION("""COMPUTED_VALUE"""),31013.6666666666)</f>
        <v>31013.666666666599</v>
      </c>
      <c r="B1254" s="1">
        <f ca="1">IFERROR(__xludf.DUMMYFUNCTION("""COMPUTED_VALUE"""),166.29)</f>
        <v>166.29</v>
      </c>
    </row>
    <row r="1255" spans="1:2">
      <c r="A1255" s="3">
        <f ca="1">IFERROR(__xludf.DUMMYFUNCTION("""COMPUTED_VALUE"""),31014.6666666666)</f>
        <v>31014.666666666599</v>
      </c>
      <c r="B1255" s="1">
        <f ca="1">IFERROR(__xludf.DUMMYFUNCTION("""COMPUTED_VALUE"""),165.02)</f>
        <v>165.02</v>
      </c>
    </row>
    <row r="1256" spans="1:2">
      <c r="A1256" s="3">
        <f ca="1">IFERROR(__xludf.DUMMYFUNCTION("""COMPUTED_VALUE"""),31015.6666666666)</f>
        <v>31015.666666666599</v>
      </c>
      <c r="B1256" s="1">
        <f ca="1">IFERROR(__xludf.DUMMYFUNCTION("""COMPUTED_VALUE"""),163.91)</f>
        <v>163.91</v>
      </c>
    </row>
    <row r="1257" spans="1:2">
      <c r="A1257" s="3">
        <f ca="1">IFERROR(__xludf.DUMMYFUNCTION("""COMPUTED_VALUE"""),31016.6666666666)</f>
        <v>31016.666666666599</v>
      </c>
      <c r="B1257" s="1">
        <f ca="1">IFERROR(__xludf.DUMMYFUNCTION("""COMPUTED_VALUE"""),163.58)</f>
        <v>163.58000000000001</v>
      </c>
    </row>
    <row r="1258" spans="1:2">
      <c r="A1258" s="3">
        <f ca="1">IFERROR(__xludf.DUMMYFUNCTION("""COMPUTED_VALUE"""),31019.6666666666)</f>
        <v>31019.666666666599</v>
      </c>
      <c r="B1258" s="1">
        <f ca="1">IFERROR(__xludf.DUMMYFUNCTION("""COMPUTED_VALUE"""),162.82)</f>
        <v>162.82</v>
      </c>
    </row>
    <row r="1259" spans="1:2">
      <c r="A1259" s="3">
        <f ca="1">IFERROR(__xludf.DUMMYFUNCTION("""COMPUTED_VALUE"""),31020.6666666666)</f>
        <v>31020.666666666599</v>
      </c>
      <c r="B1259" s="1">
        <f ca="1">IFERROR(__xludf.DUMMYFUNCTION("""COMPUTED_VALUE"""),163.38)</f>
        <v>163.38</v>
      </c>
    </row>
    <row r="1260" spans="1:2">
      <c r="A1260" s="3">
        <f ca="1">IFERROR(__xludf.DUMMYFUNCTION("""COMPUTED_VALUE"""),31021.6666666666)</f>
        <v>31021.666666666599</v>
      </c>
      <c r="B1260" s="1">
        <f ca="1">IFERROR(__xludf.DUMMYFUNCTION("""COMPUTED_VALUE"""),162.1)</f>
        <v>162.1</v>
      </c>
    </row>
    <row r="1261" spans="1:2">
      <c r="A1261" s="3">
        <f ca="1">IFERROR(__xludf.DUMMYFUNCTION("""COMPUTED_VALUE"""),31022.6666666666)</f>
        <v>31022.666666666599</v>
      </c>
      <c r="B1261" s="1">
        <f ca="1">IFERROR(__xludf.DUMMYFUNCTION("""COMPUTED_VALUE"""),162.76)</f>
        <v>162.76</v>
      </c>
    </row>
    <row r="1262" spans="1:2">
      <c r="A1262" s="3">
        <f ca="1">IFERROR(__xludf.DUMMYFUNCTION("""COMPUTED_VALUE"""),31023.6666666666)</f>
        <v>31023.666666666599</v>
      </c>
      <c r="B1262" s="1">
        <f ca="1">IFERROR(__xludf.DUMMYFUNCTION("""COMPUTED_VALUE"""),162.26)</f>
        <v>162.26</v>
      </c>
    </row>
    <row r="1263" spans="1:2">
      <c r="A1263" s="3">
        <f ca="1">IFERROR(__xludf.DUMMYFUNCTION("""COMPUTED_VALUE"""),31026.6666666666)</f>
        <v>31026.666666666599</v>
      </c>
      <c r="B1263" s="1">
        <f ca="1">IFERROR(__xludf.DUMMYFUNCTION("""COMPUTED_VALUE"""),162.83)</f>
        <v>162.83000000000001</v>
      </c>
    </row>
    <row r="1264" spans="1:2">
      <c r="A1264" s="3">
        <f ca="1">IFERROR(__xludf.DUMMYFUNCTION("""COMPUTED_VALUE"""),31027.6666666666)</f>
        <v>31027.666666666599</v>
      </c>
      <c r="B1264" s="1">
        <f ca="1">IFERROR(__xludf.DUMMYFUNCTION("""COMPUTED_VALUE"""),163.07)</f>
        <v>163.07</v>
      </c>
    </row>
    <row r="1265" spans="1:2">
      <c r="A1265" s="3">
        <f ca="1">IFERROR(__xludf.DUMMYFUNCTION("""COMPUTED_VALUE"""),31028.6666666666)</f>
        <v>31028.666666666599</v>
      </c>
      <c r="B1265" s="1">
        <f ca="1">IFERROR(__xludf.DUMMYFUNCTION("""COMPUTED_VALUE"""),162.63)</f>
        <v>162.63</v>
      </c>
    </row>
    <row r="1266" spans="1:2">
      <c r="A1266" s="3">
        <f ca="1">IFERROR(__xludf.DUMMYFUNCTION("""COMPUTED_VALUE"""),31029.6666666666)</f>
        <v>31029.666666666599</v>
      </c>
      <c r="B1266" s="1">
        <f ca="1">IFERROR(__xludf.DUMMYFUNCTION("""COMPUTED_VALUE"""),161.81)</f>
        <v>161.81</v>
      </c>
    </row>
    <row r="1267" spans="1:2">
      <c r="A1267" s="3">
        <f ca="1">IFERROR(__xludf.DUMMYFUNCTION("""COMPUTED_VALUE"""),31030.6666666666)</f>
        <v>31030.666666666599</v>
      </c>
      <c r="B1267" s="1">
        <f ca="1">IFERROR(__xludf.DUMMYFUNCTION("""COMPUTED_VALUE"""),162.69)</f>
        <v>162.69</v>
      </c>
    </row>
    <row r="1268" spans="1:2">
      <c r="A1268" s="3">
        <f ca="1">IFERROR(__xludf.DUMMYFUNCTION("""COMPUTED_VALUE"""),31033.6666666666)</f>
        <v>31033.666666666599</v>
      </c>
      <c r="B1268" s="1">
        <f ca="1">IFERROR(__xludf.DUMMYFUNCTION("""COMPUTED_VALUE"""),163.61)</f>
        <v>163.61000000000001</v>
      </c>
    </row>
    <row r="1269" spans="1:2">
      <c r="A1269" s="3">
        <f ca="1">IFERROR(__xludf.DUMMYFUNCTION("""COMPUTED_VALUE"""),31034.6666666666)</f>
        <v>31034.666666666599</v>
      </c>
      <c r="B1269" s="1">
        <f ca="1">IFERROR(__xludf.DUMMYFUNCTION("""COMPUTED_VALUE"""),168.11)</f>
        <v>168.11</v>
      </c>
    </row>
    <row r="1270" spans="1:2">
      <c r="A1270" s="3">
        <f ca="1">IFERROR(__xludf.DUMMYFUNCTION("""COMPUTED_VALUE"""),31035.6666666666)</f>
        <v>31035.666666666599</v>
      </c>
      <c r="B1270" s="1">
        <f ca="1">IFERROR(__xludf.DUMMYFUNCTION("""COMPUTED_VALUE"""),167.16)</f>
        <v>167.16</v>
      </c>
    </row>
    <row r="1271" spans="1:2">
      <c r="A1271" s="3">
        <f ca="1">IFERROR(__xludf.DUMMYFUNCTION("""COMPUTED_VALUE"""),31036.6666666666)</f>
        <v>31036.666666666599</v>
      </c>
      <c r="B1271" s="1">
        <f ca="1">IFERROR(__xludf.DUMMYFUNCTION("""COMPUTED_VALUE"""),166.38)</f>
        <v>166.38</v>
      </c>
    </row>
    <row r="1272" spans="1:2">
      <c r="A1272" s="3">
        <f ca="1">IFERROR(__xludf.DUMMYFUNCTION("""COMPUTED_VALUE"""),31037.6666666666)</f>
        <v>31037.666666666599</v>
      </c>
      <c r="B1272" s="1">
        <f ca="1">IFERROR(__xludf.DUMMYFUNCTION("""COMPUTED_VALUE"""),165.51)</f>
        <v>165.51</v>
      </c>
    </row>
    <row r="1273" spans="1:2">
      <c r="A1273" s="3">
        <f ca="1">IFERROR(__xludf.DUMMYFUNCTION("""COMPUTED_VALUE"""),31040.6666666666)</f>
        <v>31040.666666666599</v>
      </c>
      <c r="B1273" s="1">
        <f ca="1">IFERROR(__xludf.DUMMYFUNCTION("""COMPUTED_VALUE"""),166.76)</f>
        <v>166.76</v>
      </c>
    </row>
    <row r="1274" spans="1:2">
      <c r="A1274" s="3">
        <f ca="1">IFERROR(__xludf.DUMMYFUNCTION("""COMPUTED_VALUE"""),31042.6666666666)</f>
        <v>31042.666666666599</v>
      </c>
      <c r="B1274" s="1">
        <f ca="1">IFERROR(__xludf.DUMMYFUNCTION("""COMPUTED_VALUE"""),166.47)</f>
        <v>166.47</v>
      </c>
    </row>
    <row r="1275" spans="1:2">
      <c r="A1275" s="3">
        <f ca="1">IFERROR(__xludf.DUMMYFUNCTION("""COMPUTED_VALUE"""),31043.6666666666)</f>
        <v>31043.666666666599</v>
      </c>
      <c r="B1275" s="1">
        <f ca="1">IFERROR(__xludf.DUMMYFUNCTION("""COMPUTED_VALUE"""),165.75)</f>
        <v>165.75</v>
      </c>
    </row>
    <row r="1276" spans="1:2">
      <c r="A1276" s="3">
        <f ca="1">IFERROR(__xludf.DUMMYFUNCTION("""COMPUTED_VALUE"""),31044.6666666666)</f>
        <v>31044.666666666599</v>
      </c>
      <c r="B1276" s="1">
        <f ca="1">IFERROR(__xludf.DUMMYFUNCTION("""COMPUTED_VALUE"""),166.26)</f>
        <v>166.26</v>
      </c>
    </row>
    <row r="1277" spans="1:2">
      <c r="A1277" s="3">
        <f ca="1">IFERROR(__xludf.DUMMYFUNCTION("""COMPUTED_VALUE"""),31047.6666666666)</f>
        <v>31047.666666666599</v>
      </c>
      <c r="B1277" s="1">
        <f ca="1">IFERROR(__xludf.DUMMYFUNCTION("""COMPUTED_VALUE"""),167.24)</f>
        <v>167.24</v>
      </c>
    </row>
    <row r="1278" spans="1:2">
      <c r="A1278" s="3">
        <f ca="1">IFERROR(__xludf.DUMMYFUNCTION("""COMPUTED_VALUE"""),31049.6666666666)</f>
        <v>31049.666666666599</v>
      </c>
      <c r="B1278" s="1">
        <f ca="1">IFERROR(__xludf.DUMMYFUNCTION("""COMPUTED_VALUE"""),165.37)</f>
        <v>165.37</v>
      </c>
    </row>
    <row r="1279" spans="1:2">
      <c r="A1279" s="3">
        <f ca="1">IFERROR(__xludf.DUMMYFUNCTION("""COMPUTED_VALUE"""),31050.6666666666)</f>
        <v>31050.666666666599</v>
      </c>
      <c r="B1279" s="1">
        <f ca="1">IFERROR(__xludf.DUMMYFUNCTION("""COMPUTED_VALUE"""),164.57)</f>
        <v>164.57</v>
      </c>
    </row>
    <row r="1280" spans="1:2">
      <c r="A1280" s="3">
        <f ca="1">IFERROR(__xludf.DUMMYFUNCTION("""COMPUTED_VALUE"""),31051.6666666666)</f>
        <v>31051.666666666599</v>
      </c>
      <c r="B1280" s="1">
        <f ca="1">IFERROR(__xludf.DUMMYFUNCTION("""COMPUTED_VALUE"""),163.68)</f>
        <v>163.68</v>
      </c>
    </row>
    <row r="1281" spans="1:2">
      <c r="A1281" s="3">
        <f ca="1">IFERROR(__xludf.DUMMYFUNCTION("""COMPUTED_VALUE"""),31054.6666666666)</f>
        <v>31054.666666666599</v>
      </c>
      <c r="B1281" s="1">
        <f ca="1">IFERROR(__xludf.DUMMYFUNCTION("""COMPUTED_VALUE"""),164.24)</f>
        <v>164.24</v>
      </c>
    </row>
    <row r="1282" spans="1:2">
      <c r="A1282" s="3">
        <f ca="1">IFERROR(__xludf.DUMMYFUNCTION("""COMPUTED_VALUE"""),31055.6666666666)</f>
        <v>31055.666666666599</v>
      </c>
      <c r="B1282" s="1">
        <f ca="1">IFERROR(__xludf.DUMMYFUNCTION("""COMPUTED_VALUE"""),163.99)</f>
        <v>163.99</v>
      </c>
    </row>
    <row r="1283" spans="1:2">
      <c r="A1283" s="3">
        <f ca="1">IFERROR(__xludf.DUMMYFUNCTION("""COMPUTED_VALUE"""),31056.6666666666)</f>
        <v>31056.666666666599</v>
      </c>
      <c r="B1283" s="1">
        <f ca="1">IFERROR(__xludf.DUMMYFUNCTION("""COMPUTED_VALUE"""),165.18)</f>
        <v>165.18</v>
      </c>
    </row>
    <row r="1284" spans="1:2">
      <c r="A1284" s="3">
        <f ca="1">IFERROR(__xludf.DUMMYFUNCTION("""COMPUTED_VALUE"""),31057.6666666666)</f>
        <v>31057.666666666599</v>
      </c>
      <c r="B1284" s="1">
        <f ca="1">IFERROR(__xludf.DUMMYFUNCTION("""COMPUTED_VALUE"""),168.31)</f>
        <v>168.31</v>
      </c>
    </row>
    <row r="1285" spans="1:2">
      <c r="A1285" s="3">
        <f ca="1">IFERROR(__xludf.DUMMYFUNCTION("""COMPUTED_VALUE"""),31058.6666666666)</f>
        <v>31058.666666666599</v>
      </c>
      <c r="B1285" s="1">
        <f ca="1">IFERROR(__xludf.DUMMYFUNCTION("""COMPUTED_VALUE"""),167.91)</f>
        <v>167.91</v>
      </c>
    </row>
    <row r="1286" spans="1:2">
      <c r="A1286" s="3">
        <f ca="1">IFERROR(__xludf.DUMMYFUNCTION("""COMPUTED_VALUE"""),31061.6666666666)</f>
        <v>31061.666666666599</v>
      </c>
      <c r="B1286" s="1">
        <f ca="1">IFERROR(__xludf.DUMMYFUNCTION("""COMPUTED_VALUE"""),170.51)</f>
        <v>170.51</v>
      </c>
    </row>
    <row r="1287" spans="1:2">
      <c r="A1287" s="3">
        <f ca="1">IFERROR(__xludf.DUMMYFUNCTION("""COMPUTED_VALUE"""),31062.6666666666)</f>
        <v>31062.666666666599</v>
      </c>
      <c r="B1287" s="1">
        <f ca="1">IFERROR(__xludf.DUMMYFUNCTION("""COMPUTED_VALUE"""),170.81)</f>
        <v>170.81</v>
      </c>
    </row>
    <row r="1288" spans="1:2">
      <c r="A1288" s="3">
        <f ca="1">IFERROR(__xludf.DUMMYFUNCTION("""COMPUTED_VALUE"""),31063.6666666666)</f>
        <v>31063.666666666599</v>
      </c>
      <c r="B1288" s="1">
        <f ca="1">IFERROR(__xludf.DUMMYFUNCTION("""COMPUTED_VALUE"""),171.19)</f>
        <v>171.19</v>
      </c>
    </row>
    <row r="1289" spans="1:2">
      <c r="A1289" s="3">
        <f ca="1">IFERROR(__xludf.DUMMYFUNCTION("""COMPUTED_VALUE"""),31064.6666666666)</f>
        <v>31064.666666666599</v>
      </c>
      <c r="B1289" s="1">
        <f ca="1">IFERROR(__xludf.DUMMYFUNCTION("""COMPUTED_VALUE"""),170.73)</f>
        <v>170.73</v>
      </c>
    </row>
    <row r="1290" spans="1:2">
      <c r="A1290" s="3">
        <f ca="1">IFERROR(__xludf.DUMMYFUNCTION("""COMPUTED_VALUE"""),31065.6666666666)</f>
        <v>31065.666666666599</v>
      </c>
      <c r="B1290" s="1">
        <f ca="1">IFERROR(__xludf.DUMMYFUNCTION("""COMPUTED_VALUE"""),171.32)</f>
        <v>171.32</v>
      </c>
    </row>
    <row r="1291" spans="1:2">
      <c r="A1291" s="3">
        <f ca="1">IFERROR(__xludf.DUMMYFUNCTION("""COMPUTED_VALUE"""),31068.6666666666)</f>
        <v>31068.666666666599</v>
      </c>
      <c r="B1291" s="1">
        <f ca="1">IFERROR(__xludf.DUMMYFUNCTION("""COMPUTED_VALUE"""),175.23)</f>
        <v>175.23</v>
      </c>
    </row>
    <row r="1292" spans="1:2">
      <c r="A1292" s="3">
        <f ca="1">IFERROR(__xludf.DUMMYFUNCTION("""COMPUTED_VALUE"""),31069.6666666666)</f>
        <v>31069.666666666599</v>
      </c>
      <c r="B1292" s="1">
        <f ca="1">IFERROR(__xludf.DUMMYFUNCTION("""COMPUTED_VALUE"""),175.48)</f>
        <v>175.48</v>
      </c>
    </row>
    <row r="1293" spans="1:2">
      <c r="A1293" s="3">
        <f ca="1">IFERROR(__xludf.DUMMYFUNCTION("""COMPUTED_VALUE"""),31070.6666666666)</f>
        <v>31070.666666666599</v>
      </c>
      <c r="B1293" s="1">
        <f ca="1">IFERROR(__xludf.DUMMYFUNCTION("""COMPUTED_VALUE"""),177.3)</f>
        <v>177.3</v>
      </c>
    </row>
    <row r="1294" spans="1:2">
      <c r="A1294" s="3">
        <f ca="1">IFERROR(__xludf.DUMMYFUNCTION("""COMPUTED_VALUE"""),31071.6666666666)</f>
        <v>31071.666666666599</v>
      </c>
      <c r="B1294" s="1">
        <f ca="1">IFERROR(__xludf.DUMMYFUNCTION("""COMPUTED_VALUE"""),176.71)</f>
        <v>176.71</v>
      </c>
    </row>
    <row r="1295" spans="1:2">
      <c r="A1295" s="3">
        <f ca="1">IFERROR(__xludf.DUMMYFUNCTION("""COMPUTED_VALUE"""),31072.6666666666)</f>
        <v>31072.666666666599</v>
      </c>
      <c r="B1295" s="1">
        <f ca="1">IFERROR(__xludf.DUMMYFUNCTION("""COMPUTED_VALUE"""),177.35)</f>
        <v>177.35</v>
      </c>
    </row>
    <row r="1296" spans="1:2">
      <c r="A1296" s="3">
        <f ca="1">IFERROR(__xludf.DUMMYFUNCTION("""COMPUTED_VALUE"""),31075.6666666666)</f>
        <v>31075.666666666599</v>
      </c>
      <c r="B1296" s="1">
        <f ca="1">IFERROR(__xludf.DUMMYFUNCTION("""COMPUTED_VALUE"""),177.4)</f>
        <v>177.4</v>
      </c>
    </row>
    <row r="1297" spans="1:2">
      <c r="A1297" s="3">
        <f ca="1">IFERROR(__xludf.DUMMYFUNCTION("""COMPUTED_VALUE"""),31076.6666666666)</f>
        <v>31076.666666666599</v>
      </c>
      <c r="B1297" s="1">
        <f ca="1">IFERROR(__xludf.DUMMYFUNCTION("""COMPUTED_VALUE"""),179.18)</f>
        <v>179.18</v>
      </c>
    </row>
    <row r="1298" spans="1:2">
      <c r="A1298" s="3">
        <f ca="1">IFERROR(__xludf.DUMMYFUNCTION("""COMPUTED_VALUE"""),31077.6666666666)</f>
        <v>31077.666666666599</v>
      </c>
      <c r="B1298" s="1">
        <f ca="1">IFERROR(__xludf.DUMMYFUNCTION("""COMPUTED_VALUE"""),179.39)</f>
        <v>179.39</v>
      </c>
    </row>
    <row r="1299" spans="1:2">
      <c r="A1299" s="3">
        <f ca="1">IFERROR(__xludf.DUMMYFUNCTION("""COMPUTED_VALUE"""),31078.6666666666)</f>
        <v>31078.666666666599</v>
      </c>
      <c r="B1299" s="1">
        <f ca="1">IFERROR(__xludf.DUMMYFUNCTION("""COMPUTED_VALUE"""),179.63)</f>
        <v>179.63</v>
      </c>
    </row>
    <row r="1300" spans="1:2">
      <c r="A1300" s="3">
        <f ca="1">IFERROR(__xludf.DUMMYFUNCTION("""COMPUTED_VALUE"""),31079.6666666666)</f>
        <v>31079.666666666599</v>
      </c>
      <c r="B1300" s="1">
        <f ca="1">IFERROR(__xludf.DUMMYFUNCTION("""COMPUTED_VALUE"""),178.63)</f>
        <v>178.63</v>
      </c>
    </row>
    <row r="1301" spans="1:2">
      <c r="A1301" s="3">
        <f ca="1">IFERROR(__xludf.DUMMYFUNCTION("""COMPUTED_VALUE"""),31082.6666666666)</f>
        <v>31082.666666666599</v>
      </c>
      <c r="B1301" s="1">
        <f ca="1">IFERROR(__xludf.DUMMYFUNCTION("""COMPUTED_VALUE"""),180.35)</f>
        <v>180.35</v>
      </c>
    </row>
    <row r="1302" spans="1:2">
      <c r="A1302" s="3">
        <f ca="1">IFERROR(__xludf.DUMMYFUNCTION("""COMPUTED_VALUE"""),31083.6666666666)</f>
        <v>31083.666666666599</v>
      </c>
      <c r="B1302" s="1">
        <f ca="1">IFERROR(__xludf.DUMMYFUNCTION("""COMPUTED_VALUE"""),180.61)</f>
        <v>180.61</v>
      </c>
    </row>
    <row r="1303" spans="1:2">
      <c r="A1303" s="3">
        <f ca="1">IFERROR(__xludf.DUMMYFUNCTION("""COMPUTED_VALUE"""),31084.6666666666)</f>
        <v>31084.666666666599</v>
      </c>
      <c r="B1303" s="1">
        <f ca="1">IFERROR(__xludf.DUMMYFUNCTION("""COMPUTED_VALUE"""),180.43)</f>
        <v>180.43</v>
      </c>
    </row>
    <row r="1304" spans="1:2">
      <c r="A1304" s="3">
        <f ca="1">IFERROR(__xludf.DUMMYFUNCTION("""COMPUTED_VALUE"""),31085.6666666666)</f>
        <v>31085.666666666599</v>
      </c>
      <c r="B1304" s="1">
        <f ca="1">IFERROR(__xludf.DUMMYFUNCTION("""COMPUTED_VALUE"""),181.82)</f>
        <v>181.82</v>
      </c>
    </row>
    <row r="1305" spans="1:2">
      <c r="A1305" s="3">
        <f ca="1">IFERROR(__xludf.DUMMYFUNCTION("""COMPUTED_VALUE"""),31086.6666666666)</f>
        <v>31086.666666666599</v>
      </c>
      <c r="B1305" s="1">
        <f ca="1">IFERROR(__xludf.DUMMYFUNCTION("""COMPUTED_VALUE"""),182.19)</f>
        <v>182.19</v>
      </c>
    </row>
    <row r="1306" spans="1:2">
      <c r="A1306" s="3">
        <f ca="1">IFERROR(__xludf.DUMMYFUNCTION("""COMPUTED_VALUE"""),31089.6666666666)</f>
        <v>31089.666666666599</v>
      </c>
      <c r="B1306" s="1">
        <f ca="1">IFERROR(__xludf.DUMMYFUNCTION("""COMPUTED_VALUE"""),180.51)</f>
        <v>180.51</v>
      </c>
    </row>
    <row r="1307" spans="1:2">
      <c r="A1307" s="3">
        <f ca="1">IFERROR(__xludf.DUMMYFUNCTION("""COMPUTED_VALUE"""),31090.6666666666)</f>
        <v>31090.666666666599</v>
      </c>
      <c r="B1307" s="1">
        <f ca="1">IFERROR(__xludf.DUMMYFUNCTION("""COMPUTED_VALUE"""),180.56)</f>
        <v>180.56</v>
      </c>
    </row>
    <row r="1308" spans="1:2">
      <c r="A1308" s="3">
        <f ca="1">IFERROR(__xludf.DUMMYFUNCTION("""COMPUTED_VALUE"""),31091.6666666666)</f>
        <v>31091.666666666599</v>
      </c>
      <c r="B1308" s="1">
        <f ca="1">IFERROR(__xludf.DUMMYFUNCTION("""COMPUTED_VALUE"""),183.35)</f>
        <v>183.35</v>
      </c>
    </row>
    <row r="1309" spans="1:2">
      <c r="A1309" s="3">
        <f ca="1">IFERROR(__xludf.DUMMYFUNCTION("""COMPUTED_VALUE"""),31092.6666666666)</f>
        <v>31092.666666666599</v>
      </c>
      <c r="B1309" s="1">
        <f ca="1">IFERROR(__xludf.DUMMYFUNCTION("""COMPUTED_VALUE"""),182.41)</f>
        <v>182.41</v>
      </c>
    </row>
    <row r="1310" spans="1:2">
      <c r="A1310" s="3">
        <f ca="1">IFERROR(__xludf.DUMMYFUNCTION("""COMPUTED_VALUE"""),31093.6666666666)</f>
        <v>31093.666666666599</v>
      </c>
      <c r="B1310" s="1">
        <f ca="1">IFERROR(__xludf.DUMMYFUNCTION("""COMPUTED_VALUE"""),181.6)</f>
        <v>181.6</v>
      </c>
    </row>
    <row r="1311" spans="1:2">
      <c r="A1311" s="3">
        <f ca="1">IFERROR(__xludf.DUMMYFUNCTION("""COMPUTED_VALUE"""),31097.6666666666)</f>
        <v>31097.666666666599</v>
      </c>
      <c r="B1311" s="1">
        <f ca="1">IFERROR(__xludf.DUMMYFUNCTION("""COMPUTED_VALUE"""),181.33)</f>
        <v>181.33</v>
      </c>
    </row>
    <row r="1312" spans="1:2">
      <c r="A1312" s="3">
        <f ca="1">IFERROR(__xludf.DUMMYFUNCTION("""COMPUTED_VALUE"""),31098.6666666666)</f>
        <v>31098.666666666599</v>
      </c>
      <c r="B1312" s="1">
        <f ca="1">IFERROR(__xludf.DUMMYFUNCTION("""COMPUTED_VALUE"""),181.18)</f>
        <v>181.18</v>
      </c>
    </row>
    <row r="1313" spans="1:2">
      <c r="A1313" s="3">
        <f ca="1">IFERROR(__xludf.DUMMYFUNCTION("""COMPUTED_VALUE"""),31099.6666666666)</f>
        <v>31099.666666666599</v>
      </c>
      <c r="B1313" s="1">
        <f ca="1">IFERROR(__xludf.DUMMYFUNCTION("""COMPUTED_VALUE"""),180.19)</f>
        <v>180.19</v>
      </c>
    </row>
    <row r="1314" spans="1:2">
      <c r="A1314" s="3">
        <f ca="1">IFERROR(__xludf.DUMMYFUNCTION("""COMPUTED_VALUE"""),31100.6666666666)</f>
        <v>31100.666666666599</v>
      </c>
      <c r="B1314" s="1">
        <f ca="1">IFERROR(__xludf.DUMMYFUNCTION("""COMPUTED_VALUE"""),179.36)</f>
        <v>179.36</v>
      </c>
    </row>
    <row r="1315" spans="1:2">
      <c r="A1315" s="3">
        <f ca="1">IFERROR(__xludf.DUMMYFUNCTION("""COMPUTED_VALUE"""),31103.6666666666)</f>
        <v>31103.666666666599</v>
      </c>
      <c r="B1315" s="1">
        <f ca="1">IFERROR(__xludf.DUMMYFUNCTION("""COMPUTED_VALUE"""),179.23)</f>
        <v>179.23</v>
      </c>
    </row>
    <row r="1316" spans="1:2">
      <c r="A1316" s="3">
        <f ca="1">IFERROR(__xludf.DUMMYFUNCTION("""COMPUTED_VALUE"""),31104.6666666666)</f>
        <v>31104.666666666599</v>
      </c>
      <c r="B1316" s="1">
        <f ca="1">IFERROR(__xludf.DUMMYFUNCTION("""COMPUTED_VALUE"""),181.17)</f>
        <v>181.17</v>
      </c>
    </row>
    <row r="1317" spans="1:2">
      <c r="A1317" s="3">
        <f ca="1">IFERROR(__xludf.DUMMYFUNCTION("""COMPUTED_VALUE"""),31105.6666666666)</f>
        <v>31105.666666666599</v>
      </c>
      <c r="B1317" s="1">
        <f ca="1">IFERROR(__xludf.DUMMYFUNCTION("""COMPUTED_VALUE"""),180.71)</f>
        <v>180.71</v>
      </c>
    </row>
    <row r="1318" spans="1:2">
      <c r="A1318" s="3">
        <f ca="1">IFERROR(__xludf.DUMMYFUNCTION("""COMPUTED_VALUE"""),31106.6666666666)</f>
        <v>31106.666666666599</v>
      </c>
      <c r="B1318" s="1">
        <f ca="1">IFERROR(__xludf.DUMMYFUNCTION("""COMPUTED_VALUE"""),181.18)</f>
        <v>181.18</v>
      </c>
    </row>
    <row r="1319" spans="1:2">
      <c r="A1319" s="3">
        <f ca="1">IFERROR(__xludf.DUMMYFUNCTION("""COMPUTED_VALUE"""),31107.6666666666)</f>
        <v>31107.666666666599</v>
      </c>
      <c r="B1319" s="1">
        <f ca="1">IFERROR(__xludf.DUMMYFUNCTION("""COMPUTED_VALUE"""),183.23)</f>
        <v>183.23</v>
      </c>
    </row>
    <row r="1320" spans="1:2">
      <c r="A1320" s="3">
        <f ca="1">IFERROR(__xludf.DUMMYFUNCTION("""COMPUTED_VALUE"""),31110.6666666666)</f>
        <v>31110.666666666599</v>
      </c>
      <c r="B1320" s="1">
        <f ca="1">IFERROR(__xludf.DUMMYFUNCTION("""COMPUTED_VALUE"""),182.06)</f>
        <v>182.06</v>
      </c>
    </row>
    <row r="1321" spans="1:2">
      <c r="A1321" s="3">
        <f ca="1">IFERROR(__xludf.DUMMYFUNCTION("""COMPUTED_VALUE"""),31111.6666666666)</f>
        <v>31111.666666666599</v>
      </c>
      <c r="B1321" s="1">
        <f ca="1">IFERROR(__xludf.DUMMYFUNCTION("""COMPUTED_VALUE"""),182.23)</f>
        <v>182.23</v>
      </c>
    </row>
    <row r="1322" spans="1:2">
      <c r="A1322" s="3">
        <f ca="1">IFERROR(__xludf.DUMMYFUNCTION("""COMPUTED_VALUE"""),31112.6666666666)</f>
        <v>31112.666666666599</v>
      </c>
      <c r="B1322" s="1">
        <f ca="1">IFERROR(__xludf.DUMMYFUNCTION("""COMPUTED_VALUE"""),180.65)</f>
        <v>180.65</v>
      </c>
    </row>
    <row r="1323" spans="1:2">
      <c r="A1323" s="3">
        <f ca="1">IFERROR(__xludf.DUMMYFUNCTION("""COMPUTED_VALUE"""),31113.6666666666)</f>
        <v>31113.666666666599</v>
      </c>
      <c r="B1323" s="1">
        <f ca="1">IFERROR(__xludf.DUMMYFUNCTION("""COMPUTED_VALUE"""),179.51)</f>
        <v>179.51</v>
      </c>
    </row>
    <row r="1324" spans="1:2">
      <c r="A1324" s="3">
        <f ca="1">IFERROR(__xludf.DUMMYFUNCTION("""COMPUTED_VALUE"""),31114.6666666666)</f>
        <v>31114.666666666599</v>
      </c>
      <c r="B1324" s="1">
        <f ca="1">IFERROR(__xludf.DUMMYFUNCTION("""COMPUTED_VALUE"""),179.1)</f>
        <v>179.1</v>
      </c>
    </row>
    <row r="1325" spans="1:2">
      <c r="A1325" s="3">
        <f ca="1">IFERROR(__xludf.DUMMYFUNCTION("""COMPUTED_VALUE"""),31117.6666666666)</f>
        <v>31117.666666666599</v>
      </c>
      <c r="B1325" s="1">
        <f ca="1">IFERROR(__xludf.DUMMYFUNCTION("""COMPUTED_VALUE"""),178.79)</f>
        <v>178.79</v>
      </c>
    </row>
    <row r="1326" spans="1:2">
      <c r="A1326" s="3">
        <f ca="1">IFERROR(__xludf.DUMMYFUNCTION("""COMPUTED_VALUE"""),31118.6666666666)</f>
        <v>31118.666666666599</v>
      </c>
      <c r="B1326" s="1">
        <f ca="1">IFERROR(__xludf.DUMMYFUNCTION("""COMPUTED_VALUE"""),179.66)</f>
        <v>179.66</v>
      </c>
    </row>
    <row r="1327" spans="1:2">
      <c r="A1327" s="3">
        <f ca="1">IFERROR(__xludf.DUMMYFUNCTION("""COMPUTED_VALUE"""),31119.6666666666)</f>
        <v>31119.666666666599</v>
      </c>
      <c r="B1327" s="1">
        <f ca="1">IFERROR(__xludf.DUMMYFUNCTION("""COMPUTED_VALUE"""),178.19)</f>
        <v>178.19</v>
      </c>
    </row>
    <row r="1328" spans="1:2">
      <c r="A1328" s="3">
        <f ca="1">IFERROR(__xludf.DUMMYFUNCTION("""COMPUTED_VALUE"""),31120.6666666666)</f>
        <v>31120.666666666599</v>
      </c>
      <c r="B1328" s="1">
        <f ca="1">IFERROR(__xludf.DUMMYFUNCTION("""COMPUTED_VALUE"""),177.84)</f>
        <v>177.84</v>
      </c>
    </row>
    <row r="1329" spans="1:2">
      <c r="A1329" s="3">
        <f ca="1">IFERROR(__xludf.DUMMYFUNCTION("""COMPUTED_VALUE"""),31121.6666666666)</f>
        <v>31121.666666666599</v>
      </c>
      <c r="B1329" s="1">
        <f ca="1">IFERROR(__xludf.DUMMYFUNCTION("""COMPUTED_VALUE"""),176.53)</f>
        <v>176.53</v>
      </c>
    </row>
    <row r="1330" spans="1:2">
      <c r="A1330" s="3">
        <f ca="1">IFERROR(__xludf.DUMMYFUNCTION("""COMPUTED_VALUE"""),31124.6666666666)</f>
        <v>31124.666666666599</v>
      </c>
      <c r="B1330" s="1">
        <f ca="1">IFERROR(__xludf.DUMMYFUNCTION("""COMPUTED_VALUE"""),176.88)</f>
        <v>176.88</v>
      </c>
    </row>
    <row r="1331" spans="1:2">
      <c r="A1331" s="3">
        <f ca="1">IFERROR(__xludf.DUMMYFUNCTION("""COMPUTED_VALUE"""),31125.6666666666)</f>
        <v>31125.666666666599</v>
      </c>
      <c r="B1331" s="1">
        <f ca="1">IFERROR(__xludf.DUMMYFUNCTION("""COMPUTED_VALUE"""),179.54)</f>
        <v>179.54</v>
      </c>
    </row>
    <row r="1332" spans="1:2">
      <c r="A1332" s="3">
        <f ca="1">IFERROR(__xludf.DUMMYFUNCTION("""COMPUTED_VALUE"""),31126.6666666666)</f>
        <v>31126.666666666599</v>
      </c>
      <c r="B1332" s="1">
        <f ca="1">IFERROR(__xludf.DUMMYFUNCTION("""COMPUTED_VALUE"""),179.08)</f>
        <v>179.08</v>
      </c>
    </row>
    <row r="1333" spans="1:2">
      <c r="A1333" s="3">
        <f ca="1">IFERROR(__xludf.DUMMYFUNCTION("""COMPUTED_VALUE"""),31127.6666666666)</f>
        <v>31127.666666666599</v>
      </c>
      <c r="B1333" s="1">
        <f ca="1">IFERROR(__xludf.DUMMYFUNCTION("""COMPUTED_VALUE"""),179.35)</f>
        <v>179.35</v>
      </c>
    </row>
    <row r="1334" spans="1:2">
      <c r="A1334" s="3">
        <f ca="1">IFERROR(__xludf.DUMMYFUNCTION("""COMPUTED_VALUE"""),31128.6666666666)</f>
        <v>31128.666666666599</v>
      </c>
      <c r="B1334" s="1">
        <f ca="1">IFERROR(__xludf.DUMMYFUNCTION("""COMPUTED_VALUE"""),179.04)</f>
        <v>179.04</v>
      </c>
    </row>
    <row r="1335" spans="1:2">
      <c r="A1335" s="3">
        <f ca="1">IFERROR(__xludf.DUMMYFUNCTION("""COMPUTED_VALUE"""),31131.6666666666)</f>
        <v>31131.666666666599</v>
      </c>
      <c r="B1335" s="1">
        <f ca="1">IFERROR(__xludf.DUMMYFUNCTION("""COMPUTED_VALUE"""),177.97)</f>
        <v>177.97</v>
      </c>
    </row>
    <row r="1336" spans="1:2">
      <c r="A1336" s="3">
        <f ca="1">IFERROR(__xludf.DUMMYFUNCTION("""COMPUTED_VALUE"""),31132.6666666666)</f>
        <v>31132.666666666599</v>
      </c>
      <c r="B1336" s="1">
        <f ca="1">IFERROR(__xludf.DUMMYFUNCTION("""COMPUTED_VALUE"""),178.43)</f>
        <v>178.43</v>
      </c>
    </row>
    <row r="1337" spans="1:2">
      <c r="A1337" s="3">
        <f ca="1">IFERROR(__xludf.DUMMYFUNCTION("""COMPUTED_VALUE"""),31133.6666666666)</f>
        <v>31133.666666666599</v>
      </c>
      <c r="B1337" s="1">
        <f ca="1">IFERROR(__xludf.DUMMYFUNCTION("""COMPUTED_VALUE"""),179.54)</f>
        <v>179.54</v>
      </c>
    </row>
    <row r="1338" spans="1:2">
      <c r="A1338" s="3">
        <f ca="1">IFERROR(__xludf.DUMMYFUNCTION("""COMPUTED_VALUE"""),31134.6666666666)</f>
        <v>31134.666666666599</v>
      </c>
      <c r="B1338" s="1">
        <f ca="1">IFERROR(__xludf.DUMMYFUNCTION("""COMPUTED_VALUE"""),179.54)</f>
        <v>179.54</v>
      </c>
    </row>
    <row r="1339" spans="1:2">
      <c r="A1339" s="3">
        <f ca="1">IFERROR(__xludf.DUMMYFUNCTION("""COMPUTED_VALUE"""),31135.6666666666)</f>
        <v>31135.666666666599</v>
      </c>
      <c r="B1339" s="1">
        <f ca="1">IFERROR(__xludf.DUMMYFUNCTION("""COMPUTED_VALUE"""),180.66)</f>
        <v>180.66</v>
      </c>
    </row>
    <row r="1340" spans="1:2">
      <c r="A1340" s="3">
        <f ca="1">IFERROR(__xludf.DUMMYFUNCTION("""COMPUTED_VALUE"""),31138.6666666666)</f>
        <v>31138.666666666599</v>
      </c>
      <c r="B1340" s="1">
        <f ca="1">IFERROR(__xludf.DUMMYFUNCTION("""COMPUTED_VALUE"""),181.27)</f>
        <v>181.27</v>
      </c>
    </row>
    <row r="1341" spans="1:2">
      <c r="A1341" s="3">
        <f ca="1">IFERROR(__xludf.DUMMYFUNCTION("""COMPUTED_VALUE"""),31139.6666666666)</f>
        <v>31139.666666666599</v>
      </c>
      <c r="B1341" s="1">
        <f ca="1">IFERROR(__xludf.DUMMYFUNCTION("""COMPUTED_VALUE"""),180.53)</f>
        <v>180.53</v>
      </c>
    </row>
    <row r="1342" spans="1:2">
      <c r="A1342" s="3">
        <f ca="1">IFERROR(__xludf.DUMMYFUNCTION("""COMPUTED_VALUE"""),31140.6666666666)</f>
        <v>31140.666666666599</v>
      </c>
      <c r="B1342" s="1">
        <f ca="1">IFERROR(__xludf.DUMMYFUNCTION("""COMPUTED_VALUE"""),179.11)</f>
        <v>179.11</v>
      </c>
    </row>
    <row r="1343" spans="1:2">
      <c r="A1343" s="3">
        <f ca="1">IFERROR(__xludf.DUMMYFUNCTION("""COMPUTED_VALUE"""),31141.6666666666)</f>
        <v>31141.666666666599</v>
      </c>
      <c r="B1343" s="1">
        <f ca="1">IFERROR(__xludf.DUMMYFUNCTION("""COMPUTED_VALUE"""),179.03)</f>
        <v>179.03</v>
      </c>
    </row>
    <row r="1344" spans="1:2">
      <c r="A1344" s="3">
        <f ca="1">IFERROR(__xludf.DUMMYFUNCTION("""COMPUTED_VALUE"""),31145.6666666666)</f>
        <v>31145.666666666599</v>
      </c>
      <c r="B1344" s="1">
        <f ca="1">IFERROR(__xludf.DUMMYFUNCTION("""COMPUTED_VALUE"""),178.03)</f>
        <v>178.03</v>
      </c>
    </row>
    <row r="1345" spans="1:2">
      <c r="A1345" s="3">
        <f ca="1">IFERROR(__xludf.DUMMYFUNCTION("""COMPUTED_VALUE"""),31146.6666666666)</f>
        <v>31146.666666666599</v>
      </c>
      <c r="B1345" s="1">
        <f ca="1">IFERROR(__xludf.DUMMYFUNCTION("""COMPUTED_VALUE"""),178.21)</f>
        <v>178.21</v>
      </c>
    </row>
    <row r="1346" spans="1:2">
      <c r="A1346" s="3">
        <f ca="1">IFERROR(__xludf.DUMMYFUNCTION("""COMPUTED_VALUE"""),31147.6666666666)</f>
        <v>31147.666666666599</v>
      </c>
      <c r="B1346" s="1">
        <f ca="1">IFERROR(__xludf.DUMMYFUNCTION("""COMPUTED_VALUE"""),179.42)</f>
        <v>179.42</v>
      </c>
    </row>
    <row r="1347" spans="1:2">
      <c r="A1347" s="3">
        <f ca="1">IFERROR(__xludf.DUMMYFUNCTION("""COMPUTED_VALUE"""),31148.6666666666)</f>
        <v>31148.666666666599</v>
      </c>
      <c r="B1347" s="1">
        <f ca="1">IFERROR(__xludf.DUMMYFUNCTION("""COMPUTED_VALUE"""),180.19)</f>
        <v>180.19</v>
      </c>
    </row>
    <row r="1348" spans="1:2">
      <c r="A1348" s="3">
        <f ca="1">IFERROR(__xludf.DUMMYFUNCTION("""COMPUTED_VALUE"""),31149.6666666666)</f>
        <v>31149.666666666599</v>
      </c>
      <c r="B1348" s="1">
        <f ca="1">IFERROR(__xludf.DUMMYFUNCTION("""COMPUTED_VALUE"""),180.54)</f>
        <v>180.54</v>
      </c>
    </row>
    <row r="1349" spans="1:2">
      <c r="A1349" s="3">
        <f ca="1">IFERROR(__xludf.DUMMYFUNCTION("""COMPUTED_VALUE"""),31152.6666666666)</f>
        <v>31152.666666666599</v>
      </c>
      <c r="B1349" s="1">
        <f ca="1">IFERROR(__xludf.DUMMYFUNCTION("""COMPUTED_VALUE"""),180.92)</f>
        <v>180.92</v>
      </c>
    </row>
    <row r="1350" spans="1:2">
      <c r="A1350" s="3">
        <f ca="1">IFERROR(__xludf.DUMMYFUNCTION("""COMPUTED_VALUE"""),31153.6666666666)</f>
        <v>31153.666666666599</v>
      </c>
      <c r="B1350" s="1">
        <f ca="1">IFERROR(__xludf.DUMMYFUNCTION("""COMPUTED_VALUE"""),181.2)</f>
        <v>181.2</v>
      </c>
    </row>
    <row r="1351" spans="1:2">
      <c r="A1351" s="3">
        <f ca="1">IFERROR(__xludf.DUMMYFUNCTION("""COMPUTED_VALUE"""),31154.6666666666)</f>
        <v>31154.666666666599</v>
      </c>
      <c r="B1351" s="1">
        <f ca="1">IFERROR(__xludf.DUMMYFUNCTION("""COMPUTED_VALUE"""),181.68)</f>
        <v>181.68</v>
      </c>
    </row>
    <row r="1352" spans="1:2">
      <c r="A1352" s="3">
        <f ca="1">IFERROR(__xludf.DUMMYFUNCTION("""COMPUTED_VALUE"""),31155.6666666666)</f>
        <v>31155.666666666599</v>
      </c>
      <c r="B1352" s="1">
        <f ca="1">IFERROR(__xludf.DUMMYFUNCTION("""COMPUTED_VALUE"""),180.84)</f>
        <v>180.84</v>
      </c>
    </row>
    <row r="1353" spans="1:2">
      <c r="A1353" s="3">
        <f ca="1">IFERROR(__xludf.DUMMYFUNCTION("""COMPUTED_VALUE"""),31156.6666666666)</f>
        <v>31156.666666666599</v>
      </c>
      <c r="B1353" s="1">
        <f ca="1">IFERROR(__xludf.DUMMYFUNCTION("""COMPUTED_VALUE"""),181.11)</f>
        <v>181.11</v>
      </c>
    </row>
    <row r="1354" spans="1:2">
      <c r="A1354" s="3">
        <f ca="1">IFERROR(__xludf.DUMMYFUNCTION("""COMPUTED_VALUE"""),31159.6666666666)</f>
        <v>31159.666666666599</v>
      </c>
      <c r="B1354" s="1">
        <f ca="1">IFERROR(__xludf.DUMMYFUNCTION("""COMPUTED_VALUE"""),180.7)</f>
        <v>180.7</v>
      </c>
    </row>
    <row r="1355" spans="1:2">
      <c r="A1355" s="3">
        <f ca="1">IFERROR(__xludf.DUMMYFUNCTION("""COMPUTED_VALUE"""),31160.6666666666)</f>
        <v>31160.666666666599</v>
      </c>
      <c r="B1355" s="1">
        <f ca="1">IFERROR(__xludf.DUMMYFUNCTION("""COMPUTED_VALUE"""),181.88)</f>
        <v>181.88</v>
      </c>
    </row>
    <row r="1356" spans="1:2">
      <c r="A1356" s="3">
        <f ca="1">IFERROR(__xludf.DUMMYFUNCTION("""COMPUTED_VALUE"""),31161.6666666666)</f>
        <v>31161.666666666599</v>
      </c>
      <c r="B1356" s="1">
        <f ca="1">IFERROR(__xludf.DUMMYFUNCTION("""COMPUTED_VALUE"""),182.26)</f>
        <v>182.26</v>
      </c>
    </row>
    <row r="1357" spans="1:2">
      <c r="A1357" s="3">
        <f ca="1">IFERROR(__xludf.DUMMYFUNCTION("""COMPUTED_VALUE"""),31162.6666666666)</f>
        <v>31162.666666666599</v>
      </c>
      <c r="B1357" s="1">
        <f ca="1">IFERROR(__xludf.DUMMYFUNCTION("""COMPUTED_VALUE"""),183.43)</f>
        <v>183.43</v>
      </c>
    </row>
    <row r="1358" spans="1:2">
      <c r="A1358" s="3">
        <f ca="1">IFERROR(__xludf.DUMMYFUNCTION("""COMPUTED_VALUE"""),31163.6666666666)</f>
        <v>31163.666666666599</v>
      </c>
      <c r="B1358" s="1">
        <f ca="1">IFERROR(__xludf.DUMMYFUNCTION("""COMPUTED_VALUE"""),182.18)</f>
        <v>182.18</v>
      </c>
    </row>
    <row r="1359" spans="1:2">
      <c r="A1359" s="3">
        <f ca="1">IFERROR(__xludf.DUMMYFUNCTION("""COMPUTED_VALUE"""),31166.6666666666)</f>
        <v>31166.666666666599</v>
      </c>
      <c r="B1359" s="1">
        <f ca="1">IFERROR(__xludf.DUMMYFUNCTION("""COMPUTED_VALUE"""),180.63)</f>
        <v>180.63</v>
      </c>
    </row>
    <row r="1360" spans="1:2">
      <c r="A1360" s="3">
        <f ca="1">IFERROR(__xludf.DUMMYFUNCTION("""COMPUTED_VALUE"""),31167.6666666666)</f>
        <v>31167.666666666599</v>
      </c>
      <c r="B1360" s="1">
        <f ca="1">IFERROR(__xludf.DUMMYFUNCTION("""COMPUTED_VALUE"""),179.83)</f>
        <v>179.83</v>
      </c>
    </row>
    <row r="1361" spans="1:2">
      <c r="A1361" s="3">
        <f ca="1">IFERROR(__xludf.DUMMYFUNCTION("""COMPUTED_VALUE"""),31168.6666666666)</f>
        <v>31168.666666666599</v>
      </c>
      <c r="B1361" s="1">
        <f ca="1">IFERROR(__xludf.DUMMYFUNCTION("""COMPUTED_VALUE"""),178.37)</f>
        <v>178.37</v>
      </c>
    </row>
    <row r="1362" spans="1:2">
      <c r="A1362" s="3">
        <f ca="1">IFERROR(__xludf.DUMMYFUNCTION("""COMPUTED_VALUE"""),31169.6666666666)</f>
        <v>31169.666666666599</v>
      </c>
      <c r="B1362" s="1">
        <f ca="1">IFERROR(__xludf.DUMMYFUNCTION("""COMPUTED_VALUE"""),179.01)</f>
        <v>179.01</v>
      </c>
    </row>
    <row r="1363" spans="1:2">
      <c r="A1363" s="3">
        <f ca="1">IFERROR(__xludf.DUMMYFUNCTION("""COMPUTED_VALUE"""),31170.6666666666)</f>
        <v>31170.666666666599</v>
      </c>
      <c r="B1363" s="1">
        <f ca="1">IFERROR(__xludf.DUMMYFUNCTION("""COMPUTED_VALUE"""),180.08)</f>
        <v>180.08</v>
      </c>
    </row>
    <row r="1364" spans="1:2">
      <c r="A1364" s="3">
        <f ca="1">IFERROR(__xludf.DUMMYFUNCTION("""COMPUTED_VALUE"""),31173.6666666666)</f>
        <v>31173.666666666599</v>
      </c>
      <c r="B1364" s="1">
        <f ca="1">IFERROR(__xludf.DUMMYFUNCTION("""COMPUTED_VALUE"""),179.99)</f>
        <v>179.99</v>
      </c>
    </row>
    <row r="1365" spans="1:2">
      <c r="A1365" s="3">
        <f ca="1">IFERROR(__xludf.DUMMYFUNCTION("""COMPUTED_VALUE"""),31174.6666666666)</f>
        <v>31174.666666666599</v>
      </c>
      <c r="B1365" s="1">
        <f ca="1">IFERROR(__xludf.DUMMYFUNCTION("""COMPUTED_VALUE"""),180.76)</f>
        <v>180.76</v>
      </c>
    </row>
    <row r="1366" spans="1:2">
      <c r="A1366" s="3">
        <f ca="1">IFERROR(__xludf.DUMMYFUNCTION("""COMPUTED_VALUE"""),31175.6666666666)</f>
        <v>31175.666666666599</v>
      </c>
      <c r="B1366" s="1">
        <f ca="1">IFERROR(__xludf.DUMMYFUNCTION("""COMPUTED_VALUE"""),180.62)</f>
        <v>180.62</v>
      </c>
    </row>
    <row r="1367" spans="1:2">
      <c r="A1367" s="3">
        <f ca="1">IFERROR(__xludf.DUMMYFUNCTION("""COMPUTED_VALUE"""),31176.6666666666)</f>
        <v>31176.666666666599</v>
      </c>
      <c r="B1367" s="1">
        <f ca="1">IFERROR(__xludf.DUMMYFUNCTION("""COMPUTED_VALUE"""),181.92)</f>
        <v>181.92</v>
      </c>
    </row>
    <row r="1368" spans="1:2">
      <c r="A1368" s="3">
        <f ca="1">IFERROR(__xludf.DUMMYFUNCTION("""COMPUTED_VALUE"""),31177.6666666666)</f>
        <v>31177.666666666599</v>
      </c>
      <c r="B1368" s="1">
        <f ca="1">IFERROR(__xludf.DUMMYFUNCTION("""COMPUTED_VALUE"""),184.28)</f>
        <v>184.28</v>
      </c>
    </row>
    <row r="1369" spans="1:2">
      <c r="A1369" s="3">
        <f ca="1">IFERROR(__xludf.DUMMYFUNCTION("""COMPUTED_VALUE"""),31180.6666666666)</f>
        <v>31180.666666666599</v>
      </c>
      <c r="B1369" s="1">
        <f ca="1">IFERROR(__xludf.DUMMYFUNCTION("""COMPUTED_VALUE"""),184.61)</f>
        <v>184.61</v>
      </c>
    </row>
    <row r="1370" spans="1:2">
      <c r="A1370" s="3">
        <f ca="1">IFERROR(__xludf.DUMMYFUNCTION("""COMPUTED_VALUE"""),31181.6666666666)</f>
        <v>31181.666666666599</v>
      </c>
      <c r="B1370" s="1">
        <f ca="1">IFERROR(__xludf.DUMMYFUNCTION("""COMPUTED_VALUE"""),183.87)</f>
        <v>183.87</v>
      </c>
    </row>
    <row r="1371" spans="1:2">
      <c r="A1371" s="3">
        <f ca="1">IFERROR(__xludf.DUMMYFUNCTION("""COMPUTED_VALUE"""),31182.6666666666)</f>
        <v>31182.666666666599</v>
      </c>
      <c r="B1371" s="1">
        <f ca="1">IFERROR(__xludf.DUMMYFUNCTION("""COMPUTED_VALUE"""),184.54)</f>
        <v>184.54</v>
      </c>
    </row>
    <row r="1372" spans="1:2">
      <c r="A1372" s="3">
        <f ca="1">IFERROR(__xludf.DUMMYFUNCTION("""COMPUTED_VALUE"""),31183.6666666666)</f>
        <v>31183.666666666599</v>
      </c>
      <c r="B1372" s="1">
        <f ca="1">IFERROR(__xludf.DUMMYFUNCTION("""COMPUTED_VALUE"""),185.66)</f>
        <v>185.66</v>
      </c>
    </row>
    <row r="1373" spans="1:2">
      <c r="A1373" s="3">
        <f ca="1">IFERROR(__xludf.DUMMYFUNCTION("""COMPUTED_VALUE"""),31184.6666666666)</f>
        <v>31184.666666666599</v>
      </c>
      <c r="B1373" s="1">
        <f ca="1">IFERROR(__xludf.DUMMYFUNCTION("""COMPUTED_VALUE"""),187.42)</f>
        <v>187.42</v>
      </c>
    </row>
    <row r="1374" spans="1:2">
      <c r="A1374" s="3">
        <f ca="1">IFERROR(__xludf.DUMMYFUNCTION("""COMPUTED_VALUE"""),31187.6666666666)</f>
        <v>31187.666666666599</v>
      </c>
      <c r="B1374" s="1">
        <f ca="1">IFERROR(__xludf.DUMMYFUNCTION("""COMPUTED_VALUE"""),189.72)</f>
        <v>189.72</v>
      </c>
    </row>
    <row r="1375" spans="1:2">
      <c r="A1375" s="3">
        <f ca="1">IFERROR(__xludf.DUMMYFUNCTION("""COMPUTED_VALUE"""),31188.6666666666)</f>
        <v>31188.666666666599</v>
      </c>
      <c r="B1375" s="1">
        <f ca="1">IFERROR(__xludf.DUMMYFUNCTION("""COMPUTED_VALUE"""),189.64)</f>
        <v>189.64</v>
      </c>
    </row>
    <row r="1376" spans="1:2">
      <c r="A1376" s="3">
        <f ca="1">IFERROR(__xludf.DUMMYFUNCTION("""COMPUTED_VALUE"""),31189.6666666666)</f>
        <v>31189.666666666599</v>
      </c>
      <c r="B1376" s="1">
        <f ca="1">IFERROR(__xludf.DUMMYFUNCTION("""COMPUTED_VALUE"""),188.56)</f>
        <v>188.56</v>
      </c>
    </row>
    <row r="1377" spans="1:2">
      <c r="A1377" s="3">
        <f ca="1">IFERROR(__xludf.DUMMYFUNCTION("""COMPUTED_VALUE"""),31190.6666666666)</f>
        <v>31190.666666666599</v>
      </c>
      <c r="B1377" s="1">
        <f ca="1">IFERROR(__xludf.DUMMYFUNCTION("""COMPUTED_VALUE"""),187.6)</f>
        <v>187.6</v>
      </c>
    </row>
    <row r="1378" spans="1:2">
      <c r="A1378" s="3">
        <f ca="1">IFERROR(__xludf.DUMMYFUNCTION("""COMPUTED_VALUE"""),31191.6666666666)</f>
        <v>31191.666666666599</v>
      </c>
      <c r="B1378" s="1">
        <f ca="1">IFERROR(__xludf.DUMMYFUNCTION("""COMPUTED_VALUE"""),188.29)</f>
        <v>188.29</v>
      </c>
    </row>
    <row r="1379" spans="1:2">
      <c r="A1379" s="3">
        <f ca="1">IFERROR(__xludf.DUMMYFUNCTION("""COMPUTED_VALUE"""),31195.6666666666)</f>
        <v>31195.666666666599</v>
      </c>
      <c r="B1379" s="1">
        <f ca="1">IFERROR(__xludf.DUMMYFUNCTION("""COMPUTED_VALUE"""),187.86)</f>
        <v>187.86</v>
      </c>
    </row>
    <row r="1380" spans="1:2">
      <c r="A1380" s="3">
        <f ca="1">IFERROR(__xludf.DUMMYFUNCTION("""COMPUTED_VALUE"""),31196.6666666666)</f>
        <v>31196.666666666599</v>
      </c>
      <c r="B1380" s="1">
        <f ca="1">IFERROR(__xludf.DUMMYFUNCTION("""COMPUTED_VALUE"""),187.68)</f>
        <v>187.68</v>
      </c>
    </row>
    <row r="1381" spans="1:2">
      <c r="A1381" s="3">
        <f ca="1">IFERROR(__xludf.DUMMYFUNCTION("""COMPUTED_VALUE"""),31197.6666666666)</f>
        <v>31197.666666666599</v>
      </c>
      <c r="B1381" s="1">
        <f ca="1">IFERROR(__xludf.DUMMYFUNCTION("""COMPUTED_VALUE"""),187.75)</f>
        <v>187.75</v>
      </c>
    </row>
    <row r="1382" spans="1:2">
      <c r="A1382" s="3">
        <f ca="1">IFERROR(__xludf.DUMMYFUNCTION("""COMPUTED_VALUE"""),31198.6666666666)</f>
        <v>31198.666666666599</v>
      </c>
      <c r="B1382" s="1">
        <f ca="1">IFERROR(__xludf.DUMMYFUNCTION("""COMPUTED_VALUE"""),189.55)</f>
        <v>189.55</v>
      </c>
    </row>
    <row r="1383" spans="1:2">
      <c r="A1383" s="3">
        <f ca="1">IFERROR(__xludf.DUMMYFUNCTION("""COMPUTED_VALUE"""),31201.6666666666)</f>
        <v>31201.666666666599</v>
      </c>
      <c r="B1383" s="1">
        <f ca="1">IFERROR(__xludf.DUMMYFUNCTION("""COMPUTED_VALUE"""),189.32)</f>
        <v>189.32</v>
      </c>
    </row>
    <row r="1384" spans="1:2">
      <c r="A1384" s="3">
        <f ca="1">IFERROR(__xludf.DUMMYFUNCTION("""COMPUTED_VALUE"""),31202.6666666666)</f>
        <v>31202.666666666599</v>
      </c>
      <c r="B1384" s="1">
        <f ca="1">IFERROR(__xludf.DUMMYFUNCTION("""COMPUTED_VALUE"""),190.04)</f>
        <v>190.04</v>
      </c>
    </row>
    <row r="1385" spans="1:2">
      <c r="A1385" s="3">
        <f ca="1">IFERROR(__xludf.DUMMYFUNCTION("""COMPUTED_VALUE"""),31203.6666666666)</f>
        <v>31203.666666666599</v>
      </c>
      <c r="B1385" s="1">
        <f ca="1">IFERROR(__xludf.DUMMYFUNCTION("""COMPUTED_VALUE"""),190.16)</f>
        <v>190.16</v>
      </c>
    </row>
    <row r="1386" spans="1:2">
      <c r="A1386" s="3">
        <f ca="1">IFERROR(__xludf.DUMMYFUNCTION("""COMPUTED_VALUE"""),31204.6666666666)</f>
        <v>31204.666666666599</v>
      </c>
      <c r="B1386" s="1">
        <f ca="1">IFERROR(__xludf.DUMMYFUNCTION("""COMPUTED_VALUE"""),191.06)</f>
        <v>191.06</v>
      </c>
    </row>
    <row r="1387" spans="1:2">
      <c r="A1387" s="3">
        <f ca="1">IFERROR(__xludf.DUMMYFUNCTION("""COMPUTED_VALUE"""),31205.6666666666)</f>
        <v>31205.666666666599</v>
      </c>
      <c r="B1387" s="1">
        <f ca="1">IFERROR(__xludf.DUMMYFUNCTION("""COMPUTED_VALUE"""),189.68)</f>
        <v>189.68</v>
      </c>
    </row>
    <row r="1388" spans="1:2">
      <c r="A1388" s="3">
        <f ca="1">IFERROR(__xludf.DUMMYFUNCTION("""COMPUTED_VALUE"""),31208.6666666666)</f>
        <v>31208.666666666599</v>
      </c>
      <c r="B1388" s="1">
        <f ca="1">IFERROR(__xludf.DUMMYFUNCTION("""COMPUTED_VALUE"""),189.51)</f>
        <v>189.51</v>
      </c>
    </row>
    <row r="1389" spans="1:2">
      <c r="A1389" s="3">
        <f ca="1">IFERROR(__xludf.DUMMYFUNCTION("""COMPUTED_VALUE"""),31209.6666666666)</f>
        <v>31209.666666666599</v>
      </c>
      <c r="B1389" s="1">
        <f ca="1">IFERROR(__xludf.DUMMYFUNCTION("""COMPUTED_VALUE"""),189.04)</f>
        <v>189.04</v>
      </c>
    </row>
    <row r="1390" spans="1:2">
      <c r="A1390" s="3">
        <f ca="1">IFERROR(__xludf.DUMMYFUNCTION("""COMPUTED_VALUE"""),31210.6666666666)</f>
        <v>31210.666666666599</v>
      </c>
      <c r="B1390" s="1">
        <f ca="1">IFERROR(__xludf.DUMMYFUNCTION("""COMPUTED_VALUE"""),187.61)</f>
        <v>187.61</v>
      </c>
    </row>
    <row r="1391" spans="1:2">
      <c r="A1391" s="3">
        <f ca="1">IFERROR(__xludf.DUMMYFUNCTION("""COMPUTED_VALUE"""),31211.6666666666)</f>
        <v>31211.666666666599</v>
      </c>
      <c r="B1391" s="1">
        <f ca="1">IFERROR(__xludf.DUMMYFUNCTION("""COMPUTED_VALUE"""),185.33)</f>
        <v>185.33</v>
      </c>
    </row>
    <row r="1392" spans="1:2">
      <c r="A1392" s="3">
        <f ca="1">IFERROR(__xludf.DUMMYFUNCTION("""COMPUTED_VALUE"""),31212.6666666666)</f>
        <v>31212.666666666599</v>
      </c>
      <c r="B1392" s="1">
        <f ca="1">IFERROR(__xludf.DUMMYFUNCTION("""COMPUTED_VALUE"""),187.1)</f>
        <v>187.1</v>
      </c>
    </row>
    <row r="1393" spans="1:2">
      <c r="A1393" s="3">
        <f ca="1">IFERROR(__xludf.DUMMYFUNCTION("""COMPUTED_VALUE"""),31215.6666666666)</f>
        <v>31215.666666666599</v>
      </c>
      <c r="B1393" s="1">
        <f ca="1">IFERROR(__xludf.DUMMYFUNCTION("""COMPUTED_VALUE"""),186.53)</f>
        <v>186.53</v>
      </c>
    </row>
    <row r="1394" spans="1:2">
      <c r="A1394" s="3">
        <f ca="1">IFERROR(__xludf.DUMMYFUNCTION("""COMPUTED_VALUE"""),31216.6666666666)</f>
        <v>31216.666666666599</v>
      </c>
      <c r="B1394" s="1">
        <f ca="1">IFERROR(__xludf.DUMMYFUNCTION("""COMPUTED_VALUE"""),187.34)</f>
        <v>187.34</v>
      </c>
    </row>
    <row r="1395" spans="1:2">
      <c r="A1395" s="3">
        <f ca="1">IFERROR(__xludf.DUMMYFUNCTION("""COMPUTED_VALUE"""),31217.6666666666)</f>
        <v>31217.666666666599</v>
      </c>
      <c r="B1395" s="1">
        <f ca="1">IFERROR(__xludf.DUMMYFUNCTION("""COMPUTED_VALUE"""),186.63)</f>
        <v>186.63</v>
      </c>
    </row>
    <row r="1396" spans="1:2">
      <c r="A1396" s="3">
        <f ca="1">IFERROR(__xludf.DUMMYFUNCTION("""COMPUTED_VALUE"""),31218.6666666666)</f>
        <v>31218.666666666599</v>
      </c>
      <c r="B1396" s="1">
        <f ca="1">IFERROR(__xludf.DUMMYFUNCTION("""COMPUTED_VALUE"""),186.73)</f>
        <v>186.73</v>
      </c>
    </row>
    <row r="1397" spans="1:2">
      <c r="A1397" s="3">
        <f ca="1">IFERROR(__xludf.DUMMYFUNCTION("""COMPUTED_VALUE"""),31219.6666666666)</f>
        <v>31219.666666666599</v>
      </c>
      <c r="B1397" s="1">
        <f ca="1">IFERROR(__xludf.DUMMYFUNCTION("""COMPUTED_VALUE"""),189.61)</f>
        <v>189.61</v>
      </c>
    </row>
    <row r="1398" spans="1:2">
      <c r="A1398" s="3">
        <f ca="1">IFERROR(__xludf.DUMMYFUNCTION("""COMPUTED_VALUE"""),31222.6666666666)</f>
        <v>31222.666666666599</v>
      </c>
      <c r="B1398" s="1">
        <f ca="1">IFERROR(__xludf.DUMMYFUNCTION("""COMPUTED_VALUE"""),189.15)</f>
        <v>189.15</v>
      </c>
    </row>
    <row r="1399" spans="1:2">
      <c r="A1399" s="3">
        <f ca="1">IFERROR(__xludf.DUMMYFUNCTION("""COMPUTED_VALUE"""),31223.6666666666)</f>
        <v>31223.666666666599</v>
      </c>
      <c r="B1399" s="1">
        <f ca="1">IFERROR(__xludf.DUMMYFUNCTION("""COMPUTED_VALUE"""),189.74)</f>
        <v>189.74</v>
      </c>
    </row>
    <row r="1400" spans="1:2">
      <c r="A1400" s="3">
        <f ca="1">IFERROR(__xludf.DUMMYFUNCTION("""COMPUTED_VALUE"""),31224.6666666666)</f>
        <v>31224.666666666599</v>
      </c>
      <c r="B1400" s="1">
        <f ca="1">IFERROR(__xludf.DUMMYFUNCTION("""COMPUTED_VALUE"""),190.06)</f>
        <v>190.06</v>
      </c>
    </row>
    <row r="1401" spans="1:2">
      <c r="A1401" s="3">
        <f ca="1">IFERROR(__xludf.DUMMYFUNCTION("""COMPUTED_VALUE"""),31225.6666666666)</f>
        <v>31225.666666666599</v>
      </c>
      <c r="B1401" s="1">
        <f ca="1">IFERROR(__xludf.DUMMYFUNCTION("""COMPUTED_VALUE"""),191.23)</f>
        <v>191.23</v>
      </c>
    </row>
    <row r="1402" spans="1:2">
      <c r="A1402" s="3">
        <f ca="1">IFERROR(__xludf.DUMMYFUNCTION("""COMPUTED_VALUE"""),31226.6666666666)</f>
        <v>31226.666666666599</v>
      </c>
      <c r="B1402" s="1">
        <f ca="1">IFERROR(__xludf.DUMMYFUNCTION("""COMPUTED_VALUE"""),191.85)</f>
        <v>191.85</v>
      </c>
    </row>
    <row r="1403" spans="1:2">
      <c r="A1403" s="3">
        <f ca="1">IFERROR(__xludf.DUMMYFUNCTION("""COMPUTED_VALUE"""),31229.6666666666)</f>
        <v>31229.666666666599</v>
      </c>
      <c r="B1403" s="1">
        <f ca="1">IFERROR(__xludf.DUMMYFUNCTION("""COMPUTED_VALUE"""),192.43)</f>
        <v>192.43</v>
      </c>
    </row>
    <row r="1404" spans="1:2">
      <c r="A1404" s="3">
        <f ca="1">IFERROR(__xludf.DUMMYFUNCTION("""COMPUTED_VALUE"""),31230.6666666666)</f>
        <v>31230.666666666599</v>
      </c>
      <c r="B1404" s="1">
        <f ca="1">IFERROR(__xludf.DUMMYFUNCTION("""COMPUTED_VALUE"""),192.01)</f>
        <v>192.01</v>
      </c>
    </row>
    <row r="1405" spans="1:2">
      <c r="A1405" s="3">
        <f ca="1">IFERROR(__xludf.DUMMYFUNCTION("""COMPUTED_VALUE"""),31231.6666666666)</f>
        <v>31231.666666666599</v>
      </c>
      <c r="B1405" s="1">
        <f ca="1">IFERROR(__xludf.DUMMYFUNCTION("""COMPUTED_VALUE"""),191.45)</f>
        <v>191.45</v>
      </c>
    </row>
    <row r="1406" spans="1:2">
      <c r="A1406" s="3">
        <f ca="1">IFERROR(__xludf.DUMMYFUNCTION("""COMPUTED_VALUE"""),31233.6666666666)</f>
        <v>31233.666666666599</v>
      </c>
      <c r="B1406" s="1">
        <f ca="1">IFERROR(__xludf.DUMMYFUNCTION("""COMPUTED_VALUE"""),192.52)</f>
        <v>192.52</v>
      </c>
    </row>
    <row r="1407" spans="1:2">
      <c r="A1407" s="3">
        <f ca="1">IFERROR(__xludf.DUMMYFUNCTION("""COMPUTED_VALUE"""),31236.6666666666)</f>
        <v>31236.666666666599</v>
      </c>
      <c r="B1407" s="1">
        <f ca="1">IFERROR(__xludf.DUMMYFUNCTION("""COMPUTED_VALUE"""),191.93)</f>
        <v>191.93</v>
      </c>
    </row>
    <row r="1408" spans="1:2">
      <c r="A1408" s="3">
        <f ca="1">IFERROR(__xludf.DUMMYFUNCTION("""COMPUTED_VALUE"""),31237.6666666666)</f>
        <v>31237.666666666599</v>
      </c>
      <c r="B1408" s="1">
        <f ca="1">IFERROR(__xludf.DUMMYFUNCTION("""COMPUTED_VALUE"""),191.05)</f>
        <v>191.05</v>
      </c>
    </row>
    <row r="1409" spans="1:2">
      <c r="A1409" s="3">
        <f ca="1">IFERROR(__xludf.DUMMYFUNCTION("""COMPUTED_VALUE"""),31238.6666666666)</f>
        <v>31238.666666666599</v>
      </c>
      <c r="B1409" s="1">
        <f ca="1">IFERROR(__xludf.DUMMYFUNCTION("""COMPUTED_VALUE"""),192.37)</f>
        <v>192.37</v>
      </c>
    </row>
    <row r="1410" spans="1:2">
      <c r="A1410" s="3">
        <f ca="1">IFERROR(__xludf.DUMMYFUNCTION("""COMPUTED_VALUE"""),31239.6666666666)</f>
        <v>31239.666666666599</v>
      </c>
      <c r="B1410" s="1">
        <f ca="1">IFERROR(__xludf.DUMMYFUNCTION("""COMPUTED_VALUE"""),192.94)</f>
        <v>192.94</v>
      </c>
    </row>
    <row r="1411" spans="1:2">
      <c r="A1411" s="3">
        <f ca="1">IFERROR(__xludf.DUMMYFUNCTION("""COMPUTED_VALUE"""),31240.6666666666)</f>
        <v>31240.666666666599</v>
      </c>
      <c r="B1411" s="1">
        <f ca="1">IFERROR(__xludf.DUMMYFUNCTION("""COMPUTED_VALUE"""),193.29)</f>
        <v>193.29</v>
      </c>
    </row>
    <row r="1412" spans="1:2">
      <c r="A1412" s="3">
        <f ca="1">IFERROR(__xludf.DUMMYFUNCTION("""COMPUTED_VALUE"""),31243.6666666666)</f>
        <v>31243.666666666599</v>
      </c>
      <c r="B1412" s="1">
        <f ca="1">IFERROR(__xludf.DUMMYFUNCTION("""COMPUTED_VALUE"""),192.72)</f>
        <v>192.72</v>
      </c>
    </row>
    <row r="1413" spans="1:2">
      <c r="A1413" s="3">
        <f ca="1">IFERROR(__xludf.DUMMYFUNCTION("""COMPUTED_VALUE"""),31244.6666666666)</f>
        <v>31244.666666666599</v>
      </c>
      <c r="B1413" s="1">
        <f ca="1">IFERROR(__xludf.DUMMYFUNCTION("""COMPUTED_VALUE"""),194.72)</f>
        <v>194.72</v>
      </c>
    </row>
    <row r="1414" spans="1:2">
      <c r="A1414" s="3">
        <f ca="1">IFERROR(__xludf.DUMMYFUNCTION("""COMPUTED_VALUE"""),31245.6666666666)</f>
        <v>31245.666666666599</v>
      </c>
      <c r="B1414" s="1">
        <f ca="1">IFERROR(__xludf.DUMMYFUNCTION("""COMPUTED_VALUE"""),195.65)</f>
        <v>195.65</v>
      </c>
    </row>
    <row r="1415" spans="1:2">
      <c r="A1415" s="3">
        <f ca="1">IFERROR(__xludf.DUMMYFUNCTION("""COMPUTED_VALUE"""),31246.6666666666)</f>
        <v>31246.666666666599</v>
      </c>
      <c r="B1415" s="1">
        <f ca="1">IFERROR(__xludf.DUMMYFUNCTION("""COMPUTED_VALUE"""),194.38)</f>
        <v>194.38</v>
      </c>
    </row>
    <row r="1416" spans="1:2">
      <c r="A1416" s="3">
        <f ca="1">IFERROR(__xludf.DUMMYFUNCTION("""COMPUTED_VALUE"""),31247.6666666666)</f>
        <v>31247.666666666599</v>
      </c>
      <c r="B1416" s="1">
        <f ca="1">IFERROR(__xludf.DUMMYFUNCTION("""COMPUTED_VALUE"""),195.13)</f>
        <v>195.13</v>
      </c>
    </row>
    <row r="1417" spans="1:2">
      <c r="A1417" s="3">
        <f ca="1">IFERROR(__xludf.DUMMYFUNCTION("""COMPUTED_VALUE"""),31250.6666666666)</f>
        <v>31250.666666666599</v>
      </c>
      <c r="B1417" s="1">
        <f ca="1">IFERROR(__xludf.DUMMYFUNCTION("""COMPUTED_VALUE"""),194.35)</f>
        <v>194.35</v>
      </c>
    </row>
    <row r="1418" spans="1:2">
      <c r="A1418" s="3">
        <f ca="1">IFERROR(__xludf.DUMMYFUNCTION("""COMPUTED_VALUE"""),31251.6666666666)</f>
        <v>31251.666666666599</v>
      </c>
      <c r="B1418" s="1">
        <f ca="1">IFERROR(__xludf.DUMMYFUNCTION("""COMPUTED_VALUE"""),192.55)</f>
        <v>192.55</v>
      </c>
    </row>
    <row r="1419" spans="1:2">
      <c r="A1419" s="3">
        <f ca="1">IFERROR(__xludf.DUMMYFUNCTION("""COMPUTED_VALUE"""),31252.6666666666)</f>
        <v>31252.666666666599</v>
      </c>
      <c r="B1419" s="1">
        <f ca="1">IFERROR(__xludf.DUMMYFUNCTION("""COMPUTED_VALUE"""),191.58)</f>
        <v>191.58</v>
      </c>
    </row>
    <row r="1420" spans="1:2">
      <c r="A1420" s="3">
        <f ca="1">IFERROR(__xludf.DUMMYFUNCTION("""COMPUTED_VALUE"""),31253.6666666666)</f>
        <v>31253.666666666599</v>
      </c>
      <c r="B1420" s="1">
        <f ca="1">IFERROR(__xludf.DUMMYFUNCTION("""COMPUTED_VALUE"""),192.06)</f>
        <v>192.06</v>
      </c>
    </row>
    <row r="1421" spans="1:2">
      <c r="A1421" s="3">
        <f ca="1">IFERROR(__xludf.DUMMYFUNCTION("""COMPUTED_VALUE"""),31254.6666666666)</f>
        <v>31254.666666666599</v>
      </c>
      <c r="B1421" s="1">
        <f ca="1">IFERROR(__xludf.DUMMYFUNCTION("""COMPUTED_VALUE"""),192.4)</f>
        <v>192.4</v>
      </c>
    </row>
    <row r="1422" spans="1:2">
      <c r="A1422" s="3">
        <f ca="1">IFERROR(__xludf.DUMMYFUNCTION("""COMPUTED_VALUE"""),31257.6666666666)</f>
        <v>31257.666666666599</v>
      </c>
      <c r="B1422" s="1">
        <f ca="1">IFERROR(__xludf.DUMMYFUNCTION("""COMPUTED_VALUE"""),189.6)</f>
        <v>189.6</v>
      </c>
    </row>
    <row r="1423" spans="1:2">
      <c r="A1423" s="3">
        <f ca="1">IFERROR(__xludf.DUMMYFUNCTION("""COMPUTED_VALUE"""),31258.6666666666)</f>
        <v>31258.666666666599</v>
      </c>
      <c r="B1423" s="1">
        <f ca="1">IFERROR(__xludf.DUMMYFUNCTION("""COMPUTED_VALUE"""),189.93)</f>
        <v>189.93</v>
      </c>
    </row>
    <row r="1424" spans="1:2">
      <c r="A1424" s="3">
        <f ca="1">IFERROR(__xludf.DUMMYFUNCTION("""COMPUTED_VALUE"""),31259.6666666666)</f>
        <v>31259.666666666599</v>
      </c>
      <c r="B1424" s="1">
        <f ca="1">IFERROR(__xludf.DUMMYFUNCTION("""COMPUTED_VALUE"""),190.92)</f>
        <v>190.92</v>
      </c>
    </row>
    <row r="1425" spans="1:2">
      <c r="A1425" s="3">
        <f ca="1">IFERROR(__xludf.DUMMYFUNCTION("""COMPUTED_VALUE"""),31260.6666666666)</f>
        <v>31260.666666666599</v>
      </c>
      <c r="B1425" s="1">
        <f ca="1">IFERROR(__xludf.DUMMYFUNCTION("""COMPUTED_VALUE"""),192.11)</f>
        <v>192.11</v>
      </c>
    </row>
    <row r="1426" spans="1:2">
      <c r="A1426" s="3">
        <f ca="1">IFERROR(__xludf.DUMMYFUNCTION("""COMPUTED_VALUE"""),31261.6666666666)</f>
        <v>31261.666666666599</v>
      </c>
      <c r="B1426" s="1">
        <f ca="1">IFERROR(__xludf.DUMMYFUNCTION("""COMPUTED_VALUE"""),191.48)</f>
        <v>191.48</v>
      </c>
    </row>
    <row r="1427" spans="1:2">
      <c r="A1427" s="3">
        <f ca="1">IFERROR(__xludf.DUMMYFUNCTION("""COMPUTED_VALUE"""),31264.6666666666)</f>
        <v>31264.666666666599</v>
      </c>
      <c r="B1427" s="1">
        <f ca="1">IFERROR(__xludf.DUMMYFUNCTION("""COMPUTED_VALUE"""),190.62)</f>
        <v>190.62</v>
      </c>
    </row>
    <row r="1428" spans="1:2">
      <c r="A1428" s="3">
        <f ca="1">IFERROR(__xludf.DUMMYFUNCTION("""COMPUTED_VALUE"""),31265.6666666666)</f>
        <v>31265.666666666599</v>
      </c>
      <c r="B1428" s="1">
        <f ca="1">IFERROR(__xludf.DUMMYFUNCTION("""COMPUTED_VALUE"""),187.93)</f>
        <v>187.93</v>
      </c>
    </row>
    <row r="1429" spans="1:2">
      <c r="A1429" s="3">
        <f ca="1">IFERROR(__xludf.DUMMYFUNCTION("""COMPUTED_VALUE"""),31266.6666666666)</f>
        <v>31266.666666666599</v>
      </c>
      <c r="B1429" s="1">
        <f ca="1">IFERROR(__xludf.DUMMYFUNCTION("""COMPUTED_VALUE"""),187.68)</f>
        <v>187.68</v>
      </c>
    </row>
    <row r="1430" spans="1:2">
      <c r="A1430" s="3">
        <f ca="1">IFERROR(__xludf.DUMMYFUNCTION("""COMPUTED_VALUE"""),31267.6666666666)</f>
        <v>31267.666666666599</v>
      </c>
      <c r="B1430" s="1">
        <f ca="1">IFERROR(__xludf.DUMMYFUNCTION("""COMPUTED_VALUE"""),188.95)</f>
        <v>188.95</v>
      </c>
    </row>
    <row r="1431" spans="1:2">
      <c r="A1431" s="3">
        <f ca="1">IFERROR(__xludf.DUMMYFUNCTION("""COMPUTED_VALUE"""),31268.6666666666)</f>
        <v>31268.666666666599</v>
      </c>
      <c r="B1431" s="1">
        <f ca="1">IFERROR(__xludf.DUMMYFUNCTION("""COMPUTED_VALUE"""),188.32)</f>
        <v>188.32</v>
      </c>
    </row>
    <row r="1432" spans="1:2">
      <c r="A1432" s="3">
        <f ca="1">IFERROR(__xludf.DUMMYFUNCTION("""COMPUTED_VALUE"""),31271.6666666666)</f>
        <v>31271.666666666599</v>
      </c>
      <c r="B1432" s="1">
        <f ca="1">IFERROR(__xludf.DUMMYFUNCTION("""COMPUTED_VALUE"""),187.63)</f>
        <v>187.63</v>
      </c>
    </row>
    <row r="1433" spans="1:2">
      <c r="A1433" s="3">
        <f ca="1">IFERROR(__xludf.DUMMYFUNCTION("""COMPUTED_VALUE"""),31272.6666666666)</f>
        <v>31272.666666666599</v>
      </c>
      <c r="B1433" s="1">
        <f ca="1">IFERROR(__xludf.DUMMYFUNCTION("""COMPUTED_VALUE"""),187.3)</f>
        <v>187.3</v>
      </c>
    </row>
    <row r="1434" spans="1:2">
      <c r="A1434" s="3">
        <f ca="1">IFERROR(__xludf.DUMMYFUNCTION("""COMPUTED_VALUE"""),31273.6666666666)</f>
        <v>31273.666666666599</v>
      </c>
      <c r="B1434" s="1">
        <f ca="1">IFERROR(__xludf.DUMMYFUNCTION("""COMPUTED_VALUE"""),187.41)</f>
        <v>187.41</v>
      </c>
    </row>
    <row r="1435" spans="1:2">
      <c r="A1435" s="3">
        <f ca="1">IFERROR(__xludf.DUMMYFUNCTION("""COMPUTED_VALUE"""),31274.6666666666)</f>
        <v>31274.666666666599</v>
      </c>
      <c r="B1435" s="1">
        <f ca="1">IFERROR(__xludf.DUMMYFUNCTION("""COMPUTED_VALUE"""),187.26)</f>
        <v>187.26</v>
      </c>
    </row>
    <row r="1436" spans="1:2">
      <c r="A1436" s="3">
        <f ca="1">IFERROR(__xludf.DUMMYFUNCTION("""COMPUTED_VALUE"""),31275.6666666666)</f>
        <v>31275.666666666599</v>
      </c>
      <c r="B1436" s="1">
        <f ca="1">IFERROR(__xludf.DUMMYFUNCTION("""COMPUTED_VALUE"""),186.1)</f>
        <v>186.1</v>
      </c>
    </row>
    <row r="1437" spans="1:2">
      <c r="A1437" s="3">
        <f ca="1">IFERROR(__xludf.DUMMYFUNCTION("""COMPUTED_VALUE"""),31278.6666666666)</f>
        <v>31278.666666666599</v>
      </c>
      <c r="B1437" s="1">
        <f ca="1">IFERROR(__xludf.DUMMYFUNCTION("""COMPUTED_VALUE"""),186.38)</f>
        <v>186.38</v>
      </c>
    </row>
    <row r="1438" spans="1:2">
      <c r="A1438" s="3">
        <f ca="1">IFERROR(__xludf.DUMMYFUNCTION("""COMPUTED_VALUE"""),31279.6666666666)</f>
        <v>31279.666666666599</v>
      </c>
      <c r="B1438" s="1">
        <f ca="1">IFERROR(__xludf.DUMMYFUNCTION("""COMPUTED_VALUE"""),188.08)</f>
        <v>188.08</v>
      </c>
    </row>
    <row r="1439" spans="1:2">
      <c r="A1439" s="3">
        <f ca="1">IFERROR(__xludf.DUMMYFUNCTION("""COMPUTED_VALUE"""),31280.6666666666)</f>
        <v>31280.666666666599</v>
      </c>
      <c r="B1439" s="1">
        <f ca="1">IFERROR(__xludf.DUMMYFUNCTION("""COMPUTED_VALUE"""),189.16)</f>
        <v>189.16</v>
      </c>
    </row>
    <row r="1440" spans="1:2">
      <c r="A1440" s="3">
        <f ca="1">IFERROR(__xludf.DUMMYFUNCTION("""COMPUTED_VALUE"""),31281.6666666666)</f>
        <v>31281.666666666599</v>
      </c>
      <c r="B1440" s="1">
        <f ca="1">IFERROR(__xludf.DUMMYFUNCTION("""COMPUTED_VALUE"""),187.36)</f>
        <v>187.36</v>
      </c>
    </row>
    <row r="1441" spans="1:2">
      <c r="A1441" s="3">
        <f ca="1">IFERROR(__xludf.DUMMYFUNCTION("""COMPUTED_VALUE"""),31282.6666666666)</f>
        <v>31282.666666666599</v>
      </c>
      <c r="B1441" s="1">
        <f ca="1">IFERROR(__xludf.DUMMYFUNCTION("""COMPUTED_VALUE"""),187.17)</f>
        <v>187.17</v>
      </c>
    </row>
    <row r="1442" spans="1:2">
      <c r="A1442" s="3">
        <f ca="1">IFERROR(__xludf.DUMMYFUNCTION("""COMPUTED_VALUE"""),31285.6666666666)</f>
        <v>31285.666666666599</v>
      </c>
      <c r="B1442" s="1">
        <f ca="1">IFERROR(__xludf.DUMMYFUNCTION("""COMPUTED_VALUE"""),187.31)</f>
        <v>187.31</v>
      </c>
    </row>
    <row r="1443" spans="1:2">
      <c r="A1443" s="3">
        <f ca="1">IFERROR(__xludf.DUMMYFUNCTION("""COMPUTED_VALUE"""),31286.6666666666)</f>
        <v>31286.666666666599</v>
      </c>
      <c r="B1443" s="1">
        <f ca="1">IFERROR(__xludf.DUMMYFUNCTION("""COMPUTED_VALUE"""),188.1)</f>
        <v>188.1</v>
      </c>
    </row>
    <row r="1444" spans="1:2">
      <c r="A1444" s="3">
        <f ca="1">IFERROR(__xludf.DUMMYFUNCTION("""COMPUTED_VALUE"""),31287.6666666666)</f>
        <v>31287.666666666599</v>
      </c>
      <c r="B1444" s="1">
        <f ca="1">IFERROR(__xludf.DUMMYFUNCTION("""COMPUTED_VALUE"""),188.83)</f>
        <v>188.83</v>
      </c>
    </row>
    <row r="1445" spans="1:2">
      <c r="A1445" s="3">
        <f ca="1">IFERROR(__xludf.DUMMYFUNCTION("""COMPUTED_VALUE"""),31288.6666666666)</f>
        <v>31288.666666666599</v>
      </c>
      <c r="B1445" s="1">
        <f ca="1">IFERROR(__xludf.DUMMYFUNCTION("""COMPUTED_VALUE"""),188.93)</f>
        <v>188.93</v>
      </c>
    </row>
    <row r="1446" spans="1:2">
      <c r="A1446" s="3">
        <f ca="1">IFERROR(__xludf.DUMMYFUNCTION("""COMPUTED_VALUE"""),31289.6666666666)</f>
        <v>31289.666666666599</v>
      </c>
      <c r="B1446" s="1">
        <f ca="1">IFERROR(__xludf.DUMMYFUNCTION("""COMPUTED_VALUE"""),188.63)</f>
        <v>188.63</v>
      </c>
    </row>
    <row r="1447" spans="1:2">
      <c r="A1447" s="3">
        <f ca="1">IFERROR(__xludf.DUMMYFUNCTION("""COMPUTED_VALUE"""),31293.6666666666)</f>
        <v>31293.666666666599</v>
      </c>
      <c r="B1447" s="1">
        <f ca="1">IFERROR(__xludf.DUMMYFUNCTION("""COMPUTED_VALUE"""),187.91)</f>
        <v>187.91</v>
      </c>
    </row>
    <row r="1448" spans="1:2">
      <c r="A1448" s="3">
        <f ca="1">IFERROR(__xludf.DUMMYFUNCTION("""COMPUTED_VALUE"""),31294.6666666666)</f>
        <v>31294.666666666599</v>
      </c>
      <c r="B1448" s="1">
        <f ca="1">IFERROR(__xludf.DUMMYFUNCTION("""COMPUTED_VALUE"""),187.37)</f>
        <v>187.37</v>
      </c>
    </row>
    <row r="1449" spans="1:2">
      <c r="A1449" s="3">
        <f ca="1">IFERROR(__xludf.DUMMYFUNCTION("""COMPUTED_VALUE"""),31295.6666666666)</f>
        <v>31295.666666666599</v>
      </c>
      <c r="B1449" s="1">
        <f ca="1">IFERROR(__xludf.DUMMYFUNCTION("""COMPUTED_VALUE"""),187.27)</f>
        <v>187.27</v>
      </c>
    </row>
    <row r="1450" spans="1:2">
      <c r="A1450" s="3">
        <f ca="1">IFERROR(__xludf.DUMMYFUNCTION("""COMPUTED_VALUE"""),31296.6666666666)</f>
        <v>31296.666666666599</v>
      </c>
      <c r="B1450" s="1">
        <f ca="1">IFERROR(__xludf.DUMMYFUNCTION("""COMPUTED_VALUE"""),188.24)</f>
        <v>188.24</v>
      </c>
    </row>
    <row r="1451" spans="1:2">
      <c r="A1451" s="3">
        <f ca="1">IFERROR(__xludf.DUMMYFUNCTION("""COMPUTED_VALUE"""),31299.6666666666)</f>
        <v>31299.666666666599</v>
      </c>
      <c r="B1451" s="1">
        <f ca="1">IFERROR(__xludf.DUMMYFUNCTION("""COMPUTED_VALUE"""),188.25)</f>
        <v>188.25</v>
      </c>
    </row>
    <row r="1452" spans="1:2">
      <c r="A1452" s="3">
        <f ca="1">IFERROR(__xludf.DUMMYFUNCTION("""COMPUTED_VALUE"""),31300.6666666666)</f>
        <v>31300.666666666599</v>
      </c>
      <c r="B1452" s="1">
        <f ca="1">IFERROR(__xludf.DUMMYFUNCTION("""COMPUTED_VALUE"""),186.9)</f>
        <v>186.9</v>
      </c>
    </row>
    <row r="1453" spans="1:2">
      <c r="A1453" s="3">
        <f ca="1">IFERROR(__xludf.DUMMYFUNCTION("""COMPUTED_VALUE"""),31301.6666666666)</f>
        <v>31301.666666666599</v>
      </c>
      <c r="B1453" s="1">
        <f ca="1">IFERROR(__xludf.DUMMYFUNCTION("""COMPUTED_VALUE"""),185.03)</f>
        <v>185.03</v>
      </c>
    </row>
    <row r="1454" spans="1:2">
      <c r="A1454" s="3">
        <f ca="1">IFERROR(__xludf.DUMMYFUNCTION("""COMPUTED_VALUE"""),31302.6666666666)</f>
        <v>31302.666666666599</v>
      </c>
      <c r="B1454" s="1">
        <f ca="1">IFERROR(__xludf.DUMMYFUNCTION("""COMPUTED_VALUE"""),183.69)</f>
        <v>183.69</v>
      </c>
    </row>
    <row r="1455" spans="1:2">
      <c r="A1455" s="3">
        <f ca="1">IFERROR(__xludf.DUMMYFUNCTION("""COMPUTED_VALUE"""),31303.6666666666)</f>
        <v>31303.666666666599</v>
      </c>
      <c r="B1455" s="1">
        <f ca="1">IFERROR(__xludf.DUMMYFUNCTION("""COMPUTED_VALUE"""),182.91)</f>
        <v>182.91</v>
      </c>
    </row>
    <row r="1456" spans="1:2">
      <c r="A1456" s="3">
        <f ca="1">IFERROR(__xludf.DUMMYFUNCTION("""COMPUTED_VALUE"""),31306.6666666666)</f>
        <v>31306.666666666599</v>
      </c>
      <c r="B1456" s="1">
        <f ca="1">IFERROR(__xludf.DUMMYFUNCTION("""COMPUTED_VALUE"""),182.88)</f>
        <v>182.88</v>
      </c>
    </row>
    <row r="1457" spans="1:2">
      <c r="A1457" s="3">
        <f ca="1">IFERROR(__xludf.DUMMYFUNCTION("""COMPUTED_VALUE"""),31307.6666666666)</f>
        <v>31307.666666666599</v>
      </c>
      <c r="B1457" s="1">
        <f ca="1">IFERROR(__xludf.DUMMYFUNCTION("""COMPUTED_VALUE"""),181.36)</f>
        <v>181.36</v>
      </c>
    </row>
    <row r="1458" spans="1:2">
      <c r="A1458" s="3">
        <f ca="1">IFERROR(__xludf.DUMMYFUNCTION("""COMPUTED_VALUE"""),31308.6666666666)</f>
        <v>31308.666666666599</v>
      </c>
      <c r="B1458" s="1">
        <f ca="1">IFERROR(__xludf.DUMMYFUNCTION("""COMPUTED_VALUE"""),181.71)</f>
        <v>181.71</v>
      </c>
    </row>
    <row r="1459" spans="1:2">
      <c r="A1459" s="3">
        <f ca="1">IFERROR(__xludf.DUMMYFUNCTION("""COMPUTED_VALUE"""),31309.6666666666)</f>
        <v>31309.666666666599</v>
      </c>
      <c r="B1459" s="1">
        <f ca="1">IFERROR(__xludf.DUMMYFUNCTION("""COMPUTED_VALUE"""),183.39)</f>
        <v>183.39</v>
      </c>
    </row>
    <row r="1460" spans="1:2">
      <c r="A1460" s="3">
        <f ca="1">IFERROR(__xludf.DUMMYFUNCTION("""COMPUTED_VALUE"""),31310.6666666666)</f>
        <v>31310.666666666599</v>
      </c>
      <c r="B1460" s="1">
        <f ca="1">IFERROR(__xludf.DUMMYFUNCTION("""COMPUTED_VALUE"""),182.05)</f>
        <v>182.05</v>
      </c>
    </row>
    <row r="1461" spans="1:2">
      <c r="A1461" s="3">
        <f ca="1">IFERROR(__xludf.DUMMYFUNCTION("""COMPUTED_VALUE"""),31313.6666666666)</f>
        <v>31313.666666666599</v>
      </c>
      <c r="B1461" s="1">
        <f ca="1">IFERROR(__xludf.DUMMYFUNCTION("""COMPUTED_VALUE"""),184.3)</f>
        <v>184.3</v>
      </c>
    </row>
    <row r="1462" spans="1:2">
      <c r="A1462" s="3">
        <f ca="1">IFERROR(__xludf.DUMMYFUNCTION("""COMPUTED_VALUE"""),31314.6666666666)</f>
        <v>31314.666666666599</v>
      </c>
      <c r="B1462" s="1">
        <f ca="1">IFERROR(__xludf.DUMMYFUNCTION("""COMPUTED_VALUE"""),182.62)</f>
        <v>182.62</v>
      </c>
    </row>
    <row r="1463" spans="1:2">
      <c r="A1463" s="3">
        <f ca="1">IFERROR(__xludf.DUMMYFUNCTION("""COMPUTED_VALUE"""),31315.6666666666)</f>
        <v>31315.666666666599</v>
      </c>
      <c r="B1463" s="1">
        <f ca="1">IFERROR(__xludf.DUMMYFUNCTION("""COMPUTED_VALUE"""),180.66)</f>
        <v>180.66</v>
      </c>
    </row>
    <row r="1464" spans="1:2">
      <c r="A1464" s="3">
        <f ca="1">IFERROR(__xludf.DUMMYFUNCTION("""COMPUTED_VALUE"""),31316.6666666666)</f>
        <v>31316.666666666599</v>
      </c>
      <c r="B1464" s="1">
        <f ca="1">IFERROR(__xludf.DUMMYFUNCTION("""COMPUTED_VALUE"""),181.29)</f>
        <v>181.29</v>
      </c>
    </row>
    <row r="1465" spans="1:2">
      <c r="A1465" s="3">
        <f ca="1">IFERROR(__xludf.DUMMYFUNCTION("""COMPUTED_VALUE"""),31320.6666666666)</f>
        <v>31320.666666666599</v>
      </c>
      <c r="B1465" s="1">
        <f ca="1">IFERROR(__xludf.DUMMYFUNCTION("""COMPUTED_VALUE"""),182.08)</f>
        <v>182.08</v>
      </c>
    </row>
    <row r="1466" spans="1:2">
      <c r="A1466" s="3">
        <f ca="1">IFERROR(__xludf.DUMMYFUNCTION("""COMPUTED_VALUE"""),31321.6666666666)</f>
        <v>31321.666666666599</v>
      </c>
      <c r="B1466" s="1">
        <f ca="1">IFERROR(__xludf.DUMMYFUNCTION("""COMPUTED_VALUE"""),185.07)</f>
        <v>185.07</v>
      </c>
    </row>
    <row r="1467" spans="1:2">
      <c r="A1467" s="3">
        <f ca="1">IFERROR(__xludf.DUMMYFUNCTION("""COMPUTED_VALUE"""),31322.6666666666)</f>
        <v>31322.666666666599</v>
      </c>
      <c r="B1467" s="1">
        <f ca="1">IFERROR(__xludf.DUMMYFUNCTION("""COMPUTED_VALUE"""),184.06)</f>
        <v>184.06</v>
      </c>
    </row>
    <row r="1468" spans="1:2">
      <c r="A1468" s="3">
        <f ca="1">IFERROR(__xludf.DUMMYFUNCTION("""COMPUTED_VALUE"""),31323.6666666666)</f>
        <v>31323.666666666599</v>
      </c>
      <c r="B1468" s="1">
        <f ca="1">IFERROR(__xludf.DUMMYFUNCTION("""COMPUTED_VALUE"""),184.36)</f>
        <v>184.36</v>
      </c>
    </row>
    <row r="1469" spans="1:2">
      <c r="A1469" s="3">
        <f ca="1">IFERROR(__xludf.DUMMYFUNCTION("""COMPUTED_VALUE"""),31324.6666666666)</f>
        <v>31324.666666666599</v>
      </c>
      <c r="B1469" s="1">
        <f ca="1">IFERROR(__xludf.DUMMYFUNCTION("""COMPUTED_VALUE"""),183.22)</f>
        <v>183.22</v>
      </c>
    </row>
    <row r="1470" spans="1:2">
      <c r="A1470" s="3">
        <f ca="1">IFERROR(__xludf.DUMMYFUNCTION("""COMPUTED_VALUE"""),31327.6666666666)</f>
        <v>31327.666666666599</v>
      </c>
      <c r="B1470" s="1">
        <f ca="1">IFERROR(__xludf.DUMMYFUNCTION("""COMPUTED_VALUE"""),181.87)</f>
        <v>181.87</v>
      </c>
    </row>
    <row r="1471" spans="1:2">
      <c r="A1471" s="3">
        <f ca="1">IFERROR(__xludf.DUMMYFUNCTION("""COMPUTED_VALUE"""),31328.6666666666)</f>
        <v>31328.666666666599</v>
      </c>
      <c r="B1471" s="1">
        <f ca="1">IFERROR(__xludf.DUMMYFUNCTION("""COMPUTED_VALUE"""),181.87)</f>
        <v>181.87</v>
      </c>
    </row>
    <row r="1472" spans="1:2">
      <c r="A1472" s="3">
        <f ca="1">IFERROR(__xludf.DUMMYFUNCTION("""COMPUTED_VALUE"""),31329.6666666666)</f>
        <v>31329.666666666599</v>
      </c>
      <c r="B1472" s="1">
        <f ca="1">IFERROR(__xludf.DUMMYFUNCTION("""COMPUTED_VALUE"""),182.52)</f>
        <v>182.52</v>
      </c>
    </row>
    <row r="1473" spans="1:2">
      <c r="A1473" s="3">
        <f ca="1">IFERROR(__xludf.DUMMYFUNCTION("""COMPUTED_VALUE"""),31330.6666666666)</f>
        <v>31330.666666666599</v>
      </c>
      <c r="B1473" s="1">
        <f ca="1">IFERROR(__xludf.DUMMYFUNCTION("""COMPUTED_VALUE"""),182.78)</f>
        <v>182.78</v>
      </c>
    </row>
    <row r="1474" spans="1:2">
      <c r="A1474" s="3">
        <f ca="1">IFERROR(__xludf.DUMMYFUNCTION("""COMPUTED_VALUE"""),31331.6666666666)</f>
        <v>31331.666666666599</v>
      </c>
      <c r="B1474" s="1">
        <f ca="1">IFERROR(__xludf.DUMMYFUNCTION("""COMPUTED_VALUE"""),184.28)</f>
        <v>184.28</v>
      </c>
    </row>
    <row r="1475" spans="1:2">
      <c r="A1475" s="3">
        <f ca="1">IFERROR(__xludf.DUMMYFUNCTION("""COMPUTED_VALUE"""),31334.6666666666)</f>
        <v>31334.666666666599</v>
      </c>
      <c r="B1475" s="1">
        <f ca="1">IFERROR(__xludf.DUMMYFUNCTION("""COMPUTED_VALUE"""),186.37)</f>
        <v>186.37</v>
      </c>
    </row>
    <row r="1476" spans="1:2">
      <c r="A1476" s="3">
        <f ca="1">IFERROR(__xludf.DUMMYFUNCTION("""COMPUTED_VALUE"""),31335.6666666666)</f>
        <v>31335.666666666599</v>
      </c>
      <c r="B1476" s="1">
        <f ca="1">IFERROR(__xludf.DUMMYFUNCTION("""COMPUTED_VALUE"""),186.08)</f>
        <v>186.08</v>
      </c>
    </row>
    <row r="1477" spans="1:2">
      <c r="A1477" s="3">
        <f ca="1">IFERROR(__xludf.DUMMYFUNCTION("""COMPUTED_VALUE"""),31336.6666666666)</f>
        <v>31336.666666666599</v>
      </c>
      <c r="B1477" s="1">
        <f ca="1">IFERROR(__xludf.DUMMYFUNCTION("""COMPUTED_VALUE"""),187.98)</f>
        <v>187.98</v>
      </c>
    </row>
    <row r="1478" spans="1:2">
      <c r="A1478" s="3">
        <f ca="1">IFERROR(__xludf.DUMMYFUNCTION("""COMPUTED_VALUE"""),31337.6666666666)</f>
        <v>31337.666666666599</v>
      </c>
      <c r="B1478" s="1">
        <f ca="1">IFERROR(__xludf.DUMMYFUNCTION("""COMPUTED_VALUE"""),187.66)</f>
        <v>187.66</v>
      </c>
    </row>
    <row r="1479" spans="1:2">
      <c r="A1479" s="3">
        <f ca="1">IFERROR(__xludf.DUMMYFUNCTION("""COMPUTED_VALUE"""),31338.6666666666)</f>
        <v>31338.666666666599</v>
      </c>
      <c r="B1479" s="1">
        <f ca="1">IFERROR(__xludf.DUMMYFUNCTION("""COMPUTED_VALUE"""),187.04)</f>
        <v>187.04</v>
      </c>
    </row>
    <row r="1480" spans="1:2">
      <c r="A1480" s="3">
        <f ca="1">IFERROR(__xludf.DUMMYFUNCTION("""COMPUTED_VALUE"""),31341.6666666666)</f>
        <v>31341.666666666599</v>
      </c>
      <c r="B1480" s="1">
        <f ca="1">IFERROR(__xludf.DUMMYFUNCTION("""COMPUTED_VALUE"""),186.96)</f>
        <v>186.96</v>
      </c>
    </row>
    <row r="1481" spans="1:2">
      <c r="A1481" s="3">
        <f ca="1">IFERROR(__xludf.DUMMYFUNCTION("""COMPUTED_VALUE"""),31342.6666666666)</f>
        <v>31342.666666666599</v>
      </c>
      <c r="B1481" s="1">
        <f ca="1">IFERROR(__xludf.DUMMYFUNCTION("""COMPUTED_VALUE"""),188.04)</f>
        <v>188.04</v>
      </c>
    </row>
    <row r="1482" spans="1:2">
      <c r="A1482" s="3">
        <f ca="1">IFERROR(__xludf.DUMMYFUNCTION("""COMPUTED_VALUE"""),31343.6666666666)</f>
        <v>31343.666666666599</v>
      </c>
      <c r="B1482" s="1">
        <f ca="1">IFERROR(__xludf.DUMMYFUNCTION("""COMPUTED_VALUE"""),189.09)</f>
        <v>189.09</v>
      </c>
    </row>
    <row r="1483" spans="1:2">
      <c r="A1483" s="3">
        <f ca="1">IFERROR(__xludf.DUMMYFUNCTION("""COMPUTED_VALUE"""),31344.6666666666)</f>
        <v>31344.666666666599</v>
      </c>
      <c r="B1483" s="1">
        <f ca="1">IFERROR(__xludf.DUMMYFUNCTION("""COMPUTED_VALUE"""),188.5)</f>
        <v>188.5</v>
      </c>
    </row>
    <row r="1484" spans="1:2">
      <c r="A1484" s="3">
        <f ca="1">IFERROR(__xludf.DUMMYFUNCTION("""COMPUTED_VALUE"""),31345.6666666666)</f>
        <v>31345.666666666599</v>
      </c>
      <c r="B1484" s="1">
        <f ca="1">IFERROR(__xludf.DUMMYFUNCTION("""COMPUTED_VALUE"""),187.52)</f>
        <v>187.52</v>
      </c>
    </row>
    <row r="1485" spans="1:2">
      <c r="A1485" s="3">
        <f ca="1">IFERROR(__xludf.DUMMYFUNCTION("""COMPUTED_VALUE"""),31348.6666666666)</f>
        <v>31348.666666666599</v>
      </c>
      <c r="B1485" s="1">
        <f ca="1">IFERROR(__xludf.DUMMYFUNCTION("""COMPUTED_VALUE"""),187.76)</f>
        <v>187.76</v>
      </c>
    </row>
    <row r="1486" spans="1:2">
      <c r="A1486" s="3">
        <f ca="1">IFERROR(__xludf.DUMMYFUNCTION("""COMPUTED_VALUE"""),31349.6666666666)</f>
        <v>31349.666666666599</v>
      </c>
      <c r="B1486" s="1">
        <f ca="1">IFERROR(__xludf.DUMMYFUNCTION("""COMPUTED_VALUE"""),189.23)</f>
        <v>189.23</v>
      </c>
    </row>
    <row r="1487" spans="1:2">
      <c r="A1487" s="3">
        <f ca="1">IFERROR(__xludf.DUMMYFUNCTION("""COMPUTED_VALUE"""),31350.6666666666)</f>
        <v>31350.666666666599</v>
      </c>
      <c r="B1487" s="1">
        <f ca="1">IFERROR(__xludf.DUMMYFUNCTION("""COMPUTED_VALUE"""),190.07)</f>
        <v>190.07</v>
      </c>
    </row>
    <row r="1488" spans="1:2">
      <c r="A1488" s="3">
        <f ca="1">IFERROR(__xludf.DUMMYFUNCTION("""COMPUTED_VALUE"""),31351.6666666666)</f>
        <v>31351.666666666599</v>
      </c>
      <c r="B1488" s="1">
        <f ca="1">IFERROR(__xludf.DUMMYFUNCTION("""COMPUTED_VALUE"""),189.82)</f>
        <v>189.82</v>
      </c>
    </row>
    <row r="1489" spans="1:2">
      <c r="A1489" s="3">
        <f ca="1">IFERROR(__xludf.DUMMYFUNCTION("""COMPUTED_VALUE"""),31352.6666666666)</f>
        <v>31352.666666666599</v>
      </c>
      <c r="B1489" s="1">
        <f ca="1">IFERROR(__xludf.DUMMYFUNCTION("""COMPUTED_VALUE"""),191.53)</f>
        <v>191.53</v>
      </c>
    </row>
    <row r="1490" spans="1:2">
      <c r="A1490" s="3">
        <f ca="1">IFERROR(__xludf.DUMMYFUNCTION("""COMPUTED_VALUE"""),31355.6666666666)</f>
        <v>31355.666666666599</v>
      </c>
      <c r="B1490" s="1">
        <f ca="1">IFERROR(__xludf.DUMMYFUNCTION("""COMPUTED_VALUE"""),191.25)</f>
        <v>191.25</v>
      </c>
    </row>
    <row r="1491" spans="1:2">
      <c r="A1491" s="3">
        <f ca="1">IFERROR(__xludf.DUMMYFUNCTION("""COMPUTED_VALUE"""),31356.6666666666)</f>
        <v>31356.666666666599</v>
      </c>
      <c r="B1491" s="1">
        <f ca="1">IFERROR(__xludf.DUMMYFUNCTION("""COMPUTED_VALUE"""),192.37)</f>
        <v>192.37</v>
      </c>
    </row>
    <row r="1492" spans="1:2">
      <c r="A1492" s="3">
        <f ca="1">IFERROR(__xludf.DUMMYFUNCTION("""COMPUTED_VALUE"""),31357.6666666666)</f>
        <v>31357.666666666599</v>
      </c>
      <c r="B1492" s="1">
        <f ca="1">IFERROR(__xludf.DUMMYFUNCTION("""COMPUTED_VALUE"""),192.76)</f>
        <v>192.76</v>
      </c>
    </row>
    <row r="1493" spans="1:2">
      <c r="A1493" s="3">
        <f ca="1">IFERROR(__xludf.DUMMYFUNCTION("""COMPUTED_VALUE"""),31358.6666666666)</f>
        <v>31358.666666666599</v>
      </c>
      <c r="B1493" s="1">
        <f ca="1">IFERROR(__xludf.DUMMYFUNCTION("""COMPUTED_VALUE"""),192.62)</f>
        <v>192.62</v>
      </c>
    </row>
    <row r="1494" spans="1:2">
      <c r="A1494" s="3">
        <f ca="1">IFERROR(__xludf.DUMMYFUNCTION("""COMPUTED_VALUE"""),31359.6666666666)</f>
        <v>31359.666666666599</v>
      </c>
      <c r="B1494" s="1">
        <f ca="1">IFERROR(__xludf.DUMMYFUNCTION("""COMPUTED_VALUE"""),193.72)</f>
        <v>193.72</v>
      </c>
    </row>
    <row r="1495" spans="1:2">
      <c r="A1495" s="3">
        <f ca="1">IFERROR(__xludf.DUMMYFUNCTION("""COMPUTED_VALUE"""),31362.6666666666)</f>
        <v>31362.666666666599</v>
      </c>
      <c r="B1495" s="1">
        <f ca="1">IFERROR(__xludf.DUMMYFUNCTION("""COMPUTED_VALUE"""),197.28)</f>
        <v>197.28</v>
      </c>
    </row>
    <row r="1496" spans="1:2">
      <c r="A1496" s="3">
        <f ca="1">IFERROR(__xludf.DUMMYFUNCTION("""COMPUTED_VALUE"""),31363.6666666666)</f>
        <v>31363.666666666599</v>
      </c>
      <c r="B1496" s="1">
        <f ca="1">IFERROR(__xludf.DUMMYFUNCTION("""COMPUTED_VALUE"""),198.08)</f>
        <v>198.08</v>
      </c>
    </row>
    <row r="1497" spans="1:2">
      <c r="A1497" s="3">
        <f ca="1">IFERROR(__xludf.DUMMYFUNCTION("""COMPUTED_VALUE"""),31364.6666666666)</f>
        <v>31364.666666666599</v>
      </c>
      <c r="B1497" s="1">
        <f ca="1">IFERROR(__xludf.DUMMYFUNCTION("""COMPUTED_VALUE"""),197.1)</f>
        <v>197.1</v>
      </c>
    </row>
    <row r="1498" spans="1:2">
      <c r="A1498" s="3">
        <f ca="1">IFERROR(__xludf.DUMMYFUNCTION("""COMPUTED_VALUE"""),31365.6666666666)</f>
        <v>31365.666666666599</v>
      </c>
      <c r="B1498" s="1">
        <f ca="1">IFERROR(__xludf.DUMMYFUNCTION("""COMPUTED_VALUE"""),199.06)</f>
        <v>199.06</v>
      </c>
    </row>
    <row r="1499" spans="1:2">
      <c r="A1499" s="3">
        <f ca="1">IFERROR(__xludf.DUMMYFUNCTION("""COMPUTED_VALUE"""),31366.6666666666)</f>
        <v>31366.666666666599</v>
      </c>
      <c r="B1499" s="1">
        <f ca="1">IFERROR(__xludf.DUMMYFUNCTION("""COMPUTED_VALUE"""),198.11)</f>
        <v>198.11</v>
      </c>
    </row>
    <row r="1500" spans="1:2">
      <c r="A1500" s="3">
        <f ca="1">IFERROR(__xludf.DUMMYFUNCTION("""COMPUTED_VALUE"""),31369.6666666666)</f>
        <v>31369.666666666599</v>
      </c>
      <c r="B1500" s="1">
        <f ca="1">IFERROR(__xludf.DUMMYFUNCTION("""COMPUTED_VALUE"""),198.71)</f>
        <v>198.71</v>
      </c>
    </row>
    <row r="1501" spans="1:2">
      <c r="A1501" s="3">
        <f ca="1">IFERROR(__xludf.DUMMYFUNCTION("""COMPUTED_VALUE"""),31370.6666666666)</f>
        <v>31370.666666666599</v>
      </c>
      <c r="B1501" s="1">
        <f ca="1">IFERROR(__xludf.DUMMYFUNCTION("""COMPUTED_VALUE"""),198.67)</f>
        <v>198.67</v>
      </c>
    </row>
    <row r="1502" spans="1:2">
      <c r="A1502" s="3">
        <f ca="1">IFERROR(__xludf.DUMMYFUNCTION("""COMPUTED_VALUE"""),31371.6666666666)</f>
        <v>31371.666666666599</v>
      </c>
      <c r="B1502" s="1">
        <f ca="1">IFERROR(__xludf.DUMMYFUNCTION("""COMPUTED_VALUE"""),198.99)</f>
        <v>198.99</v>
      </c>
    </row>
    <row r="1503" spans="1:2">
      <c r="A1503" s="3">
        <f ca="1">IFERROR(__xludf.DUMMYFUNCTION("""COMPUTED_VALUE"""),31372.6666666666)</f>
        <v>31372.666666666599</v>
      </c>
      <c r="B1503" s="1">
        <f ca="1">IFERROR(__xludf.DUMMYFUNCTION("""COMPUTED_VALUE"""),201.41)</f>
        <v>201.41</v>
      </c>
    </row>
    <row r="1504" spans="1:2">
      <c r="A1504" s="3">
        <f ca="1">IFERROR(__xludf.DUMMYFUNCTION("""COMPUTED_VALUE"""),31373.6666666666)</f>
        <v>31373.666666666599</v>
      </c>
      <c r="B1504" s="1">
        <f ca="1">IFERROR(__xludf.DUMMYFUNCTION("""COMPUTED_VALUE"""),201.52)</f>
        <v>201.52</v>
      </c>
    </row>
    <row r="1505" spans="1:2">
      <c r="A1505" s="3">
        <f ca="1">IFERROR(__xludf.DUMMYFUNCTION("""COMPUTED_VALUE"""),31376.6666666666)</f>
        <v>31376.666666666599</v>
      </c>
      <c r="B1505" s="1">
        <f ca="1">IFERROR(__xludf.DUMMYFUNCTION("""COMPUTED_VALUE"""),200.35)</f>
        <v>200.35</v>
      </c>
    </row>
    <row r="1506" spans="1:2">
      <c r="A1506" s="3">
        <f ca="1">IFERROR(__xludf.DUMMYFUNCTION("""COMPUTED_VALUE"""),31377.6666666666)</f>
        <v>31377.666666666599</v>
      </c>
      <c r="B1506" s="1">
        <f ca="1">IFERROR(__xludf.DUMMYFUNCTION("""COMPUTED_VALUE"""),200.67)</f>
        <v>200.67</v>
      </c>
    </row>
    <row r="1507" spans="1:2">
      <c r="A1507" s="3">
        <f ca="1">IFERROR(__xludf.DUMMYFUNCTION("""COMPUTED_VALUE"""),31378.6666666666)</f>
        <v>31378.666666666599</v>
      </c>
      <c r="B1507" s="1">
        <f ca="1">IFERROR(__xludf.DUMMYFUNCTION("""COMPUTED_VALUE"""),202.54)</f>
        <v>202.54</v>
      </c>
    </row>
    <row r="1508" spans="1:2">
      <c r="A1508" s="3">
        <f ca="1">IFERROR(__xludf.DUMMYFUNCTION("""COMPUTED_VALUE"""),31380.6666666666)</f>
        <v>31380.666666666599</v>
      </c>
      <c r="B1508" s="1">
        <f ca="1">IFERROR(__xludf.DUMMYFUNCTION("""COMPUTED_VALUE"""),202.17)</f>
        <v>202.17</v>
      </c>
    </row>
    <row r="1509" spans="1:2">
      <c r="A1509" s="3">
        <f ca="1">IFERROR(__xludf.DUMMYFUNCTION("""COMPUTED_VALUE"""),31383.6666666666)</f>
        <v>31383.666666666599</v>
      </c>
      <c r="B1509" s="1">
        <f ca="1">IFERROR(__xludf.DUMMYFUNCTION("""COMPUTED_VALUE"""),200.46)</f>
        <v>200.46</v>
      </c>
    </row>
    <row r="1510" spans="1:2">
      <c r="A1510" s="3">
        <f ca="1">IFERROR(__xludf.DUMMYFUNCTION("""COMPUTED_VALUE"""),31384.6666666666)</f>
        <v>31384.666666666599</v>
      </c>
      <c r="B1510" s="1">
        <f ca="1">IFERROR(__xludf.DUMMYFUNCTION("""COMPUTED_VALUE"""),200.86)</f>
        <v>200.86</v>
      </c>
    </row>
    <row r="1511" spans="1:2">
      <c r="A1511" s="3">
        <f ca="1">IFERROR(__xludf.DUMMYFUNCTION("""COMPUTED_VALUE"""),31385.6666666666)</f>
        <v>31385.666666666599</v>
      </c>
      <c r="B1511" s="1">
        <f ca="1">IFERROR(__xludf.DUMMYFUNCTION("""COMPUTED_VALUE"""),204.23)</f>
        <v>204.23</v>
      </c>
    </row>
    <row r="1512" spans="1:2">
      <c r="A1512" s="3">
        <f ca="1">IFERROR(__xludf.DUMMYFUNCTION("""COMPUTED_VALUE"""),31386.6666666666)</f>
        <v>31386.666666666599</v>
      </c>
      <c r="B1512" s="1">
        <f ca="1">IFERROR(__xludf.DUMMYFUNCTION("""COMPUTED_VALUE"""),203.88)</f>
        <v>203.88</v>
      </c>
    </row>
    <row r="1513" spans="1:2">
      <c r="A1513" s="3">
        <f ca="1">IFERROR(__xludf.DUMMYFUNCTION("""COMPUTED_VALUE"""),31387.6666666666)</f>
        <v>31387.666666666599</v>
      </c>
      <c r="B1513" s="1">
        <f ca="1">IFERROR(__xludf.DUMMYFUNCTION("""COMPUTED_VALUE"""),202.99)</f>
        <v>202.99</v>
      </c>
    </row>
    <row r="1514" spans="1:2">
      <c r="A1514" s="3">
        <f ca="1">IFERROR(__xludf.DUMMYFUNCTION("""COMPUTED_VALUE"""),31390.6666666666)</f>
        <v>31390.666666666599</v>
      </c>
      <c r="B1514" s="1">
        <f ca="1">IFERROR(__xludf.DUMMYFUNCTION("""COMPUTED_VALUE"""),204.25)</f>
        <v>204.25</v>
      </c>
    </row>
    <row r="1515" spans="1:2">
      <c r="A1515" s="3">
        <f ca="1">IFERROR(__xludf.DUMMYFUNCTION("""COMPUTED_VALUE"""),31391.6666666666)</f>
        <v>31391.666666666599</v>
      </c>
      <c r="B1515" s="1">
        <f ca="1">IFERROR(__xludf.DUMMYFUNCTION("""COMPUTED_VALUE"""),204.39)</f>
        <v>204.39</v>
      </c>
    </row>
    <row r="1516" spans="1:2">
      <c r="A1516" s="3">
        <f ca="1">IFERROR(__xludf.DUMMYFUNCTION("""COMPUTED_VALUE"""),31392.6666666666)</f>
        <v>31392.666666666599</v>
      </c>
      <c r="B1516" s="1">
        <f ca="1">IFERROR(__xludf.DUMMYFUNCTION("""COMPUTED_VALUE"""),206.31)</f>
        <v>206.31</v>
      </c>
    </row>
    <row r="1517" spans="1:2">
      <c r="A1517" s="3">
        <f ca="1">IFERROR(__xludf.DUMMYFUNCTION("""COMPUTED_VALUE"""),31393.6666666666)</f>
        <v>31393.666666666599</v>
      </c>
      <c r="B1517" s="1">
        <f ca="1">IFERROR(__xludf.DUMMYFUNCTION("""COMPUTED_VALUE"""),206.73)</f>
        <v>206.73</v>
      </c>
    </row>
    <row r="1518" spans="1:2">
      <c r="A1518" s="3">
        <f ca="1">IFERROR(__xludf.DUMMYFUNCTION("""COMPUTED_VALUE"""),31394.6666666666)</f>
        <v>31394.666666666599</v>
      </c>
      <c r="B1518" s="1">
        <f ca="1">IFERROR(__xludf.DUMMYFUNCTION("""COMPUTED_VALUE"""),209.94)</f>
        <v>209.94</v>
      </c>
    </row>
    <row r="1519" spans="1:2">
      <c r="A1519" s="3">
        <f ca="1">IFERROR(__xludf.DUMMYFUNCTION("""COMPUTED_VALUE"""),31397.6666666666)</f>
        <v>31397.666666666599</v>
      </c>
      <c r="B1519" s="1">
        <f ca="1">IFERROR(__xludf.DUMMYFUNCTION("""COMPUTED_VALUE"""),212.02)</f>
        <v>212.02</v>
      </c>
    </row>
    <row r="1520" spans="1:2">
      <c r="A1520" s="3">
        <f ca="1">IFERROR(__xludf.DUMMYFUNCTION("""COMPUTED_VALUE"""),31398.6666666666)</f>
        <v>31398.666666666599</v>
      </c>
      <c r="B1520" s="1">
        <f ca="1">IFERROR(__xludf.DUMMYFUNCTION("""COMPUTED_VALUE"""),210.65)</f>
        <v>210.65</v>
      </c>
    </row>
    <row r="1521" spans="1:2">
      <c r="A1521" s="3">
        <f ca="1">IFERROR(__xludf.DUMMYFUNCTION("""COMPUTED_VALUE"""),31399.6666666666)</f>
        <v>31399.666666666599</v>
      </c>
      <c r="B1521" s="1">
        <f ca="1">IFERROR(__xludf.DUMMYFUNCTION("""COMPUTED_VALUE"""),209.81)</f>
        <v>209.81</v>
      </c>
    </row>
    <row r="1522" spans="1:2">
      <c r="A1522" s="3">
        <f ca="1">IFERROR(__xludf.DUMMYFUNCTION("""COMPUTED_VALUE"""),31400.6666666666)</f>
        <v>31400.666666666599</v>
      </c>
      <c r="B1522" s="1">
        <f ca="1">IFERROR(__xludf.DUMMYFUNCTION("""COMPUTED_VALUE"""),210.02)</f>
        <v>210.02</v>
      </c>
    </row>
    <row r="1523" spans="1:2">
      <c r="A1523" s="3">
        <f ca="1">IFERROR(__xludf.DUMMYFUNCTION("""COMPUTED_VALUE"""),31401.6666666666)</f>
        <v>31401.666666666599</v>
      </c>
      <c r="B1523" s="1">
        <f ca="1">IFERROR(__xludf.DUMMYFUNCTION("""COMPUTED_VALUE"""),210.94)</f>
        <v>210.94</v>
      </c>
    </row>
    <row r="1524" spans="1:2">
      <c r="A1524" s="3">
        <f ca="1">IFERROR(__xludf.DUMMYFUNCTION("""COMPUTED_VALUE"""),31404.6666666666)</f>
        <v>31404.666666666599</v>
      </c>
      <c r="B1524" s="1">
        <f ca="1">IFERROR(__xludf.DUMMYFUNCTION("""COMPUTED_VALUE"""),208.57)</f>
        <v>208.57</v>
      </c>
    </row>
    <row r="1525" spans="1:2">
      <c r="A1525" s="3">
        <f ca="1">IFERROR(__xludf.DUMMYFUNCTION("""COMPUTED_VALUE"""),31405.6666666666)</f>
        <v>31405.666666666599</v>
      </c>
      <c r="B1525" s="1">
        <f ca="1">IFERROR(__xludf.DUMMYFUNCTION("""COMPUTED_VALUE"""),207.14)</f>
        <v>207.14</v>
      </c>
    </row>
    <row r="1526" spans="1:2">
      <c r="A1526" s="3">
        <f ca="1">IFERROR(__xludf.DUMMYFUNCTION("""COMPUTED_VALUE"""),31407.6666666666)</f>
        <v>31407.666666666599</v>
      </c>
      <c r="B1526" s="1">
        <f ca="1">IFERROR(__xludf.DUMMYFUNCTION("""COMPUTED_VALUE"""),207.65)</f>
        <v>207.65</v>
      </c>
    </row>
    <row r="1527" spans="1:2">
      <c r="A1527" s="3">
        <f ca="1">IFERROR(__xludf.DUMMYFUNCTION("""COMPUTED_VALUE"""),31408.6666666666)</f>
        <v>31408.666666666599</v>
      </c>
      <c r="B1527" s="1">
        <f ca="1">IFERROR(__xludf.DUMMYFUNCTION("""COMPUTED_VALUE"""),209.61)</f>
        <v>209.61</v>
      </c>
    </row>
    <row r="1528" spans="1:2">
      <c r="A1528" s="3">
        <f ca="1">IFERROR(__xludf.DUMMYFUNCTION("""COMPUTED_VALUE"""),31411.6666666666)</f>
        <v>31411.666666666599</v>
      </c>
      <c r="B1528" s="1">
        <f ca="1">IFERROR(__xludf.DUMMYFUNCTION("""COMPUTED_VALUE"""),210.68)</f>
        <v>210.68</v>
      </c>
    </row>
    <row r="1529" spans="1:2">
      <c r="A1529" s="3">
        <f ca="1">IFERROR(__xludf.DUMMYFUNCTION("""COMPUTED_VALUE"""),31412.6666666666)</f>
        <v>31412.666666666599</v>
      </c>
      <c r="B1529" s="1">
        <f ca="1">IFERROR(__xludf.DUMMYFUNCTION("""COMPUTED_VALUE"""),211.28)</f>
        <v>211.28</v>
      </c>
    </row>
    <row r="1530" spans="1:2">
      <c r="A1530" s="3">
        <f ca="1">IFERROR(__xludf.DUMMYFUNCTION("""COMPUTED_VALUE"""),31414.6666666666)</f>
        <v>31414.666666666599</v>
      </c>
      <c r="B1530" s="1">
        <f ca="1">IFERROR(__xludf.DUMMYFUNCTION("""COMPUTED_VALUE"""),209.59)</f>
        <v>209.59</v>
      </c>
    </row>
    <row r="1531" spans="1:2">
      <c r="A1531" s="3">
        <f ca="1">IFERROR(__xludf.DUMMYFUNCTION("""COMPUTED_VALUE"""),31415.6666666666)</f>
        <v>31415.666666666599</v>
      </c>
      <c r="B1531" s="1">
        <f ca="1">IFERROR(__xludf.DUMMYFUNCTION("""COMPUTED_VALUE"""),210.88)</f>
        <v>210.88</v>
      </c>
    </row>
    <row r="1532" spans="1:2">
      <c r="A1532" s="3">
        <f ca="1">IFERROR(__xludf.DUMMYFUNCTION("""COMPUTED_VALUE"""),31418.6666666666)</f>
        <v>31418.666666666599</v>
      </c>
      <c r="B1532" s="1">
        <f ca="1">IFERROR(__xludf.DUMMYFUNCTION("""COMPUTED_VALUE"""),210.65)</f>
        <v>210.65</v>
      </c>
    </row>
    <row r="1533" spans="1:2">
      <c r="A1533" s="3">
        <f ca="1">IFERROR(__xludf.DUMMYFUNCTION("""COMPUTED_VALUE"""),31419.6666666666)</f>
        <v>31419.666666666599</v>
      </c>
      <c r="B1533" s="1">
        <f ca="1">IFERROR(__xludf.DUMMYFUNCTION("""COMPUTED_VALUE"""),213.8)</f>
        <v>213.8</v>
      </c>
    </row>
    <row r="1534" spans="1:2">
      <c r="A1534" s="3">
        <f ca="1">IFERROR(__xludf.DUMMYFUNCTION("""COMPUTED_VALUE"""),31420.6666666666)</f>
        <v>31420.666666666599</v>
      </c>
      <c r="B1534" s="1">
        <f ca="1">IFERROR(__xludf.DUMMYFUNCTION("""COMPUTED_VALUE"""),207.97)</f>
        <v>207.97</v>
      </c>
    </row>
    <row r="1535" spans="1:2">
      <c r="A1535" s="3">
        <f ca="1">IFERROR(__xludf.DUMMYFUNCTION("""COMPUTED_VALUE"""),31421.6666666666)</f>
        <v>31421.666666666599</v>
      </c>
      <c r="B1535" s="1">
        <f ca="1">IFERROR(__xludf.DUMMYFUNCTION("""COMPUTED_VALUE"""),206.11)</f>
        <v>206.11</v>
      </c>
    </row>
    <row r="1536" spans="1:2">
      <c r="A1536" s="3">
        <f ca="1">IFERROR(__xludf.DUMMYFUNCTION("""COMPUTED_VALUE"""),31422.6666666666)</f>
        <v>31422.666666666599</v>
      </c>
      <c r="B1536" s="1">
        <f ca="1">IFERROR(__xludf.DUMMYFUNCTION("""COMPUTED_VALUE"""),205.96)</f>
        <v>205.96</v>
      </c>
    </row>
    <row r="1537" spans="1:2">
      <c r="A1537" s="3">
        <f ca="1">IFERROR(__xludf.DUMMYFUNCTION("""COMPUTED_VALUE"""),31425.6666666666)</f>
        <v>31425.666666666599</v>
      </c>
      <c r="B1537" s="1">
        <f ca="1">IFERROR(__xludf.DUMMYFUNCTION("""COMPUTED_VALUE"""),206.72)</f>
        <v>206.72</v>
      </c>
    </row>
    <row r="1538" spans="1:2">
      <c r="A1538" s="3">
        <f ca="1">IFERROR(__xludf.DUMMYFUNCTION("""COMPUTED_VALUE"""),31426.6666666666)</f>
        <v>31426.666666666599</v>
      </c>
      <c r="B1538" s="1">
        <f ca="1">IFERROR(__xludf.DUMMYFUNCTION("""COMPUTED_VALUE"""),206.64)</f>
        <v>206.64</v>
      </c>
    </row>
    <row r="1539" spans="1:2">
      <c r="A1539" s="3">
        <f ca="1">IFERROR(__xludf.DUMMYFUNCTION("""COMPUTED_VALUE"""),31427.6666666666)</f>
        <v>31427.666666666599</v>
      </c>
      <c r="B1539" s="1">
        <f ca="1">IFERROR(__xludf.DUMMYFUNCTION("""COMPUTED_VALUE"""),208.26)</f>
        <v>208.26</v>
      </c>
    </row>
    <row r="1540" spans="1:2">
      <c r="A1540" s="3">
        <f ca="1">IFERROR(__xludf.DUMMYFUNCTION("""COMPUTED_VALUE"""),31428.6666666666)</f>
        <v>31428.666666666599</v>
      </c>
      <c r="B1540" s="1">
        <f ca="1">IFERROR(__xludf.DUMMYFUNCTION("""COMPUTED_VALUE"""),209.17)</f>
        <v>209.17</v>
      </c>
    </row>
    <row r="1541" spans="1:2">
      <c r="A1541" s="3">
        <f ca="1">IFERROR(__xludf.DUMMYFUNCTION("""COMPUTED_VALUE"""),31429.6666666666)</f>
        <v>31429.666666666599</v>
      </c>
      <c r="B1541" s="1">
        <f ca="1">IFERROR(__xludf.DUMMYFUNCTION("""COMPUTED_VALUE"""),208.43)</f>
        <v>208.43</v>
      </c>
    </row>
    <row r="1542" spans="1:2">
      <c r="A1542" s="3">
        <f ca="1">IFERROR(__xludf.DUMMYFUNCTION("""COMPUTED_VALUE"""),31432.6666666666)</f>
        <v>31432.666666666599</v>
      </c>
      <c r="B1542" s="1">
        <f ca="1">IFERROR(__xludf.DUMMYFUNCTION("""COMPUTED_VALUE"""),207.53)</f>
        <v>207.53</v>
      </c>
    </row>
    <row r="1543" spans="1:2">
      <c r="A1543" s="3">
        <f ca="1">IFERROR(__xludf.DUMMYFUNCTION("""COMPUTED_VALUE"""),31433.6666666666)</f>
        <v>31433.666666666599</v>
      </c>
      <c r="B1543" s="1">
        <f ca="1">IFERROR(__xludf.DUMMYFUNCTION("""COMPUTED_VALUE"""),205.79)</f>
        <v>205.79</v>
      </c>
    </row>
    <row r="1544" spans="1:2">
      <c r="A1544" s="3">
        <f ca="1">IFERROR(__xludf.DUMMYFUNCTION("""COMPUTED_VALUE"""),31434.6666666666)</f>
        <v>31434.666666666599</v>
      </c>
      <c r="B1544" s="1">
        <f ca="1">IFERROR(__xludf.DUMMYFUNCTION("""COMPUTED_VALUE"""),203.49)</f>
        <v>203.49</v>
      </c>
    </row>
    <row r="1545" spans="1:2">
      <c r="A1545" s="3">
        <f ca="1">IFERROR(__xludf.DUMMYFUNCTION("""COMPUTED_VALUE"""),31435.6666666666)</f>
        <v>31435.666666666599</v>
      </c>
      <c r="B1545" s="1">
        <f ca="1">IFERROR(__xludf.DUMMYFUNCTION("""COMPUTED_VALUE"""),204.25)</f>
        <v>204.25</v>
      </c>
    </row>
    <row r="1546" spans="1:2">
      <c r="A1546" s="3">
        <f ca="1">IFERROR(__xludf.DUMMYFUNCTION("""COMPUTED_VALUE"""),31436.6666666666)</f>
        <v>31436.666666666599</v>
      </c>
      <c r="B1546" s="1">
        <f ca="1">IFERROR(__xludf.DUMMYFUNCTION("""COMPUTED_VALUE"""),206.43)</f>
        <v>206.43</v>
      </c>
    </row>
    <row r="1547" spans="1:2">
      <c r="A1547" s="3">
        <f ca="1">IFERROR(__xludf.DUMMYFUNCTION("""COMPUTED_VALUE"""),31439.6666666666)</f>
        <v>31439.666666666599</v>
      </c>
      <c r="B1547" s="1">
        <f ca="1">IFERROR(__xludf.DUMMYFUNCTION("""COMPUTED_VALUE"""),207.39)</f>
        <v>207.39</v>
      </c>
    </row>
    <row r="1548" spans="1:2">
      <c r="A1548" s="3">
        <f ca="1">IFERROR(__xludf.DUMMYFUNCTION("""COMPUTED_VALUE"""),31440.6666666666)</f>
        <v>31440.666666666599</v>
      </c>
      <c r="B1548" s="1">
        <f ca="1">IFERROR(__xludf.DUMMYFUNCTION("""COMPUTED_VALUE"""),209.81)</f>
        <v>209.81</v>
      </c>
    </row>
    <row r="1549" spans="1:2">
      <c r="A1549" s="3">
        <f ca="1">IFERROR(__xludf.DUMMYFUNCTION("""COMPUTED_VALUE"""),31441.6666666666)</f>
        <v>31441.666666666599</v>
      </c>
      <c r="B1549" s="1">
        <f ca="1">IFERROR(__xludf.DUMMYFUNCTION("""COMPUTED_VALUE"""),210.29)</f>
        <v>210.29</v>
      </c>
    </row>
    <row r="1550" spans="1:2">
      <c r="A1550" s="3">
        <f ca="1">IFERROR(__xludf.DUMMYFUNCTION("""COMPUTED_VALUE"""),31442.6666666666)</f>
        <v>31442.666666666599</v>
      </c>
      <c r="B1550" s="1">
        <f ca="1">IFERROR(__xludf.DUMMYFUNCTION("""COMPUTED_VALUE"""),209.33)</f>
        <v>209.33</v>
      </c>
    </row>
    <row r="1551" spans="1:2">
      <c r="A1551" s="3">
        <f ca="1">IFERROR(__xludf.DUMMYFUNCTION("""COMPUTED_VALUE"""),31443.6666666666)</f>
        <v>31443.666666666599</v>
      </c>
      <c r="B1551" s="1">
        <f ca="1">IFERROR(__xludf.DUMMYFUNCTION("""COMPUTED_VALUE"""),211.78)</f>
        <v>211.78</v>
      </c>
    </row>
    <row r="1552" spans="1:2">
      <c r="A1552" s="3">
        <f ca="1">IFERROR(__xludf.DUMMYFUNCTION("""COMPUTED_VALUE"""),31446.6666666666)</f>
        <v>31446.666666666599</v>
      </c>
      <c r="B1552" s="1">
        <f ca="1">IFERROR(__xludf.DUMMYFUNCTION("""COMPUTED_VALUE"""),213.96)</f>
        <v>213.96</v>
      </c>
    </row>
    <row r="1553" spans="1:2">
      <c r="A1553" s="3">
        <f ca="1">IFERROR(__xludf.DUMMYFUNCTION("""COMPUTED_VALUE"""),31447.6666666666)</f>
        <v>31447.666666666599</v>
      </c>
      <c r="B1553" s="1">
        <f ca="1">IFERROR(__xludf.DUMMYFUNCTION("""COMPUTED_VALUE"""),212.79)</f>
        <v>212.79</v>
      </c>
    </row>
    <row r="1554" spans="1:2">
      <c r="A1554" s="3">
        <f ca="1">IFERROR(__xludf.DUMMYFUNCTION("""COMPUTED_VALUE"""),31448.6666666666)</f>
        <v>31448.666666666599</v>
      </c>
      <c r="B1554" s="1">
        <f ca="1">IFERROR(__xludf.DUMMYFUNCTION("""COMPUTED_VALUE"""),212.96)</f>
        <v>212.96</v>
      </c>
    </row>
    <row r="1555" spans="1:2">
      <c r="A1555" s="3">
        <f ca="1">IFERROR(__xludf.DUMMYFUNCTION("""COMPUTED_VALUE"""),31449.6666666666)</f>
        <v>31449.666666666599</v>
      </c>
      <c r="B1555" s="1">
        <f ca="1">IFERROR(__xludf.DUMMYFUNCTION("""COMPUTED_VALUE"""),213.47)</f>
        <v>213.47</v>
      </c>
    </row>
    <row r="1556" spans="1:2">
      <c r="A1556" s="3">
        <f ca="1">IFERROR(__xludf.DUMMYFUNCTION("""COMPUTED_VALUE"""),31450.6666666666)</f>
        <v>31450.666666666599</v>
      </c>
      <c r="B1556" s="1">
        <f ca="1">IFERROR(__xludf.DUMMYFUNCTION("""COMPUTED_VALUE"""),214.56)</f>
        <v>214.56</v>
      </c>
    </row>
    <row r="1557" spans="1:2">
      <c r="A1557" s="3">
        <f ca="1">IFERROR(__xludf.DUMMYFUNCTION("""COMPUTED_VALUE"""),31453.6666666666)</f>
        <v>31453.666666666599</v>
      </c>
      <c r="B1557" s="1">
        <f ca="1">IFERROR(__xludf.DUMMYFUNCTION("""COMPUTED_VALUE"""),216.24)</f>
        <v>216.24</v>
      </c>
    </row>
    <row r="1558" spans="1:2">
      <c r="A1558" s="3">
        <f ca="1">IFERROR(__xludf.DUMMYFUNCTION("""COMPUTED_VALUE"""),31454.6666666666)</f>
        <v>31454.666666666599</v>
      </c>
      <c r="B1558" s="1">
        <f ca="1">IFERROR(__xludf.DUMMYFUNCTION("""COMPUTED_VALUE"""),215.92)</f>
        <v>215.92</v>
      </c>
    </row>
    <row r="1559" spans="1:2">
      <c r="A1559" s="3">
        <f ca="1">IFERROR(__xludf.DUMMYFUNCTION("""COMPUTED_VALUE"""),31455.6666666666)</f>
        <v>31455.666666666599</v>
      </c>
      <c r="B1559" s="1">
        <f ca="1">IFERROR(__xludf.DUMMYFUNCTION("""COMPUTED_VALUE"""),215.97)</f>
        <v>215.97</v>
      </c>
    </row>
    <row r="1560" spans="1:2">
      <c r="A1560" s="3">
        <f ca="1">IFERROR(__xludf.DUMMYFUNCTION("""COMPUTED_VALUE"""),31456.6666666666)</f>
        <v>31456.666666666599</v>
      </c>
      <c r="B1560" s="1">
        <f ca="1">IFERROR(__xludf.DUMMYFUNCTION("""COMPUTED_VALUE"""),217.4)</f>
        <v>217.4</v>
      </c>
    </row>
    <row r="1561" spans="1:2">
      <c r="A1561" s="3">
        <f ca="1">IFERROR(__xludf.DUMMYFUNCTION("""COMPUTED_VALUE"""),31457.6666666666)</f>
        <v>31457.666666666599</v>
      </c>
      <c r="B1561" s="1">
        <f ca="1">IFERROR(__xludf.DUMMYFUNCTION("""COMPUTED_VALUE"""),219.76)</f>
        <v>219.76</v>
      </c>
    </row>
    <row r="1562" spans="1:2">
      <c r="A1562" s="3">
        <f ca="1">IFERROR(__xludf.DUMMYFUNCTION("""COMPUTED_VALUE"""),31461.6666666666)</f>
        <v>31461.666666666599</v>
      </c>
      <c r="B1562" s="1">
        <f ca="1">IFERROR(__xludf.DUMMYFUNCTION("""COMPUTED_VALUE"""),222.45)</f>
        <v>222.45</v>
      </c>
    </row>
    <row r="1563" spans="1:2">
      <c r="A1563" s="3">
        <f ca="1">IFERROR(__xludf.DUMMYFUNCTION("""COMPUTED_VALUE"""),31462.6666666666)</f>
        <v>31462.666666666599</v>
      </c>
      <c r="B1563" s="1">
        <f ca="1">IFERROR(__xludf.DUMMYFUNCTION("""COMPUTED_VALUE"""),219.76)</f>
        <v>219.76</v>
      </c>
    </row>
    <row r="1564" spans="1:2">
      <c r="A1564" s="3">
        <f ca="1">IFERROR(__xludf.DUMMYFUNCTION("""COMPUTED_VALUE"""),31463.6666666666)</f>
        <v>31463.666666666599</v>
      </c>
      <c r="B1564" s="1">
        <f ca="1">IFERROR(__xludf.DUMMYFUNCTION("""COMPUTED_VALUE"""),222.22)</f>
        <v>222.22</v>
      </c>
    </row>
    <row r="1565" spans="1:2">
      <c r="A1565" s="3">
        <f ca="1">IFERROR(__xludf.DUMMYFUNCTION("""COMPUTED_VALUE"""),31464.6666666666)</f>
        <v>31464.666666666599</v>
      </c>
      <c r="B1565" s="1">
        <f ca="1">IFERROR(__xludf.DUMMYFUNCTION("""COMPUTED_VALUE"""),224.62)</f>
        <v>224.62</v>
      </c>
    </row>
    <row r="1566" spans="1:2">
      <c r="A1566" s="3">
        <f ca="1">IFERROR(__xludf.DUMMYFUNCTION("""COMPUTED_VALUE"""),31467.6666666666)</f>
        <v>31467.666666666599</v>
      </c>
      <c r="B1566" s="1">
        <f ca="1">IFERROR(__xludf.DUMMYFUNCTION("""COMPUTED_VALUE"""),224.34)</f>
        <v>224.34</v>
      </c>
    </row>
    <row r="1567" spans="1:2">
      <c r="A1567" s="3">
        <f ca="1">IFERROR(__xludf.DUMMYFUNCTION("""COMPUTED_VALUE"""),31468.6666666666)</f>
        <v>31468.666666666599</v>
      </c>
      <c r="B1567" s="1">
        <f ca="1">IFERROR(__xludf.DUMMYFUNCTION("""COMPUTED_VALUE"""),223.79)</f>
        <v>223.79</v>
      </c>
    </row>
    <row r="1568" spans="1:2">
      <c r="A1568" s="3">
        <f ca="1">IFERROR(__xludf.DUMMYFUNCTION("""COMPUTED_VALUE"""),31469.6666666666)</f>
        <v>31469.666666666599</v>
      </c>
      <c r="B1568" s="1">
        <f ca="1">IFERROR(__xludf.DUMMYFUNCTION("""COMPUTED_VALUE"""),224.04)</f>
        <v>224.04</v>
      </c>
    </row>
    <row r="1569" spans="1:2">
      <c r="A1569" s="3">
        <f ca="1">IFERROR(__xludf.DUMMYFUNCTION("""COMPUTED_VALUE"""),31470.6666666666)</f>
        <v>31470.666666666599</v>
      </c>
      <c r="B1569" s="1">
        <f ca="1">IFERROR(__xludf.DUMMYFUNCTION("""COMPUTED_VALUE"""),226.77)</f>
        <v>226.77</v>
      </c>
    </row>
    <row r="1570" spans="1:2">
      <c r="A1570" s="3">
        <f ca="1">IFERROR(__xludf.DUMMYFUNCTION("""COMPUTED_VALUE"""),31471.6666666666)</f>
        <v>31471.666666666599</v>
      </c>
      <c r="B1570" s="1">
        <f ca="1">IFERROR(__xludf.DUMMYFUNCTION("""COMPUTED_VALUE"""),226.92)</f>
        <v>226.92</v>
      </c>
    </row>
    <row r="1571" spans="1:2">
      <c r="A1571" s="3">
        <f ca="1">IFERROR(__xludf.DUMMYFUNCTION("""COMPUTED_VALUE"""),31474.6666666666)</f>
        <v>31474.666666666599</v>
      </c>
      <c r="B1571" s="1">
        <f ca="1">IFERROR(__xludf.DUMMYFUNCTION("""COMPUTED_VALUE"""),225.42)</f>
        <v>225.42</v>
      </c>
    </row>
    <row r="1572" spans="1:2">
      <c r="A1572" s="3">
        <f ca="1">IFERROR(__xludf.DUMMYFUNCTION("""COMPUTED_VALUE"""),31475.6666666666)</f>
        <v>31475.666666666599</v>
      </c>
      <c r="B1572" s="1">
        <f ca="1">IFERROR(__xludf.DUMMYFUNCTION("""COMPUTED_VALUE"""),224.38)</f>
        <v>224.38</v>
      </c>
    </row>
    <row r="1573" spans="1:2">
      <c r="A1573" s="3">
        <f ca="1">IFERROR(__xludf.DUMMYFUNCTION("""COMPUTED_VALUE"""),31476.6666666666)</f>
        <v>31476.666666666599</v>
      </c>
      <c r="B1573" s="1">
        <f ca="1">IFERROR(__xludf.DUMMYFUNCTION("""COMPUTED_VALUE"""),224.34)</f>
        <v>224.34</v>
      </c>
    </row>
    <row r="1574" spans="1:2">
      <c r="A1574" s="3">
        <f ca="1">IFERROR(__xludf.DUMMYFUNCTION("""COMPUTED_VALUE"""),31477.6666666666)</f>
        <v>31477.666666666599</v>
      </c>
      <c r="B1574" s="1">
        <f ca="1">IFERROR(__xludf.DUMMYFUNCTION("""COMPUTED_VALUE"""),225.13)</f>
        <v>225.13</v>
      </c>
    </row>
    <row r="1575" spans="1:2">
      <c r="A1575" s="3">
        <f ca="1">IFERROR(__xludf.DUMMYFUNCTION("""COMPUTED_VALUE"""),31478.6666666666)</f>
        <v>31478.666666666599</v>
      </c>
      <c r="B1575" s="1">
        <f ca="1">IFERROR(__xludf.DUMMYFUNCTION("""COMPUTED_VALUE"""),225.57)</f>
        <v>225.57</v>
      </c>
    </row>
    <row r="1576" spans="1:2">
      <c r="A1576" s="3">
        <f ca="1">IFERROR(__xludf.DUMMYFUNCTION("""COMPUTED_VALUE"""),31481.6666666666)</f>
        <v>31481.666666666599</v>
      </c>
      <c r="B1576" s="1">
        <f ca="1">IFERROR(__xludf.DUMMYFUNCTION("""COMPUTED_VALUE"""),226.58)</f>
        <v>226.58</v>
      </c>
    </row>
    <row r="1577" spans="1:2">
      <c r="A1577" s="3">
        <f ca="1">IFERROR(__xludf.DUMMYFUNCTION("""COMPUTED_VALUE"""),31482.6666666666)</f>
        <v>31482.666666666599</v>
      </c>
      <c r="B1577" s="1">
        <f ca="1">IFERROR(__xludf.DUMMYFUNCTION("""COMPUTED_VALUE"""),231.69)</f>
        <v>231.69</v>
      </c>
    </row>
    <row r="1578" spans="1:2">
      <c r="A1578" s="3">
        <f ca="1">IFERROR(__xludf.DUMMYFUNCTION("""COMPUTED_VALUE"""),31483.6666666666)</f>
        <v>31483.666666666599</v>
      </c>
      <c r="B1578" s="1">
        <f ca="1">IFERROR(__xludf.DUMMYFUNCTION("""COMPUTED_VALUE"""),232.54)</f>
        <v>232.54</v>
      </c>
    </row>
    <row r="1579" spans="1:2">
      <c r="A1579" s="3">
        <f ca="1">IFERROR(__xludf.DUMMYFUNCTION("""COMPUTED_VALUE"""),31484.6666666666)</f>
        <v>31484.666666666599</v>
      </c>
      <c r="B1579" s="1">
        <f ca="1">IFERROR(__xludf.DUMMYFUNCTION("""COMPUTED_VALUE"""),233.19)</f>
        <v>233.19</v>
      </c>
    </row>
    <row r="1580" spans="1:2">
      <c r="A1580" s="3">
        <f ca="1">IFERROR(__xludf.DUMMYFUNCTION("""COMPUTED_VALUE"""),31485.6666666666)</f>
        <v>31485.666666666599</v>
      </c>
      <c r="B1580" s="1">
        <f ca="1">IFERROR(__xludf.DUMMYFUNCTION("""COMPUTED_VALUE"""),236.55)</f>
        <v>236.55</v>
      </c>
    </row>
    <row r="1581" spans="1:2">
      <c r="A1581" s="3">
        <f ca="1">IFERROR(__xludf.DUMMYFUNCTION("""COMPUTED_VALUE"""),31488.6666666666)</f>
        <v>31488.666666666599</v>
      </c>
      <c r="B1581" s="1">
        <f ca="1">IFERROR(__xludf.DUMMYFUNCTION("""COMPUTED_VALUE"""),234.67)</f>
        <v>234.67</v>
      </c>
    </row>
    <row r="1582" spans="1:2">
      <c r="A1582" s="3">
        <f ca="1">IFERROR(__xludf.DUMMYFUNCTION("""COMPUTED_VALUE"""),31489.6666666666)</f>
        <v>31489.666666666599</v>
      </c>
      <c r="B1582" s="1">
        <f ca="1">IFERROR(__xludf.DUMMYFUNCTION("""COMPUTED_VALUE"""),235.78)</f>
        <v>235.78</v>
      </c>
    </row>
    <row r="1583" spans="1:2">
      <c r="A1583" s="3">
        <f ca="1">IFERROR(__xludf.DUMMYFUNCTION("""COMPUTED_VALUE"""),31490.6666666666)</f>
        <v>31490.666666666599</v>
      </c>
      <c r="B1583" s="1">
        <f ca="1">IFERROR(__xludf.DUMMYFUNCTION("""COMPUTED_VALUE"""),235.6)</f>
        <v>235.6</v>
      </c>
    </row>
    <row r="1584" spans="1:2">
      <c r="A1584" s="3">
        <f ca="1">IFERROR(__xludf.DUMMYFUNCTION("""COMPUTED_VALUE"""),31491.6666666666)</f>
        <v>31491.666666666599</v>
      </c>
      <c r="B1584" s="1">
        <f ca="1">IFERROR(__xludf.DUMMYFUNCTION("""COMPUTED_VALUE"""),236.54)</f>
        <v>236.54</v>
      </c>
    </row>
    <row r="1585" spans="1:2">
      <c r="A1585" s="3">
        <f ca="1">IFERROR(__xludf.DUMMYFUNCTION("""COMPUTED_VALUE"""),31492.6666666666)</f>
        <v>31492.666666666599</v>
      </c>
      <c r="B1585" s="1">
        <f ca="1">IFERROR(__xludf.DUMMYFUNCTION("""COMPUTED_VALUE"""),233.34)</f>
        <v>233.34</v>
      </c>
    </row>
    <row r="1586" spans="1:2">
      <c r="A1586" s="3">
        <f ca="1">IFERROR(__xludf.DUMMYFUNCTION("""COMPUTED_VALUE"""),31495.6666666666)</f>
        <v>31495.666666666599</v>
      </c>
      <c r="B1586" s="1">
        <f ca="1">IFERROR(__xludf.DUMMYFUNCTION("""COMPUTED_VALUE"""),235.33)</f>
        <v>235.33</v>
      </c>
    </row>
    <row r="1587" spans="1:2">
      <c r="A1587" s="3">
        <f ca="1">IFERROR(__xludf.DUMMYFUNCTION("""COMPUTED_VALUE"""),31496.6666666666)</f>
        <v>31496.666666666599</v>
      </c>
      <c r="B1587" s="1">
        <f ca="1">IFERROR(__xludf.DUMMYFUNCTION("""COMPUTED_VALUE"""),234.72)</f>
        <v>234.72</v>
      </c>
    </row>
    <row r="1588" spans="1:2">
      <c r="A1588" s="3">
        <f ca="1">IFERROR(__xludf.DUMMYFUNCTION("""COMPUTED_VALUE"""),31497.6666666666)</f>
        <v>31497.666666666599</v>
      </c>
      <c r="B1588" s="1">
        <f ca="1">IFERROR(__xludf.DUMMYFUNCTION("""COMPUTED_VALUE"""),237.3)</f>
        <v>237.3</v>
      </c>
    </row>
    <row r="1589" spans="1:2">
      <c r="A1589" s="3">
        <f ca="1">IFERROR(__xludf.DUMMYFUNCTION("""COMPUTED_VALUE"""),31498.6666666666)</f>
        <v>31498.666666666599</v>
      </c>
      <c r="B1589" s="1">
        <f ca="1">IFERROR(__xludf.DUMMYFUNCTION("""COMPUTED_VALUE"""),238.97)</f>
        <v>238.97</v>
      </c>
    </row>
    <row r="1590" spans="1:2">
      <c r="A1590" s="3">
        <f ca="1">IFERROR(__xludf.DUMMYFUNCTION("""COMPUTED_VALUE"""),31499.6666666666)</f>
        <v>31499.666666666599</v>
      </c>
      <c r="B1590" s="1">
        <f ca="1">IFERROR(__xludf.DUMMYFUNCTION("""COMPUTED_VALUE"""),238.9)</f>
        <v>238.9</v>
      </c>
    </row>
    <row r="1591" spans="1:2">
      <c r="A1591" s="3">
        <f ca="1">IFERROR(__xludf.DUMMYFUNCTION("""COMPUTED_VALUE"""),31502.6666666666)</f>
        <v>31502.666666666599</v>
      </c>
      <c r="B1591" s="1">
        <f ca="1">IFERROR(__xludf.DUMMYFUNCTION("""COMPUTED_VALUE"""),238.9)</f>
        <v>238.9</v>
      </c>
    </row>
    <row r="1592" spans="1:2">
      <c r="A1592" s="3">
        <f ca="1">IFERROR(__xludf.DUMMYFUNCTION("""COMPUTED_VALUE"""),31503.6666666666)</f>
        <v>31503.666666666599</v>
      </c>
      <c r="B1592" s="1">
        <f ca="1">IFERROR(__xludf.DUMMYFUNCTION("""COMPUTED_VALUE"""),235.14)</f>
        <v>235.14</v>
      </c>
    </row>
    <row r="1593" spans="1:2">
      <c r="A1593" s="3">
        <f ca="1">IFERROR(__xludf.DUMMYFUNCTION("""COMPUTED_VALUE"""),31504.6666666666)</f>
        <v>31504.666666666599</v>
      </c>
      <c r="B1593" s="1">
        <f ca="1">IFERROR(__xludf.DUMMYFUNCTION("""COMPUTED_VALUE"""),235.71)</f>
        <v>235.71</v>
      </c>
    </row>
    <row r="1594" spans="1:2">
      <c r="A1594" s="3">
        <f ca="1">IFERROR(__xludf.DUMMYFUNCTION("""COMPUTED_VALUE"""),31505.6666666666)</f>
        <v>31505.666666666599</v>
      </c>
      <c r="B1594" s="1">
        <f ca="1">IFERROR(__xludf.DUMMYFUNCTION("""COMPUTED_VALUE"""),232.47)</f>
        <v>232.47</v>
      </c>
    </row>
    <row r="1595" spans="1:2">
      <c r="A1595" s="3">
        <f ca="1">IFERROR(__xludf.DUMMYFUNCTION("""COMPUTED_VALUE"""),31506.6666666666)</f>
        <v>31506.666666666599</v>
      </c>
      <c r="B1595" s="1">
        <f ca="1">IFERROR(__xludf.DUMMYFUNCTION("""COMPUTED_VALUE"""),228.69)</f>
        <v>228.69</v>
      </c>
    </row>
    <row r="1596" spans="1:2">
      <c r="A1596" s="3">
        <f ca="1">IFERROR(__xludf.DUMMYFUNCTION("""COMPUTED_VALUE"""),31509.6666666666)</f>
        <v>31509.666666666599</v>
      </c>
      <c r="B1596" s="1">
        <f ca="1">IFERROR(__xludf.DUMMYFUNCTION("""COMPUTED_VALUE"""),228.63)</f>
        <v>228.63</v>
      </c>
    </row>
    <row r="1597" spans="1:2">
      <c r="A1597" s="3">
        <f ca="1">IFERROR(__xludf.DUMMYFUNCTION("""COMPUTED_VALUE"""),31510.6666666666)</f>
        <v>31510.666666666599</v>
      </c>
      <c r="B1597" s="1">
        <f ca="1">IFERROR(__xludf.DUMMYFUNCTION("""COMPUTED_VALUE"""),233.52)</f>
        <v>233.52</v>
      </c>
    </row>
    <row r="1598" spans="1:2">
      <c r="A1598" s="3">
        <f ca="1">IFERROR(__xludf.DUMMYFUNCTION("""COMPUTED_VALUE"""),31511.6666666666)</f>
        <v>31511.666666666599</v>
      </c>
      <c r="B1598" s="1">
        <f ca="1">IFERROR(__xludf.DUMMYFUNCTION("""COMPUTED_VALUE"""),233.75)</f>
        <v>233.75</v>
      </c>
    </row>
    <row r="1599" spans="1:2">
      <c r="A1599" s="3">
        <f ca="1">IFERROR(__xludf.DUMMYFUNCTION("""COMPUTED_VALUE"""),31512.6666666666)</f>
        <v>31512.666666666599</v>
      </c>
      <c r="B1599" s="1">
        <f ca="1">IFERROR(__xludf.DUMMYFUNCTION("""COMPUTED_VALUE"""),236.44)</f>
        <v>236.44</v>
      </c>
    </row>
    <row r="1600" spans="1:2">
      <c r="A1600" s="3">
        <f ca="1">IFERROR(__xludf.DUMMYFUNCTION("""COMPUTED_VALUE"""),31513.6666666666)</f>
        <v>31513.666666666599</v>
      </c>
      <c r="B1600" s="1">
        <f ca="1">IFERROR(__xludf.DUMMYFUNCTION("""COMPUTED_VALUE"""),235.97)</f>
        <v>235.97</v>
      </c>
    </row>
    <row r="1601" spans="1:2">
      <c r="A1601" s="3">
        <f ca="1">IFERROR(__xludf.DUMMYFUNCTION("""COMPUTED_VALUE"""),31516.6666666666)</f>
        <v>31516.666666666599</v>
      </c>
      <c r="B1601" s="1">
        <f ca="1">IFERROR(__xludf.DUMMYFUNCTION("""COMPUTED_VALUE"""),237.28)</f>
        <v>237.28</v>
      </c>
    </row>
    <row r="1602" spans="1:2">
      <c r="A1602" s="3">
        <f ca="1">IFERROR(__xludf.DUMMYFUNCTION("""COMPUTED_VALUE"""),31517.6666666666)</f>
        <v>31517.666666666599</v>
      </c>
      <c r="B1602" s="1">
        <f ca="1">IFERROR(__xludf.DUMMYFUNCTION("""COMPUTED_VALUE"""),237.73)</f>
        <v>237.73</v>
      </c>
    </row>
    <row r="1603" spans="1:2">
      <c r="A1603" s="3">
        <f ca="1">IFERROR(__xludf.DUMMYFUNCTION("""COMPUTED_VALUE"""),31518.6666666666)</f>
        <v>31518.666666666599</v>
      </c>
      <c r="B1603" s="1">
        <f ca="1">IFERROR(__xludf.DUMMYFUNCTION("""COMPUTED_VALUE"""),242.22)</f>
        <v>242.22</v>
      </c>
    </row>
    <row r="1604" spans="1:2">
      <c r="A1604" s="3">
        <f ca="1">IFERROR(__xludf.DUMMYFUNCTION("""COMPUTED_VALUE"""),31519.6666666666)</f>
        <v>31519.666666666599</v>
      </c>
      <c r="B1604" s="1">
        <f ca="1">IFERROR(__xludf.DUMMYFUNCTION("""COMPUTED_VALUE"""),243.03)</f>
        <v>243.03</v>
      </c>
    </row>
    <row r="1605" spans="1:2">
      <c r="A1605" s="3">
        <f ca="1">IFERROR(__xludf.DUMMYFUNCTION("""COMPUTED_VALUE"""),31520.6666666666)</f>
        <v>31520.666666666599</v>
      </c>
      <c r="B1605" s="1">
        <f ca="1">IFERROR(__xludf.DUMMYFUNCTION("""COMPUTED_VALUE"""),242.38)</f>
        <v>242.38</v>
      </c>
    </row>
    <row r="1606" spans="1:2">
      <c r="A1606" s="3">
        <f ca="1">IFERROR(__xludf.DUMMYFUNCTION("""COMPUTED_VALUE"""),31523.6666666666)</f>
        <v>31523.666666666599</v>
      </c>
      <c r="B1606" s="1">
        <f ca="1">IFERROR(__xludf.DUMMYFUNCTION("""COMPUTED_VALUE"""),244.74)</f>
        <v>244.74</v>
      </c>
    </row>
    <row r="1607" spans="1:2">
      <c r="A1607" s="3">
        <f ca="1">IFERROR(__xludf.DUMMYFUNCTION("""COMPUTED_VALUE"""),31524.6666666666)</f>
        <v>31524.666666666599</v>
      </c>
      <c r="B1607" s="1">
        <f ca="1">IFERROR(__xludf.DUMMYFUNCTION("""COMPUTED_VALUE"""),242.42)</f>
        <v>242.42</v>
      </c>
    </row>
    <row r="1608" spans="1:2">
      <c r="A1608" s="3">
        <f ca="1">IFERROR(__xludf.DUMMYFUNCTION("""COMPUTED_VALUE"""),31525.6666666666)</f>
        <v>31525.666666666599</v>
      </c>
      <c r="B1608" s="1">
        <f ca="1">IFERROR(__xludf.DUMMYFUNCTION("""COMPUTED_VALUE"""),241.75)</f>
        <v>241.75</v>
      </c>
    </row>
    <row r="1609" spans="1:2">
      <c r="A1609" s="3">
        <f ca="1">IFERROR(__xludf.DUMMYFUNCTION("""COMPUTED_VALUE"""),31526.6666666666)</f>
        <v>31526.666666666599</v>
      </c>
      <c r="B1609" s="1">
        <f ca="1">IFERROR(__xludf.DUMMYFUNCTION("""COMPUTED_VALUE"""),242.02)</f>
        <v>242.02</v>
      </c>
    </row>
    <row r="1610" spans="1:2">
      <c r="A1610" s="3">
        <f ca="1">IFERROR(__xludf.DUMMYFUNCTION("""COMPUTED_VALUE"""),31527.6666666666)</f>
        <v>31527.666666666599</v>
      </c>
      <c r="B1610" s="1">
        <f ca="1">IFERROR(__xludf.DUMMYFUNCTION("""COMPUTED_VALUE"""),242.29)</f>
        <v>242.29</v>
      </c>
    </row>
    <row r="1611" spans="1:2">
      <c r="A1611" s="3">
        <f ca="1">IFERROR(__xludf.DUMMYFUNCTION("""COMPUTED_VALUE"""),31530.6666666666)</f>
        <v>31530.666666666599</v>
      </c>
      <c r="B1611" s="1">
        <f ca="1">IFERROR(__xludf.DUMMYFUNCTION("""COMPUTED_VALUE"""),243.08)</f>
        <v>243.08</v>
      </c>
    </row>
    <row r="1612" spans="1:2">
      <c r="A1612" s="3">
        <f ca="1">IFERROR(__xludf.DUMMYFUNCTION("""COMPUTED_VALUE"""),31531.6666666666)</f>
        <v>31531.666666666599</v>
      </c>
      <c r="B1612" s="1">
        <f ca="1">IFERROR(__xludf.DUMMYFUNCTION("""COMPUTED_VALUE"""),240.51)</f>
        <v>240.51</v>
      </c>
    </row>
    <row r="1613" spans="1:2">
      <c r="A1613" s="3">
        <f ca="1">IFERROR(__xludf.DUMMYFUNCTION("""COMPUTED_VALUE"""),31532.6666666666)</f>
        <v>31532.666666666599</v>
      </c>
      <c r="B1613" s="1">
        <f ca="1">IFERROR(__xludf.DUMMYFUNCTION("""COMPUTED_VALUE"""),235.52)</f>
        <v>235.52</v>
      </c>
    </row>
    <row r="1614" spans="1:2">
      <c r="A1614" s="3">
        <f ca="1">IFERROR(__xludf.DUMMYFUNCTION("""COMPUTED_VALUE"""),31533.6666666666)</f>
        <v>31533.666666666599</v>
      </c>
      <c r="B1614" s="1">
        <f ca="1">IFERROR(__xludf.DUMMYFUNCTION("""COMPUTED_VALUE"""),235.16)</f>
        <v>235.16</v>
      </c>
    </row>
    <row r="1615" spans="1:2">
      <c r="A1615" s="3">
        <f ca="1">IFERROR(__xludf.DUMMYFUNCTION("""COMPUTED_VALUE"""),31534.6666666666)</f>
        <v>31534.666666666599</v>
      </c>
      <c r="B1615" s="1">
        <f ca="1">IFERROR(__xludf.DUMMYFUNCTION("""COMPUTED_VALUE"""),234.79)</f>
        <v>234.79</v>
      </c>
    </row>
    <row r="1616" spans="1:2">
      <c r="A1616" s="3">
        <f ca="1">IFERROR(__xludf.DUMMYFUNCTION("""COMPUTED_VALUE"""),31537.6666666666)</f>
        <v>31537.666666666599</v>
      </c>
      <c r="B1616" s="1">
        <f ca="1">IFERROR(__xludf.DUMMYFUNCTION("""COMPUTED_VALUE"""),237.73)</f>
        <v>237.73</v>
      </c>
    </row>
    <row r="1617" spans="1:2">
      <c r="A1617" s="3">
        <f ca="1">IFERROR(__xludf.DUMMYFUNCTION("""COMPUTED_VALUE"""),31538.6666666666)</f>
        <v>31538.666666666599</v>
      </c>
      <c r="B1617" s="1">
        <f ca="1">IFERROR(__xludf.DUMMYFUNCTION("""COMPUTED_VALUE"""),237.24)</f>
        <v>237.24</v>
      </c>
    </row>
    <row r="1618" spans="1:2">
      <c r="A1618" s="3">
        <f ca="1">IFERROR(__xludf.DUMMYFUNCTION("""COMPUTED_VALUE"""),31539.6666666666)</f>
        <v>31539.666666666599</v>
      </c>
      <c r="B1618" s="1">
        <f ca="1">IFERROR(__xludf.DUMMYFUNCTION("""COMPUTED_VALUE"""),236.08)</f>
        <v>236.08</v>
      </c>
    </row>
    <row r="1619" spans="1:2">
      <c r="A1619" s="3">
        <f ca="1">IFERROR(__xludf.DUMMYFUNCTION("""COMPUTED_VALUE"""),31540.6666666666)</f>
        <v>31540.666666666599</v>
      </c>
      <c r="B1619" s="1">
        <f ca="1">IFERROR(__xludf.DUMMYFUNCTION("""COMPUTED_VALUE"""),237.13)</f>
        <v>237.13</v>
      </c>
    </row>
    <row r="1620" spans="1:2">
      <c r="A1620" s="3">
        <f ca="1">IFERROR(__xludf.DUMMYFUNCTION("""COMPUTED_VALUE"""),31541.6666666666)</f>
        <v>31541.666666666599</v>
      </c>
      <c r="B1620" s="1">
        <f ca="1">IFERROR(__xludf.DUMMYFUNCTION("""COMPUTED_VALUE"""),237.85)</f>
        <v>237.85</v>
      </c>
    </row>
    <row r="1621" spans="1:2">
      <c r="A1621" s="3">
        <f ca="1">IFERROR(__xludf.DUMMYFUNCTION("""COMPUTED_VALUE"""),31544.6666666666)</f>
        <v>31544.666666666599</v>
      </c>
      <c r="B1621" s="1">
        <f ca="1">IFERROR(__xludf.DUMMYFUNCTION("""COMPUTED_VALUE"""),237.58)</f>
        <v>237.58</v>
      </c>
    </row>
    <row r="1622" spans="1:2">
      <c r="A1622" s="3">
        <f ca="1">IFERROR(__xludf.DUMMYFUNCTION("""COMPUTED_VALUE"""),31545.6666666666)</f>
        <v>31545.666666666599</v>
      </c>
      <c r="B1622" s="1">
        <f ca="1">IFERROR(__xludf.DUMMYFUNCTION("""COMPUTED_VALUE"""),236.41)</f>
        <v>236.41</v>
      </c>
    </row>
    <row r="1623" spans="1:2">
      <c r="A1623" s="3">
        <f ca="1">IFERROR(__xludf.DUMMYFUNCTION("""COMPUTED_VALUE"""),31546.6666666666)</f>
        <v>31546.666666666599</v>
      </c>
      <c r="B1623" s="1">
        <f ca="1">IFERROR(__xludf.DUMMYFUNCTION("""COMPUTED_VALUE"""),237.54)</f>
        <v>237.54</v>
      </c>
    </row>
    <row r="1624" spans="1:2">
      <c r="A1624" s="3">
        <f ca="1">IFERROR(__xludf.DUMMYFUNCTION("""COMPUTED_VALUE"""),31547.6666666666)</f>
        <v>31547.666666666599</v>
      </c>
      <c r="B1624" s="1">
        <f ca="1">IFERROR(__xludf.DUMMYFUNCTION("""COMPUTED_VALUE"""),234.43)</f>
        <v>234.43</v>
      </c>
    </row>
    <row r="1625" spans="1:2">
      <c r="A1625" s="3">
        <f ca="1">IFERROR(__xludf.DUMMYFUNCTION("""COMPUTED_VALUE"""),31548.6666666666)</f>
        <v>31548.666666666599</v>
      </c>
      <c r="B1625" s="1">
        <f ca="1">IFERROR(__xludf.DUMMYFUNCTION("""COMPUTED_VALUE"""),232.76)</f>
        <v>232.76</v>
      </c>
    </row>
    <row r="1626" spans="1:2">
      <c r="A1626" s="3">
        <f ca="1">IFERROR(__xludf.DUMMYFUNCTION("""COMPUTED_VALUE"""),31551.6666666666)</f>
        <v>31551.666666666599</v>
      </c>
      <c r="B1626" s="1">
        <f ca="1">IFERROR(__xludf.DUMMYFUNCTION("""COMPUTED_VALUE"""),233.2)</f>
        <v>233.2</v>
      </c>
    </row>
    <row r="1627" spans="1:2">
      <c r="A1627" s="3">
        <f ca="1">IFERROR(__xludf.DUMMYFUNCTION("""COMPUTED_VALUE"""),31552.6666666666)</f>
        <v>31552.666666666599</v>
      </c>
      <c r="B1627" s="1">
        <f ca="1">IFERROR(__xludf.DUMMYFUNCTION("""COMPUTED_VALUE"""),236.11)</f>
        <v>236.11</v>
      </c>
    </row>
    <row r="1628" spans="1:2">
      <c r="A1628" s="3">
        <f ca="1">IFERROR(__xludf.DUMMYFUNCTION("""COMPUTED_VALUE"""),31553.6666666666)</f>
        <v>31553.666666666599</v>
      </c>
      <c r="B1628" s="1">
        <f ca="1">IFERROR(__xludf.DUMMYFUNCTION("""COMPUTED_VALUE"""),235.45)</f>
        <v>235.45</v>
      </c>
    </row>
    <row r="1629" spans="1:2">
      <c r="A1629" s="3">
        <f ca="1">IFERROR(__xludf.DUMMYFUNCTION("""COMPUTED_VALUE"""),31554.6666666666)</f>
        <v>31554.666666666599</v>
      </c>
      <c r="B1629" s="1">
        <f ca="1">IFERROR(__xludf.DUMMYFUNCTION("""COMPUTED_VALUE"""),240.12)</f>
        <v>240.12</v>
      </c>
    </row>
    <row r="1630" spans="1:2">
      <c r="A1630" s="3">
        <f ca="1">IFERROR(__xludf.DUMMYFUNCTION("""COMPUTED_VALUE"""),31555.6666666666)</f>
        <v>31555.666666666599</v>
      </c>
      <c r="B1630" s="1">
        <f ca="1">IFERROR(__xludf.DUMMYFUNCTION("""COMPUTED_VALUE"""),241.35)</f>
        <v>241.35</v>
      </c>
    </row>
    <row r="1631" spans="1:2">
      <c r="A1631" s="3">
        <f ca="1">IFERROR(__xludf.DUMMYFUNCTION("""COMPUTED_VALUE"""),31558.6666666666)</f>
        <v>31558.666666666599</v>
      </c>
      <c r="B1631" s="1">
        <f ca="1">IFERROR(__xludf.DUMMYFUNCTION("""COMPUTED_VALUE"""),244.75)</f>
        <v>244.75</v>
      </c>
    </row>
    <row r="1632" spans="1:2">
      <c r="A1632" s="3">
        <f ca="1">IFERROR(__xludf.DUMMYFUNCTION("""COMPUTED_VALUE"""),31559.6666666666)</f>
        <v>31559.666666666599</v>
      </c>
      <c r="B1632" s="1">
        <f ca="1">IFERROR(__xludf.DUMMYFUNCTION("""COMPUTED_VALUE"""),244.75)</f>
        <v>244.75</v>
      </c>
    </row>
    <row r="1633" spans="1:2">
      <c r="A1633" s="3">
        <f ca="1">IFERROR(__xludf.DUMMYFUNCTION("""COMPUTED_VALUE"""),31560.6666666666)</f>
        <v>31560.666666666599</v>
      </c>
      <c r="B1633" s="1">
        <f ca="1">IFERROR(__xludf.DUMMYFUNCTION("""COMPUTED_VALUE"""),246.63)</f>
        <v>246.63</v>
      </c>
    </row>
    <row r="1634" spans="1:2">
      <c r="A1634" s="3">
        <f ca="1">IFERROR(__xludf.DUMMYFUNCTION("""COMPUTED_VALUE"""),31561.6666666666)</f>
        <v>31561.666666666599</v>
      </c>
      <c r="B1634" s="1">
        <f ca="1">IFERROR(__xludf.DUMMYFUNCTION("""COMPUTED_VALUE"""),247.98)</f>
        <v>247.98</v>
      </c>
    </row>
    <row r="1635" spans="1:2">
      <c r="A1635" s="3">
        <f ca="1">IFERROR(__xludf.DUMMYFUNCTION("""COMPUTED_VALUE"""),31562.6666666666)</f>
        <v>31562.666666666599</v>
      </c>
      <c r="B1635" s="1">
        <f ca="1">IFERROR(__xludf.DUMMYFUNCTION("""COMPUTED_VALUE"""),247.35)</f>
        <v>247.35</v>
      </c>
    </row>
    <row r="1636" spans="1:2">
      <c r="A1636" s="3">
        <f ca="1">IFERROR(__xludf.DUMMYFUNCTION("""COMPUTED_VALUE"""),31565.6666666666)</f>
        <v>31565.666666666599</v>
      </c>
      <c r="B1636" s="1">
        <f ca="1">IFERROR(__xludf.DUMMYFUNCTION("""COMPUTED_VALUE"""),245.04)</f>
        <v>245.04</v>
      </c>
    </row>
    <row r="1637" spans="1:2">
      <c r="A1637" s="3">
        <f ca="1">IFERROR(__xludf.DUMMYFUNCTION("""COMPUTED_VALUE"""),31566.6666666666)</f>
        <v>31566.666666666599</v>
      </c>
      <c r="B1637" s="1">
        <f ca="1">IFERROR(__xludf.DUMMYFUNCTION("""COMPUTED_VALUE"""),245.51)</f>
        <v>245.51</v>
      </c>
    </row>
    <row r="1638" spans="1:2">
      <c r="A1638" s="3">
        <f ca="1">IFERROR(__xludf.DUMMYFUNCTION("""COMPUTED_VALUE"""),31567.6666666666)</f>
        <v>31567.666666666599</v>
      </c>
      <c r="B1638" s="1">
        <f ca="1">IFERROR(__xludf.DUMMYFUNCTION("""COMPUTED_VALUE"""),243.94)</f>
        <v>243.94</v>
      </c>
    </row>
    <row r="1639" spans="1:2">
      <c r="A1639" s="3">
        <f ca="1">IFERROR(__xludf.DUMMYFUNCTION("""COMPUTED_VALUE"""),31568.6666666666)</f>
        <v>31568.666666666599</v>
      </c>
      <c r="B1639" s="1">
        <f ca="1">IFERROR(__xludf.DUMMYFUNCTION("""COMPUTED_VALUE"""),245.65)</f>
        <v>245.65</v>
      </c>
    </row>
    <row r="1640" spans="1:2">
      <c r="A1640" s="3">
        <f ca="1">IFERROR(__xludf.DUMMYFUNCTION("""COMPUTED_VALUE"""),31569.6666666666)</f>
        <v>31569.666666666599</v>
      </c>
      <c r="B1640" s="1">
        <f ca="1">IFERROR(__xludf.DUMMYFUNCTION("""COMPUTED_VALUE"""),245.67)</f>
        <v>245.67</v>
      </c>
    </row>
    <row r="1641" spans="1:2">
      <c r="A1641" s="3">
        <f ca="1">IFERROR(__xludf.DUMMYFUNCTION("""COMPUTED_VALUE"""),31572.6666666666)</f>
        <v>31572.666666666599</v>
      </c>
      <c r="B1641" s="1">
        <f ca="1">IFERROR(__xludf.DUMMYFUNCTION("""COMPUTED_VALUE"""),239.96)</f>
        <v>239.96</v>
      </c>
    </row>
    <row r="1642" spans="1:2">
      <c r="A1642" s="3">
        <f ca="1">IFERROR(__xludf.DUMMYFUNCTION("""COMPUTED_VALUE"""),31573.6666666666)</f>
        <v>31573.666666666599</v>
      </c>
      <c r="B1642" s="1">
        <f ca="1">IFERROR(__xludf.DUMMYFUNCTION("""COMPUTED_VALUE"""),239.58)</f>
        <v>239.58</v>
      </c>
    </row>
    <row r="1643" spans="1:2">
      <c r="A1643" s="3">
        <f ca="1">IFERROR(__xludf.DUMMYFUNCTION("""COMPUTED_VALUE"""),31574.6666666666)</f>
        <v>31574.666666666599</v>
      </c>
      <c r="B1643" s="1">
        <f ca="1">IFERROR(__xludf.DUMMYFUNCTION("""COMPUTED_VALUE"""),241.13)</f>
        <v>241.13</v>
      </c>
    </row>
    <row r="1644" spans="1:2">
      <c r="A1644" s="3">
        <f ca="1">IFERROR(__xludf.DUMMYFUNCTION("""COMPUTED_VALUE"""),31575.6666666666)</f>
        <v>31575.666666666599</v>
      </c>
      <c r="B1644" s="1">
        <f ca="1">IFERROR(__xludf.DUMMYFUNCTION("""COMPUTED_VALUE"""),241.49)</f>
        <v>241.49</v>
      </c>
    </row>
    <row r="1645" spans="1:2">
      <c r="A1645" s="3">
        <f ca="1">IFERROR(__xludf.DUMMYFUNCTION("""COMPUTED_VALUE"""),31576.6666666666)</f>
        <v>31576.666666666599</v>
      </c>
      <c r="B1645" s="1">
        <f ca="1">IFERROR(__xludf.DUMMYFUNCTION("""COMPUTED_VALUE"""),245.73)</f>
        <v>245.73</v>
      </c>
    </row>
    <row r="1646" spans="1:2">
      <c r="A1646" s="3">
        <f ca="1">IFERROR(__xludf.DUMMYFUNCTION("""COMPUTED_VALUE"""),31579.6666666666)</f>
        <v>31579.666666666599</v>
      </c>
      <c r="B1646" s="1">
        <f ca="1">IFERROR(__xludf.DUMMYFUNCTION("""COMPUTED_VALUE"""),246.13)</f>
        <v>246.13</v>
      </c>
    </row>
    <row r="1647" spans="1:2">
      <c r="A1647" s="3">
        <f ca="1">IFERROR(__xludf.DUMMYFUNCTION("""COMPUTED_VALUE"""),31580.6666666666)</f>
        <v>31580.666666666599</v>
      </c>
      <c r="B1647" s="1">
        <f ca="1">IFERROR(__xludf.DUMMYFUNCTION("""COMPUTED_VALUE"""),244.35)</f>
        <v>244.35</v>
      </c>
    </row>
    <row r="1648" spans="1:2">
      <c r="A1648" s="3">
        <f ca="1">IFERROR(__xludf.DUMMYFUNCTION("""COMPUTED_VALUE"""),31581.6666666666)</f>
        <v>31581.666666666599</v>
      </c>
      <c r="B1648" s="1">
        <f ca="1">IFERROR(__xludf.DUMMYFUNCTION("""COMPUTED_VALUE"""),244.99)</f>
        <v>244.99</v>
      </c>
    </row>
    <row r="1649" spans="1:2">
      <c r="A1649" s="3">
        <f ca="1">IFERROR(__xludf.DUMMYFUNCTION("""COMPUTED_VALUE"""),31582.6666666666)</f>
        <v>31582.666666666599</v>
      </c>
      <c r="B1649" s="1">
        <f ca="1">IFERROR(__xludf.DUMMYFUNCTION("""COMPUTED_VALUE"""),244.06)</f>
        <v>244.06</v>
      </c>
    </row>
    <row r="1650" spans="1:2">
      <c r="A1650" s="3">
        <f ca="1">IFERROR(__xludf.DUMMYFUNCTION("""COMPUTED_VALUE"""),31583.6666666666)</f>
        <v>31583.666666666599</v>
      </c>
      <c r="B1650" s="1">
        <f ca="1">IFERROR(__xludf.DUMMYFUNCTION("""COMPUTED_VALUE"""),247.58)</f>
        <v>247.58</v>
      </c>
    </row>
    <row r="1651" spans="1:2">
      <c r="A1651" s="3">
        <f ca="1">IFERROR(__xludf.DUMMYFUNCTION("""COMPUTED_VALUE"""),31586.6666666666)</f>
        <v>31586.666666666599</v>
      </c>
      <c r="B1651" s="1">
        <f ca="1">IFERROR(__xludf.DUMMYFUNCTION("""COMPUTED_VALUE"""),245.26)</f>
        <v>245.26</v>
      </c>
    </row>
    <row r="1652" spans="1:2">
      <c r="A1652" s="3">
        <f ca="1">IFERROR(__xludf.DUMMYFUNCTION("""COMPUTED_VALUE"""),31587.6666666666)</f>
        <v>31587.666666666599</v>
      </c>
      <c r="B1652" s="1">
        <f ca="1">IFERROR(__xludf.DUMMYFUNCTION("""COMPUTED_VALUE"""),247.03)</f>
        <v>247.03</v>
      </c>
    </row>
    <row r="1653" spans="1:2">
      <c r="A1653" s="3">
        <f ca="1">IFERROR(__xludf.DUMMYFUNCTION("""COMPUTED_VALUE"""),31588.6666666666)</f>
        <v>31588.666666666599</v>
      </c>
      <c r="B1653" s="1">
        <f ca="1">IFERROR(__xludf.DUMMYFUNCTION("""COMPUTED_VALUE"""),248.93)</f>
        <v>248.93</v>
      </c>
    </row>
    <row r="1654" spans="1:2">
      <c r="A1654" s="3">
        <f ca="1">IFERROR(__xludf.DUMMYFUNCTION("""COMPUTED_VALUE"""),31589.6666666666)</f>
        <v>31589.666666666599</v>
      </c>
      <c r="B1654" s="1">
        <f ca="1">IFERROR(__xludf.DUMMYFUNCTION("""COMPUTED_VALUE"""),248.74)</f>
        <v>248.74</v>
      </c>
    </row>
    <row r="1655" spans="1:2">
      <c r="A1655" s="3">
        <f ca="1">IFERROR(__xludf.DUMMYFUNCTION("""COMPUTED_VALUE"""),31590.6666666666)</f>
        <v>31590.666666666599</v>
      </c>
      <c r="B1655" s="1">
        <f ca="1">IFERROR(__xludf.DUMMYFUNCTION("""COMPUTED_VALUE"""),249.6)</f>
        <v>249.6</v>
      </c>
    </row>
    <row r="1656" spans="1:2">
      <c r="A1656" s="3">
        <f ca="1">IFERROR(__xludf.DUMMYFUNCTION("""COMPUTED_VALUE"""),31593.6666666666)</f>
        <v>31593.666666666599</v>
      </c>
      <c r="B1656" s="1">
        <f ca="1">IFERROR(__xludf.DUMMYFUNCTION("""COMPUTED_VALUE"""),250.84)</f>
        <v>250.84</v>
      </c>
    </row>
    <row r="1657" spans="1:2">
      <c r="A1657" s="3">
        <f ca="1">IFERROR(__xludf.DUMMYFUNCTION("""COMPUTED_VALUE"""),31594.6666666666)</f>
        <v>31594.666666666599</v>
      </c>
      <c r="B1657" s="1">
        <f ca="1">IFERROR(__xludf.DUMMYFUNCTION("""COMPUTED_VALUE"""),252.04)</f>
        <v>252.04</v>
      </c>
    </row>
    <row r="1658" spans="1:2">
      <c r="A1658" s="3">
        <f ca="1">IFERROR(__xludf.DUMMYFUNCTION("""COMPUTED_VALUE"""),31595.6666666666)</f>
        <v>31595.666666666599</v>
      </c>
      <c r="B1658" s="1">
        <f ca="1">IFERROR(__xludf.DUMMYFUNCTION("""COMPUTED_VALUE"""),252.7)</f>
        <v>252.7</v>
      </c>
    </row>
    <row r="1659" spans="1:2">
      <c r="A1659" s="3">
        <f ca="1">IFERROR(__xludf.DUMMYFUNCTION("""COMPUTED_VALUE"""),31596.6666666666)</f>
        <v>31596.666666666599</v>
      </c>
      <c r="B1659" s="1">
        <f ca="1">IFERROR(__xludf.DUMMYFUNCTION("""COMPUTED_VALUE"""),251.79)</f>
        <v>251.79</v>
      </c>
    </row>
    <row r="1660" spans="1:2">
      <c r="A1660" s="3">
        <f ca="1">IFERROR(__xludf.DUMMYFUNCTION("""COMPUTED_VALUE"""),31600.6666666666)</f>
        <v>31600.666666666599</v>
      </c>
      <c r="B1660" s="1">
        <f ca="1">IFERROR(__xludf.DUMMYFUNCTION("""COMPUTED_VALUE"""),244.05)</f>
        <v>244.05</v>
      </c>
    </row>
    <row r="1661" spans="1:2">
      <c r="A1661" s="3">
        <f ca="1">IFERROR(__xludf.DUMMYFUNCTION("""COMPUTED_VALUE"""),31601.6666666666)</f>
        <v>31601.666666666599</v>
      </c>
      <c r="B1661" s="1">
        <f ca="1">IFERROR(__xludf.DUMMYFUNCTION("""COMPUTED_VALUE"""),241.59)</f>
        <v>241.59</v>
      </c>
    </row>
    <row r="1662" spans="1:2">
      <c r="A1662" s="3">
        <f ca="1">IFERROR(__xludf.DUMMYFUNCTION("""COMPUTED_VALUE"""),31602.6666666666)</f>
        <v>31602.666666666599</v>
      </c>
      <c r="B1662" s="1">
        <f ca="1">IFERROR(__xludf.DUMMYFUNCTION("""COMPUTED_VALUE"""),242.82)</f>
        <v>242.82</v>
      </c>
    </row>
    <row r="1663" spans="1:2">
      <c r="A1663" s="3">
        <f ca="1">IFERROR(__xludf.DUMMYFUNCTION("""COMPUTED_VALUE"""),31603.6666666666)</f>
        <v>31603.666666666599</v>
      </c>
      <c r="B1663" s="1">
        <f ca="1">IFERROR(__xludf.DUMMYFUNCTION("""COMPUTED_VALUE"""),243.01)</f>
        <v>243.01</v>
      </c>
    </row>
    <row r="1664" spans="1:2">
      <c r="A1664" s="3">
        <f ca="1">IFERROR(__xludf.DUMMYFUNCTION("""COMPUTED_VALUE"""),31604.6666666666)</f>
        <v>31604.666666666599</v>
      </c>
      <c r="B1664" s="1">
        <f ca="1">IFERROR(__xludf.DUMMYFUNCTION("""COMPUTED_VALUE"""),242.22)</f>
        <v>242.22</v>
      </c>
    </row>
    <row r="1665" spans="1:2">
      <c r="A1665" s="3">
        <f ca="1">IFERROR(__xludf.DUMMYFUNCTION("""COMPUTED_VALUE"""),31607.6666666666)</f>
        <v>31607.666666666599</v>
      </c>
      <c r="B1665" s="1">
        <f ca="1">IFERROR(__xludf.DUMMYFUNCTION("""COMPUTED_VALUE"""),238.11)</f>
        <v>238.11</v>
      </c>
    </row>
    <row r="1666" spans="1:2">
      <c r="A1666" s="3">
        <f ca="1">IFERROR(__xludf.DUMMYFUNCTION("""COMPUTED_VALUE"""),31608.6666666666)</f>
        <v>31608.666666666599</v>
      </c>
      <c r="B1666" s="1">
        <f ca="1">IFERROR(__xludf.DUMMYFUNCTION("""COMPUTED_VALUE"""),233.66)</f>
        <v>233.66</v>
      </c>
    </row>
    <row r="1667" spans="1:2">
      <c r="A1667" s="3">
        <f ca="1">IFERROR(__xludf.DUMMYFUNCTION("""COMPUTED_VALUE"""),31609.6666666666)</f>
        <v>31609.666666666599</v>
      </c>
      <c r="B1667" s="1">
        <f ca="1">IFERROR(__xludf.DUMMYFUNCTION("""COMPUTED_VALUE"""),235.01)</f>
        <v>235.01</v>
      </c>
    </row>
    <row r="1668" spans="1:2">
      <c r="A1668" s="3">
        <f ca="1">IFERROR(__xludf.DUMMYFUNCTION("""COMPUTED_VALUE"""),31610.6666666666)</f>
        <v>31610.666666666599</v>
      </c>
      <c r="B1668" s="1">
        <f ca="1">IFERROR(__xludf.DUMMYFUNCTION("""COMPUTED_VALUE"""),236.07)</f>
        <v>236.07</v>
      </c>
    </row>
    <row r="1669" spans="1:2">
      <c r="A1669" s="3">
        <f ca="1">IFERROR(__xludf.DUMMYFUNCTION("""COMPUTED_VALUE"""),31611.6666666666)</f>
        <v>31611.666666666599</v>
      </c>
      <c r="B1669" s="1">
        <f ca="1">IFERROR(__xludf.DUMMYFUNCTION("""COMPUTED_VALUE"""),236.36)</f>
        <v>236.36</v>
      </c>
    </row>
    <row r="1670" spans="1:2">
      <c r="A1670" s="3">
        <f ca="1">IFERROR(__xludf.DUMMYFUNCTION("""COMPUTED_VALUE"""),31614.6666666666)</f>
        <v>31614.666666666599</v>
      </c>
      <c r="B1670" s="1">
        <f ca="1">IFERROR(__xludf.DUMMYFUNCTION("""COMPUTED_VALUE"""),236.24)</f>
        <v>236.24</v>
      </c>
    </row>
    <row r="1671" spans="1:2">
      <c r="A1671" s="3">
        <f ca="1">IFERROR(__xludf.DUMMYFUNCTION("""COMPUTED_VALUE"""),31615.6666666666)</f>
        <v>31615.666666666599</v>
      </c>
      <c r="B1671" s="1">
        <f ca="1">IFERROR(__xludf.DUMMYFUNCTION("""COMPUTED_VALUE"""),238.18)</f>
        <v>238.18</v>
      </c>
    </row>
    <row r="1672" spans="1:2">
      <c r="A1672" s="3">
        <f ca="1">IFERROR(__xludf.DUMMYFUNCTION("""COMPUTED_VALUE"""),31616.6666666666)</f>
        <v>31616.666666666599</v>
      </c>
      <c r="B1672" s="1">
        <f ca="1">IFERROR(__xludf.DUMMYFUNCTION("""COMPUTED_VALUE"""),238.67)</f>
        <v>238.67</v>
      </c>
    </row>
    <row r="1673" spans="1:2">
      <c r="A1673" s="3">
        <f ca="1">IFERROR(__xludf.DUMMYFUNCTION("""COMPUTED_VALUE"""),31617.6666666666)</f>
        <v>31617.666666666599</v>
      </c>
      <c r="B1673" s="1">
        <f ca="1">IFERROR(__xludf.DUMMYFUNCTION("""COMPUTED_VALUE"""),237.95)</f>
        <v>237.95</v>
      </c>
    </row>
    <row r="1674" spans="1:2">
      <c r="A1674" s="3">
        <f ca="1">IFERROR(__xludf.DUMMYFUNCTION("""COMPUTED_VALUE"""),31618.6666666666)</f>
        <v>31618.666666666599</v>
      </c>
      <c r="B1674" s="1">
        <f ca="1">IFERROR(__xludf.DUMMYFUNCTION("""COMPUTED_VALUE"""),240.22)</f>
        <v>240.22</v>
      </c>
    </row>
    <row r="1675" spans="1:2">
      <c r="A1675" s="3">
        <f ca="1">IFERROR(__xludf.DUMMYFUNCTION("""COMPUTED_VALUE"""),31621.6666666666)</f>
        <v>31621.666666666599</v>
      </c>
      <c r="B1675" s="1">
        <f ca="1">IFERROR(__xludf.DUMMYFUNCTION("""COMPUTED_VALUE"""),236.01)</f>
        <v>236.01</v>
      </c>
    </row>
    <row r="1676" spans="1:2">
      <c r="A1676" s="3">
        <f ca="1">IFERROR(__xludf.DUMMYFUNCTION("""COMPUTED_VALUE"""),31622.6666666666)</f>
        <v>31622.666666666599</v>
      </c>
      <c r="B1676" s="1">
        <f ca="1">IFERROR(__xludf.DUMMYFUNCTION("""COMPUTED_VALUE"""),234.55)</f>
        <v>234.55</v>
      </c>
    </row>
    <row r="1677" spans="1:2">
      <c r="A1677" s="3">
        <f ca="1">IFERROR(__xludf.DUMMYFUNCTION("""COMPUTED_VALUE"""),31623.6666666666)</f>
        <v>31623.666666666599</v>
      </c>
      <c r="B1677" s="1">
        <f ca="1">IFERROR(__xludf.DUMMYFUNCTION("""COMPUTED_VALUE"""),236.59)</f>
        <v>236.59</v>
      </c>
    </row>
    <row r="1678" spans="1:2">
      <c r="A1678" s="3">
        <f ca="1">IFERROR(__xludf.DUMMYFUNCTION("""COMPUTED_VALUE"""),31624.6666666666)</f>
        <v>31624.666666666599</v>
      </c>
      <c r="B1678" s="1">
        <f ca="1">IFERROR(__xludf.DUMMYFUNCTION("""COMPUTED_VALUE"""),236.12)</f>
        <v>236.12</v>
      </c>
    </row>
    <row r="1679" spans="1:2">
      <c r="A1679" s="3">
        <f ca="1">IFERROR(__xludf.DUMMYFUNCTION("""COMPUTED_VALUE"""),31625.6666666666)</f>
        <v>31625.666666666599</v>
      </c>
      <c r="B1679" s="1">
        <f ca="1">IFERROR(__xludf.DUMMYFUNCTION("""COMPUTED_VALUE"""),234.91)</f>
        <v>234.91</v>
      </c>
    </row>
    <row r="1680" spans="1:2">
      <c r="A1680" s="3">
        <f ca="1">IFERROR(__xludf.DUMMYFUNCTION("""COMPUTED_VALUE"""),31628.6666666666)</f>
        <v>31628.666666666599</v>
      </c>
      <c r="B1680" s="1">
        <f ca="1">IFERROR(__xludf.DUMMYFUNCTION("""COMPUTED_VALUE"""),235.99)</f>
        <v>235.99</v>
      </c>
    </row>
    <row r="1681" spans="1:2">
      <c r="A1681" s="3">
        <f ca="1">IFERROR(__xludf.DUMMYFUNCTION("""COMPUTED_VALUE"""),31629.6666666666)</f>
        <v>31629.666666666599</v>
      </c>
      <c r="B1681" s="1">
        <f ca="1">IFERROR(__xludf.DUMMYFUNCTION("""COMPUTED_VALUE"""),237.03)</f>
        <v>237.03</v>
      </c>
    </row>
    <row r="1682" spans="1:2">
      <c r="A1682" s="3">
        <f ca="1">IFERROR(__xludf.DUMMYFUNCTION("""COMPUTED_VALUE"""),31630.6666666666)</f>
        <v>31630.666666666599</v>
      </c>
      <c r="B1682" s="1">
        <f ca="1">IFERROR(__xludf.DUMMYFUNCTION("""COMPUTED_VALUE"""),236.84)</f>
        <v>236.84</v>
      </c>
    </row>
    <row r="1683" spans="1:2">
      <c r="A1683" s="3">
        <f ca="1">IFERROR(__xludf.DUMMYFUNCTION("""COMPUTED_VALUE"""),31631.6666666666)</f>
        <v>31631.666666666599</v>
      </c>
      <c r="B1683" s="1">
        <f ca="1">IFERROR(__xludf.DUMMYFUNCTION("""COMPUTED_VALUE"""),237.04)</f>
        <v>237.04</v>
      </c>
    </row>
    <row r="1684" spans="1:2">
      <c r="A1684" s="3">
        <f ca="1">IFERROR(__xludf.DUMMYFUNCTION("""COMPUTED_VALUE"""),31632.6666666666)</f>
        <v>31632.666666666599</v>
      </c>
      <c r="B1684" s="1">
        <f ca="1">IFERROR(__xludf.DUMMYFUNCTION("""COMPUTED_VALUE"""),236.88)</f>
        <v>236.88</v>
      </c>
    </row>
    <row r="1685" spans="1:2">
      <c r="A1685" s="3">
        <f ca="1">IFERROR(__xludf.DUMMYFUNCTION("""COMPUTED_VALUE"""),31635.6666666666)</f>
        <v>31635.666666666599</v>
      </c>
      <c r="B1685" s="1">
        <f ca="1">IFERROR(__xludf.DUMMYFUNCTION("""COMPUTED_VALUE"""),240.68)</f>
        <v>240.68</v>
      </c>
    </row>
    <row r="1686" spans="1:2">
      <c r="A1686" s="3">
        <f ca="1">IFERROR(__xludf.DUMMYFUNCTION("""COMPUTED_VALUE"""),31636.6666666666)</f>
        <v>31636.666666666599</v>
      </c>
      <c r="B1686" s="1">
        <f ca="1">IFERROR(__xludf.DUMMYFUNCTION("""COMPUTED_VALUE"""),243.34)</f>
        <v>243.34</v>
      </c>
    </row>
    <row r="1687" spans="1:2">
      <c r="A1687" s="3">
        <f ca="1">IFERROR(__xludf.DUMMYFUNCTION("""COMPUTED_VALUE"""),31637.6666666666)</f>
        <v>31637.666666666599</v>
      </c>
      <c r="B1687" s="1">
        <f ca="1">IFERROR(__xludf.DUMMYFUNCTION("""COMPUTED_VALUE"""),245.67)</f>
        <v>245.67</v>
      </c>
    </row>
    <row r="1688" spans="1:2">
      <c r="A1688" s="3">
        <f ca="1">IFERROR(__xludf.DUMMYFUNCTION("""COMPUTED_VALUE"""),31638.6666666666)</f>
        <v>31638.666666666599</v>
      </c>
      <c r="B1688" s="1">
        <f ca="1">IFERROR(__xludf.DUMMYFUNCTION("""COMPUTED_VALUE"""),246.25)</f>
        <v>246.25</v>
      </c>
    </row>
    <row r="1689" spans="1:2">
      <c r="A1689" s="3">
        <f ca="1">IFERROR(__xludf.DUMMYFUNCTION("""COMPUTED_VALUE"""),31639.6666666666)</f>
        <v>31639.666666666599</v>
      </c>
      <c r="B1689" s="1">
        <f ca="1">IFERROR(__xludf.DUMMYFUNCTION("""COMPUTED_VALUE"""),247.15)</f>
        <v>247.15</v>
      </c>
    </row>
    <row r="1690" spans="1:2">
      <c r="A1690" s="3">
        <f ca="1">IFERROR(__xludf.DUMMYFUNCTION("""COMPUTED_VALUE"""),31642.6666666666)</f>
        <v>31642.666666666599</v>
      </c>
      <c r="B1690" s="1">
        <f ca="1">IFERROR(__xludf.DUMMYFUNCTION("""COMPUTED_VALUE"""),247.38)</f>
        <v>247.38</v>
      </c>
    </row>
    <row r="1691" spans="1:2">
      <c r="A1691" s="3">
        <f ca="1">IFERROR(__xludf.DUMMYFUNCTION("""COMPUTED_VALUE"""),31643.6666666666)</f>
        <v>31643.666666666599</v>
      </c>
      <c r="B1691" s="1">
        <f ca="1">IFERROR(__xludf.DUMMYFUNCTION("""COMPUTED_VALUE"""),246.51)</f>
        <v>246.51</v>
      </c>
    </row>
    <row r="1692" spans="1:2">
      <c r="A1692" s="3">
        <f ca="1">IFERROR(__xludf.DUMMYFUNCTION("""COMPUTED_VALUE"""),31644.6666666666)</f>
        <v>31644.666666666599</v>
      </c>
      <c r="B1692" s="1">
        <f ca="1">IFERROR(__xludf.DUMMYFUNCTION("""COMPUTED_VALUE"""),249.77)</f>
        <v>249.77</v>
      </c>
    </row>
    <row r="1693" spans="1:2">
      <c r="A1693" s="3">
        <f ca="1">IFERROR(__xludf.DUMMYFUNCTION("""COMPUTED_VALUE"""),31645.6666666666)</f>
        <v>31645.666666666599</v>
      </c>
      <c r="B1693" s="1">
        <f ca="1">IFERROR(__xludf.DUMMYFUNCTION("""COMPUTED_VALUE"""),249.67)</f>
        <v>249.67</v>
      </c>
    </row>
    <row r="1694" spans="1:2">
      <c r="A1694" s="3">
        <f ca="1">IFERROR(__xludf.DUMMYFUNCTION("""COMPUTED_VALUE"""),31646.6666666666)</f>
        <v>31646.666666666599</v>
      </c>
      <c r="B1694" s="1">
        <f ca="1">IFERROR(__xludf.DUMMYFUNCTION("""COMPUTED_VALUE"""),250.19)</f>
        <v>250.19</v>
      </c>
    </row>
    <row r="1695" spans="1:2">
      <c r="A1695" s="3">
        <f ca="1">IFERROR(__xludf.DUMMYFUNCTION("""COMPUTED_VALUE"""),31649.6666666666)</f>
        <v>31649.666666666599</v>
      </c>
      <c r="B1695" s="1">
        <f ca="1">IFERROR(__xludf.DUMMYFUNCTION("""COMPUTED_VALUE"""),247.81)</f>
        <v>247.81</v>
      </c>
    </row>
    <row r="1696" spans="1:2">
      <c r="A1696" s="3">
        <f ca="1">IFERROR(__xludf.DUMMYFUNCTION("""COMPUTED_VALUE"""),31650.6666666666)</f>
        <v>31650.666666666599</v>
      </c>
      <c r="B1696" s="1">
        <f ca="1">IFERROR(__xludf.DUMMYFUNCTION("""COMPUTED_VALUE"""),252.84)</f>
        <v>252.84</v>
      </c>
    </row>
    <row r="1697" spans="1:2">
      <c r="A1697" s="3">
        <f ca="1">IFERROR(__xludf.DUMMYFUNCTION("""COMPUTED_VALUE"""),31651.6666666666)</f>
        <v>31651.666666666599</v>
      </c>
      <c r="B1697" s="1">
        <f ca="1">IFERROR(__xludf.DUMMYFUNCTION("""COMPUTED_VALUE"""),253.3)</f>
        <v>253.3</v>
      </c>
    </row>
    <row r="1698" spans="1:2">
      <c r="A1698" s="3">
        <f ca="1">IFERROR(__xludf.DUMMYFUNCTION("""COMPUTED_VALUE"""),31652.6666666666)</f>
        <v>31652.666666666599</v>
      </c>
      <c r="B1698" s="1">
        <f ca="1">IFERROR(__xludf.DUMMYFUNCTION("""COMPUTED_VALUE"""),252.84)</f>
        <v>252.84</v>
      </c>
    </row>
    <row r="1699" spans="1:2">
      <c r="A1699" s="3">
        <f ca="1">IFERROR(__xludf.DUMMYFUNCTION("""COMPUTED_VALUE"""),31653.6666666666)</f>
        <v>31653.666666666599</v>
      </c>
      <c r="B1699" s="1">
        <f ca="1">IFERROR(__xludf.DUMMYFUNCTION("""COMPUTED_VALUE"""),252.93)</f>
        <v>252.93</v>
      </c>
    </row>
    <row r="1700" spans="1:2">
      <c r="A1700" s="3">
        <f ca="1">IFERROR(__xludf.DUMMYFUNCTION("""COMPUTED_VALUE"""),31657.6666666666)</f>
        <v>31657.666666666599</v>
      </c>
      <c r="B1700" s="1">
        <f ca="1">IFERROR(__xludf.DUMMYFUNCTION("""COMPUTED_VALUE"""),248.52)</f>
        <v>248.52</v>
      </c>
    </row>
    <row r="1701" spans="1:2">
      <c r="A1701" s="3">
        <f ca="1">IFERROR(__xludf.DUMMYFUNCTION("""COMPUTED_VALUE"""),31658.6666666666)</f>
        <v>31658.666666666599</v>
      </c>
      <c r="B1701" s="1">
        <f ca="1">IFERROR(__xludf.DUMMYFUNCTION("""COMPUTED_VALUE"""),250.08)</f>
        <v>250.08</v>
      </c>
    </row>
    <row r="1702" spans="1:2">
      <c r="A1702" s="3">
        <f ca="1">IFERROR(__xludf.DUMMYFUNCTION("""COMPUTED_VALUE"""),31659.6666666666)</f>
        <v>31659.666666666599</v>
      </c>
      <c r="B1702" s="1">
        <f ca="1">IFERROR(__xludf.DUMMYFUNCTION("""COMPUTED_VALUE"""),253.83)</f>
        <v>253.83</v>
      </c>
    </row>
    <row r="1703" spans="1:2">
      <c r="A1703" s="3">
        <f ca="1">IFERROR(__xludf.DUMMYFUNCTION("""COMPUTED_VALUE"""),31660.6666666666)</f>
        <v>31660.666666666599</v>
      </c>
      <c r="B1703" s="1">
        <f ca="1">IFERROR(__xludf.DUMMYFUNCTION("""COMPUTED_VALUE"""),250.47)</f>
        <v>250.47</v>
      </c>
    </row>
    <row r="1704" spans="1:2">
      <c r="A1704" s="3">
        <f ca="1">IFERROR(__xludf.DUMMYFUNCTION("""COMPUTED_VALUE"""),31663.6666666666)</f>
        <v>31663.666666666599</v>
      </c>
      <c r="B1704" s="1">
        <f ca="1">IFERROR(__xludf.DUMMYFUNCTION("""COMPUTED_VALUE"""),248.14)</f>
        <v>248.14</v>
      </c>
    </row>
    <row r="1705" spans="1:2">
      <c r="A1705" s="3">
        <f ca="1">IFERROR(__xludf.DUMMYFUNCTION("""COMPUTED_VALUE"""),31664.6666666666)</f>
        <v>31664.666666666599</v>
      </c>
      <c r="B1705" s="1">
        <f ca="1">IFERROR(__xludf.DUMMYFUNCTION("""COMPUTED_VALUE"""),247.67)</f>
        <v>247.67</v>
      </c>
    </row>
    <row r="1706" spans="1:2">
      <c r="A1706" s="3">
        <f ca="1">IFERROR(__xludf.DUMMYFUNCTION("""COMPUTED_VALUE"""),31665.6666666666)</f>
        <v>31665.666666666599</v>
      </c>
      <c r="B1706" s="1">
        <f ca="1">IFERROR(__xludf.DUMMYFUNCTION("""COMPUTED_VALUE"""),247.06)</f>
        <v>247.06</v>
      </c>
    </row>
    <row r="1707" spans="1:2">
      <c r="A1707" s="3">
        <f ca="1">IFERROR(__xludf.DUMMYFUNCTION("""COMPUTED_VALUE"""),31666.6666666666)</f>
        <v>31666.666666666599</v>
      </c>
      <c r="B1707" s="1">
        <f ca="1">IFERROR(__xludf.DUMMYFUNCTION("""COMPUTED_VALUE"""),235.18)</f>
        <v>235.18</v>
      </c>
    </row>
    <row r="1708" spans="1:2">
      <c r="A1708" s="3">
        <f ca="1">IFERROR(__xludf.DUMMYFUNCTION("""COMPUTED_VALUE"""),31667.6666666666)</f>
        <v>31667.666666666599</v>
      </c>
      <c r="B1708" s="1">
        <f ca="1">IFERROR(__xludf.DUMMYFUNCTION("""COMPUTED_VALUE"""),230.67)</f>
        <v>230.67</v>
      </c>
    </row>
    <row r="1709" spans="1:2">
      <c r="A1709" s="3">
        <f ca="1">IFERROR(__xludf.DUMMYFUNCTION("""COMPUTED_VALUE"""),31670.6666666666)</f>
        <v>31670.666666666599</v>
      </c>
      <c r="B1709" s="1">
        <f ca="1">IFERROR(__xludf.DUMMYFUNCTION("""COMPUTED_VALUE"""),231.94)</f>
        <v>231.94</v>
      </c>
    </row>
    <row r="1710" spans="1:2">
      <c r="A1710" s="3">
        <f ca="1">IFERROR(__xludf.DUMMYFUNCTION("""COMPUTED_VALUE"""),31671.6666666666)</f>
        <v>31671.666666666599</v>
      </c>
      <c r="B1710" s="1">
        <f ca="1">IFERROR(__xludf.DUMMYFUNCTION("""COMPUTED_VALUE"""),231.72)</f>
        <v>231.72</v>
      </c>
    </row>
    <row r="1711" spans="1:2">
      <c r="A1711" s="3">
        <f ca="1">IFERROR(__xludf.DUMMYFUNCTION("""COMPUTED_VALUE"""),31672.6666666666)</f>
        <v>31672.666666666599</v>
      </c>
      <c r="B1711" s="1">
        <f ca="1">IFERROR(__xludf.DUMMYFUNCTION("""COMPUTED_VALUE"""),231.68)</f>
        <v>231.68</v>
      </c>
    </row>
    <row r="1712" spans="1:2">
      <c r="A1712" s="3">
        <f ca="1">IFERROR(__xludf.DUMMYFUNCTION("""COMPUTED_VALUE"""),31673.6666666666)</f>
        <v>31673.666666666599</v>
      </c>
      <c r="B1712" s="1">
        <f ca="1">IFERROR(__xludf.DUMMYFUNCTION("""COMPUTED_VALUE"""),232.31)</f>
        <v>232.31</v>
      </c>
    </row>
    <row r="1713" spans="1:2">
      <c r="A1713" s="3">
        <f ca="1">IFERROR(__xludf.DUMMYFUNCTION("""COMPUTED_VALUE"""),31674.6666666666)</f>
        <v>31674.666666666599</v>
      </c>
      <c r="B1713" s="1">
        <f ca="1">IFERROR(__xludf.DUMMYFUNCTION("""COMPUTED_VALUE"""),232.21)</f>
        <v>232.21</v>
      </c>
    </row>
    <row r="1714" spans="1:2">
      <c r="A1714" s="3">
        <f ca="1">IFERROR(__xludf.DUMMYFUNCTION("""COMPUTED_VALUE"""),31677.6666666666)</f>
        <v>31677.666666666599</v>
      </c>
      <c r="B1714" s="1">
        <f ca="1">IFERROR(__xludf.DUMMYFUNCTION("""COMPUTED_VALUE"""),234.93)</f>
        <v>234.93</v>
      </c>
    </row>
    <row r="1715" spans="1:2">
      <c r="A1715" s="3">
        <f ca="1">IFERROR(__xludf.DUMMYFUNCTION("""COMPUTED_VALUE"""),31678.6666666666)</f>
        <v>31678.666666666599</v>
      </c>
      <c r="B1715" s="1">
        <f ca="1">IFERROR(__xludf.DUMMYFUNCTION("""COMPUTED_VALUE"""),235.67)</f>
        <v>235.67</v>
      </c>
    </row>
    <row r="1716" spans="1:2">
      <c r="A1716" s="3">
        <f ca="1">IFERROR(__xludf.DUMMYFUNCTION("""COMPUTED_VALUE"""),31679.6666666666)</f>
        <v>31679.666666666599</v>
      </c>
      <c r="B1716" s="1">
        <f ca="1">IFERROR(__xludf.DUMMYFUNCTION("""COMPUTED_VALUE"""),236.28)</f>
        <v>236.28</v>
      </c>
    </row>
    <row r="1717" spans="1:2">
      <c r="A1717" s="3">
        <f ca="1">IFERROR(__xludf.DUMMYFUNCTION("""COMPUTED_VALUE"""),31680.6666666666)</f>
        <v>31680.666666666599</v>
      </c>
      <c r="B1717" s="1">
        <f ca="1">IFERROR(__xludf.DUMMYFUNCTION("""COMPUTED_VALUE"""),231.83)</f>
        <v>231.83</v>
      </c>
    </row>
    <row r="1718" spans="1:2">
      <c r="A1718" s="3">
        <f ca="1">IFERROR(__xludf.DUMMYFUNCTION("""COMPUTED_VALUE"""),31681.6666666666)</f>
        <v>31681.666666666599</v>
      </c>
      <c r="B1718" s="1">
        <f ca="1">IFERROR(__xludf.DUMMYFUNCTION("""COMPUTED_VALUE"""),232.23)</f>
        <v>232.23</v>
      </c>
    </row>
    <row r="1719" spans="1:2">
      <c r="A1719" s="3">
        <f ca="1">IFERROR(__xludf.DUMMYFUNCTION("""COMPUTED_VALUE"""),31684.6666666666)</f>
        <v>31684.666666666599</v>
      </c>
      <c r="B1719" s="1">
        <f ca="1">IFERROR(__xludf.DUMMYFUNCTION("""COMPUTED_VALUE"""),229.91)</f>
        <v>229.91</v>
      </c>
    </row>
    <row r="1720" spans="1:2">
      <c r="A1720" s="3">
        <f ca="1">IFERROR(__xludf.DUMMYFUNCTION("""COMPUTED_VALUE"""),31685.6666666666)</f>
        <v>31685.666666666599</v>
      </c>
      <c r="B1720" s="1">
        <f ca="1">IFERROR(__xludf.DUMMYFUNCTION("""COMPUTED_VALUE"""),231.32)</f>
        <v>231.32</v>
      </c>
    </row>
    <row r="1721" spans="1:2">
      <c r="A1721" s="3">
        <f ca="1">IFERROR(__xludf.DUMMYFUNCTION("""COMPUTED_VALUE"""),31686.6666666666)</f>
        <v>31686.666666666599</v>
      </c>
      <c r="B1721" s="1">
        <f ca="1">IFERROR(__xludf.DUMMYFUNCTION("""COMPUTED_VALUE"""),233.6)</f>
        <v>233.6</v>
      </c>
    </row>
    <row r="1722" spans="1:2">
      <c r="A1722" s="3">
        <f ca="1">IFERROR(__xludf.DUMMYFUNCTION("""COMPUTED_VALUE"""),31687.6666666666)</f>
        <v>31687.666666666599</v>
      </c>
      <c r="B1722" s="1">
        <f ca="1">IFERROR(__xludf.DUMMYFUNCTION("""COMPUTED_VALUE"""),233.92)</f>
        <v>233.92</v>
      </c>
    </row>
    <row r="1723" spans="1:2">
      <c r="A1723" s="3">
        <f ca="1">IFERROR(__xludf.DUMMYFUNCTION("""COMPUTED_VALUE"""),31688.6666666666)</f>
        <v>31688.666666666599</v>
      </c>
      <c r="B1723" s="1">
        <f ca="1">IFERROR(__xludf.DUMMYFUNCTION("""COMPUTED_VALUE"""),233.71)</f>
        <v>233.71</v>
      </c>
    </row>
    <row r="1724" spans="1:2">
      <c r="A1724" s="3">
        <f ca="1">IFERROR(__xludf.DUMMYFUNCTION("""COMPUTED_VALUE"""),31691.6666666666)</f>
        <v>31691.666666666599</v>
      </c>
      <c r="B1724" s="1">
        <f ca="1">IFERROR(__xludf.DUMMYFUNCTION("""COMPUTED_VALUE"""),234.78)</f>
        <v>234.78</v>
      </c>
    </row>
    <row r="1725" spans="1:2">
      <c r="A1725" s="3">
        <f ca="1">IFERROR(__xludf.DUMMYFUNCTION("""COMPUTED_VALUE"""),31692.6666666666)</f>
        <v>31692.666666666599</v>
      </c>
      <c r="B1725" s="1">
        <f ca="1">IFERROR(__xludf.DUMMYFUNCTION("""COMPUTED_VALUE"""),234.41)</f>
        <v>234.41</v>
      </c>
    </row>
    <row r="1726" spans="1:2">
      <c r="A1726" s="3">
        <f ca="1">IFERROR(__xludf.DUMMYFUNCTION("""COMPUTED_VALUE"""),31693.6666666666)</f>
        <v>31693.666666666599</v>
      </c>
      <c r="B1726" s="1">
        <f ca="1">IFERROR(__xludf.DUMMYFUNCTION("""COMPUTED_VALUE"""),236.68)</f>
        <v>236.68</v>
      </c>
    </row>
    <row r="1727" spans="1:2">
      <c r="A1727" s="3">
        <f ca="1">IFERROR(__xludf.DUMMYFUNCTION("""COMPUTED_VALUE"""),31694.6666666666)</f>
        <v>31694.666666666599</v>
      </c>
      <c r="B1727" s="1">
        <f ca="1">IFERROR(__xludf.DUMMYFUNCTION("""COMPUTED_VALUE"""),235.85)</f>
        <v>235.85</v>
      </c>
    </row>
    <row r="1728" spans="1:2">
      <c r="A1728" s="3">
        <f ca="1">IFERROR(__xludf.DUMMYFUNCTION("""COMPUTED_VALUE"""),31695.6666666666)</f>
        <v>31695.666666666599</v>
      </c>
      <c r="B1728" s="1">
        <f ca="1">IFERROR(__xludf.DUMMYFUNCTION("""COMPUTED_VALUE"""),235.48)</f>
        <v>235.48</v>
      </c>
    </row>
    <row r="1729" spans="1:2">
      <c r="A1729" s="3">
        <f ca="1">IFERROR(__xludf.DUMMYFUNCTION("""COMPUTED_VALUE"""),31698.6666666666)</f>
        <v>31698.666666666599</v>
      </c>
      <c r="B1729" s="1">
        <f ca="1">IFERROR(__xludf.DUMMYFUNCTION("""COMPUTED_VALUE"""),235.91)</f>
        <v>235.91</v>
      </c>
    </row>
    <row r="1730" spans="1:2">
      <c r="A1730" s="3">
        <f ca="1">IFERROR(__xludf.DUMMYFUNCTION("""COMPUTED_VALUE"""),31699.6666666666)</f>
        <v>31699.666666666599</v>
      </c>
      <c r="B1730" s="1">
        <f ca="1">IFERROR(__xludf.DUMMYFUNCTION("""COMPUTED_VALUE"""),235.37)</f>
        <v>235.37</v>
      </c>
    </row>
    <row r="1731" spans="1:2">
      <c r="A1731" s="3">
        <f ca="1">IFERROR(__xludf.DUMMYFUNCTION("""COMPUTED_VALUE"""),31700.6666666666)</f>
        <v>31700.666666666599</v>
      </c>
      <c r="B1731" s="1">
        <f ca="1">IFERROR(__xludf.DUMMYFUNCTION("""COMPUTED_VALUE"""),238.8)</f>
        <v>238.8</v>
      </c>
    </row>
    <row r="1732" spans="1:2">
      <c r="A1732" s="3">
        <f ca="1">IFERROR(__xludf.DUMMYFUNCTION("""COMPUTED_VALUE"""),31701.6666666666)</f>
        <v>31701.666666666599</v>
      </c>
      <c r="B1732" s="1">
        <f ca="1">IFERROR(__xludf.DUMMYFUNCTION("""COMPUTED_VALUE"""),239.53)</f>
        <v>239.53</v>
      </c>
    </row>
    <row r="1733" spans="1:2">
      <c r="A1733" s="3">
        <f ca="1">IFERROR(__xludf.DUMMYFUNCTION("""COMPUTED_VALUE"""),31702.6666666666)</f>
        <v>31702.666666666599</v>
      </c>
      <c r="B1733" s="1">
        <f ca="1">IFERROR(__xludf.DUMMYFUNCTION("""COMPUTED_VALUE"""),238.84)</f>
        <v>238.84</v>
      </c>
    </row>
    <row r="1734" spans="1:2">
      <c r="A1734" s="3">
        <f ca="1">IFERROR(__xludf.DUMMYFUNCTION("""COMPUTED_VALUE"""),31705.6666666666)</f>
        <v>31705.666666666599</v>
      </c>
      <c r="B1734" s="1">
        <f ca="1">IFERROR(__xludf.DUMMYFUNCTION("""COMPUTED_VALUE"""),235.97)</f>
        <v>235.97</v>
      </c>
    </row>
    <row r="1735" spans="1:2">
      <c r="A1735" s="3">
        <f ca="1">IFERROR(__xludf.DUMMYFUNCTION("""COMPUTED_VALUE"""),31706.6666666666)</f>
        <v>31706.666666666599</v>
      </c>
      <c r="B1735" s="1">
        <f ca="1">IFERROR(__xludf.DUMMYFUNCTION("""COMPUTED_VALUE"""),235.88)</f>
        <v>235.88</v>
      </c>
    </row>
    <row r="1736" spans="1:2">
      <c r="A1736" s="3">
        <f ca="1">IFERROR(__xludf.DUMMYFUNCTION("""COMPUTED_VALUE"""),31707.6666666666)</f>
        <v>31707.666666666599</v>
      </c>
      <c r="B1736" s="1">
        <f ca="1">IFERROR(__xludf.DUMMYFUNCTION("""COMPUTED_VALUE"""),236.26)</f>
        <v>236.26</v>
      </c>
    </row>
    <row r="1737" spans="1:2">
      <c r="A1737" s="3">
        <f ca="1">IFERROR(__xludf.DUMMYFUNCTION("""COMPUTED_VALUE"""),31708.6666666666)</f>
        <v>31708.666666666599</v>
      </c>
      <c r="B1737" s="1">
        <f ca="1">IFERROR(__xludf.DUMMYFUNCTION("""COMPUTED_VALUE"""),239.28)</f>
        <v>239.28</v>
      </c>
    </row>
    <row r="1738" spans="1:2">
      <c r="A1738" s="3">
        <f ca="1">IFERROR(__xludf.DUMMYFUNCTION("""COMPUTED_VALUE"""),31709.6666666666)</f>
        <v>31709.666666666599</v>
      </c>
      <c r="B1738" s="1">
        <f ca="1">IFERROR(__xludf.DUMMYFUNCTION("""COMPUTED_VALUE"""),238.26)</f>
        <v>238.26</v>
      </c>
    </row>
    <row r="1739" spans="1:2">
      <c r="A1739" s="3">
        <f ca="1">IFERROR(__xludf.DUMMYFUNCTION("""COMPUTED_VALUE"""),31712.6666666666)</f>
        <v>31712.666666666599</v>
      </c>
      <c r="B1739" s="1">
        <f ca="1">IFERROR(__xludf.DUMMYFUNCTION("""COMPUTED_VALUE"""),238.77)</f>
        <v>238.77</v>
      </c>
    </row>
    <row r="1740" spans="1:2">
      <c r="A1740" s="3">
        <f ca="1">IFERROR(__xludf.DUMMYFUNCTION("""COMPUTED_VALUE"""),31713.6666666666)</f>
        <v>31713.666666666599</v>
      </c>
      <c r="B1740" s="1">
        <f ca="1">IFERROR(__xludf.DUMMYFUNCTION("""COMPUTED_VALUE"""),239.26)</f>
        <v>239.26</v>
      </c>
    </row>
    <row r="1741" spans="1:2">
      <c r="A1741" s="3">
        <f ca="1">IFERROR(__xludf.DUMMYFUNCTION("""COMPUTED_VALUE"""),31714.6666666666)</f>
        <v>31714.666666666599</v>
      </c>
      <c r="B1741" s="1">
        <f ca="1">IFERROR(__xludf.DUMMYFUNCTION("""COMPUTED_VALUE"""),240.94)</f>
        <v>240.94</v>
      </c>
    </row>
    <row r="1742" spans="1:2">
      <c r="A1742" s="3">
        <f ca="1">IFERROR(__xludf.DUMMYFUNCTION("""COMPUTED_VALUE"""),31715.6666666666)</f>
        <v>31715.666666666599</v>
      </c>
      <c r="B1742" s="1">
        <f ca="1">IFERROR(__xludf.DUMMYFUNCTION("""COMPUTED_VALUE"""),243.71)</f>
        <v>243.71</v>
      </c>
    </row>
    <row r="1743" spans="1:2">
      <c r="A1743" s="3">
        <f ca="1">IFERROR(__xludf.DUMMYFUNCTION("""COMPUTED_VALUE"""),31716.6666666666)</f>
        <v>31716.666666666599</v>
      </c>
      <c r="B1743" s="1">
        <f ca="1">IFERROR(__xludf.DUMMYFUNCTION("""COMPUTED_VALUE"""),243.98)</f>
        <v>243.98</v>
      </c>
    </row>
    <row r="1744" spans="1:2">
      <c r="A1744" s="3">
        <f ca="1">IFERROR(__xludf.DUMMYFUNCTION("""COMPUTED_VALUE"""),31719.6666666666)</f>
        <v>31719.666666666599</v>
      </c>
      <c r="B1744" s="1">
        <f ca="1">IFERROR(__xludf.DUMMYFUNCTION("""COMPUTED_VALUE"""),245.8)</f>
        <v>245.8</v>
      </c>
    </row>
    <row r="1745" spans="1:2">
      <c r="A1745" s="3">
        <f ca="1">IFERROR(__xludf.DUMMYFUNCTION("""COMPUTED_VALUE"""),31720.6666666666)</f>
        <v>31720.666666666599</v>
      </c>
      <c r="B1745" s="1">
        <f ca="1">IFERROR(__xludf.DUMMYFUNCTION("""COMPUTED_VALUE"""),246.2)</f>
        <v>246.2</v>
      </c>
    </row>
    <row r="1746" spans="1:2">
      <c r="A1746" s="3">
        <f ca="1">IFERROR(__xludf.DUMMYFUNCTION("""COMPUTED_VALUE"""),31721.6666666666)</f>
        <v>31721.666666666599</v>
      </c>
      <c r="B1746" s="1">
        <f ca="1">IFERROR(__xludf.DUMMYFUNCTION("""COMPUTED_VALUE"""),246.58)</f>
        <v>246.58</v>
      </c>
    </row>
    <row r="1747" spans="1:2">
      <c r="A1747" s="3">
        <f ca="1">IFERROR(__xludf.DUMMYFUNCTION("""COMPUTED_VALUE"""),31722.6666666666)</f>
        <v>31722.666666666599</v>
      </c>
      <c r="B1747" s="1">
        <f ca="1">IFERROR(__xludf.DUMMYFUNCTION("""COMPUTED_VALUE"""),245.87)</f>
        <v>245.87</v>
      </c>
    </row>
    <row r="1748" spans="1:2">
      <c r="A1748" s="3">
        <f ca="1">IFERROR(__xludf.DUMMYFUNCTION("""COMPUTED_VALUE"""),31723.6666666666)</f>
        <v>31723.666666666599</v>
      </c>
      <c r="B1748" s="1">
        <f ca="1">IFERROR(__xludf.DUMMYFUNCTION("""COMPUTED_VALUE"""),245.77)</f>
        <v>245.77</v>
      </c>
    </row>
    <row r="1749" spans="1:2">
      <c r="A1749" s="3">
        <f ca="1">IFERROR(__xludf.DUMMYFUNCTION("""COMPUTED_VALUE"""),31726.6666666666)</f>
        <v>31726.666666666599</v>
      </c>
      <c r="B1749" s="1">
        <f ca="1">IFERROR(__xludf.DUMMYFUNCTION("""COMPUTED_VALUE"""),246.13)</f>
        <v>246.13</v>
      </c>
    </row>
    <row r="1750" spans="1:2">
      <c r="A1750" s="3">
        <f ca="1">IFERROR(__xludf.DUMMYFUNCTION("""COMPUTED_VALUE"""),31727.6666666666)</f>
        <v>31727.666666666599</v>
      </c>
      <c r="B1750" s="1">
        <f ca="1">IFERROR(__xludf.DUMMYFUNCTION("""COMPUTED_VALUE"""),247.08)</f>
        <v>247.08</v>
      </c>
    </row>
    <row r="1751" spans="1:2">
      <c r="A1751" s="3">
        <f ca="1">IFERROR(__xludf.DUMMYFUNCTION("""COMPUTED_VALUE"""),31728.6666666666)</f>
        <v>31728.666666666599</v>
      </c>
      <c r="B1751" s="1">
        <f ca="1">IFERROR(__xludf.DUMMYFUNCTION("""COMPUTED_VALUE"""),246.64)</f>
        <v>246.64</v>
      </c>
    </row>
    <row r="1752" spans="1:2">
      <c r="A1752" s="3">
        <f ca="1">IFERROR(__xludf.DUMMYFUNCTION("""COMPUTED_VALUE"""),31729.6666666666)</f>
        <v>31729.666666666599</v>
      </c>
      <c r="B1752" s="1">
        <f ca="1">IFERROR(__xludf.DUMMYFUNCTION("""COMPUTED_VALUE"""),243.02)</f>
        <v>243.02</v>
      </c>
    </row>
    <row r="1753" spans="1:2">
      <c r="A1753" s="3">
        <f ca="1">IFERROR(__xludf.DUMMYFUNCTION("""COMPUTED_VALUE"""),31730.6666666666)</f>
        <v>31730.666666666599</v>
      </c>
      <c r="B1753" s="1">
        <f ca="1">IFERROR(__xludf.DUMMYFUNCTION("""COMPUTED_VALUE"""),244.5)</f>
        <v>244.5</v>
      </c>
    </row>
    <row r="1754" spans="1:2">
      <c r="A1754" s="3">
        <f ca="1">IFERROR(__xludf.DUMMYFUNCTION("""COMPUTED_VALUE"""),31733.6666666666)</f>
        <v>31733.666666666599</v>
      </c>
      <c r="B1754" s="1">
        <f ca="1">IFERROR(__xludf.DUMMYFUNCTION("""COMPUTED_VALUE"""),243.21)</f>
        <v>243.21</v>
      </c>
    </row>
    <row r="1755" spans="1:2">
      <c r="A1755" s="3">
        <f ca="1">IFERROR(__xludf.DUMMYFUNCTION("""COMPUTED_VALUE"""),31734.6666666666)</f>
        <v>31734.666666666599</v>
      </c>
      <c r="B1755" s="1">
        <f ca="1">IFERROR(__xludf.DUMMYFUNCTION("""COMPUTED_VALUE"""),236.78)</f>
        <v>236.78</v>
      </c>
    </row>
    <row r="1756" spans="1:2">
      <c r="A1756" s="3">
        <f ca="1">IFERROR(__xludf.DUMMYFUNCTION("""COMPUTED_VALUE"""),31735.6666666666)</f>
        <v>31735.666666666599</v>
      </c>
      <c r="B1756" s="1">
        <f ca="1">IFERROR(__xludf.DUMMYFUNCTION("""COMPUTED_VALUE"""),237.66)</f>
        <v>237.66</v>
      </c>
    </row>
    <row r="1757" spans="1:2">
      <c r="A1757" s="3">
        <f ca="1">IFERROR(__xludf.DUMMYFUNCTION("""COMPUTED_VALUE"""),31736.6666666666)</f>
        <v>31736.666666666599</v>
      </c>
      <c r="B1757" s="1">
        <f ca="1">IFERROR(__xludf.DUMMYFUNCTION("""COMPUTED_VALUE"""),242.05)</f>
        <v>242.05</v>
      </c>
    </row>
    <row r="1758" spans="1:2">
      <c r="A1758" s="3">
        <f ca="1">IFERROR(__xludf.DUMMYFUNCTION("""COMPUTED_VALUE"""),31737.6666666666)</f>
        <v>31737.666666666599</v>
      </c>
      <c r="B1758" s="1">
        <f ca="1">IFERROR(__xludf.DUMMYFUNCTION("""COMPUTED_VALUE"""),245.86)</f>
        <v>245.86</v>
      </c>
    </row>
    <row r="1759" spans="1:2">
      <c r="A1759" s="3">
        <f ca="1">IFERROR(__xludf.DUMMYFUNCTION("""COMPUTED_VALUE"""),31740.6666666666)</f>
        <v>31740.666666666599</v>
      </c>
      <c r="B1759" s="1">
        <f ca="1">IFERROR(__xludf.DUMMYFUNCTION("""COMPUTED_VALUE"""),247.45)</f>
        <v>247.45</v>
      </c>
    </row>
    <row r="1760" spans="1:2">
      <c r="A1760" s="3">
        <f ca="1">IFERROR(__xludf.DUMMYFUNCTION("""COMPUTED_VALUE"""),31741.6666666666)</f>
        <v>31741.666666666599</v>
      </c>
      <c r="B1760" s="1">
        <f ca="1">IFERROR(__xludf.DUMMYFUNCTION("""COMPUTED_VALUE"""),248.17)</f>
        <v>248.17</v>
      </c>
    </row>
    <row r="1761" spans="1:2">
      <c r="A1761" s="3">
        <f ca="1">IFERROR(__xludf.DUMMYFUNCTION("""COMPUTED_VALUE"""),31742.6666666666)</f>
        <v>31742.666666666599</v>
      </c>
      <c r="B1761" s="1">
        <f ca="1">IFERROR(__xludf.DUMMYFUNCTION("""COMPUTED_VALUE"""),248.77)</f>
        <v>248.77</v>
      </c>
    </row>
    <row r="1762" spans="1:2">
      <c r="A1762" s="3">
        <f ca="1">IFERROR(__xludf.DUMMYFUNCTION("""COMPUTED_VALUE"""),31744.6666666666)</f>
        <v>31744.666666666599</v>
      </c>
      <c r="B1762" s="1">
        <f ca="1">IFERROR(__xludf.DUMMYFUNCTION("""COMPUTED_VALUE"""),249.22)</f>
        <v>249.22</v>
      </c>
    </row>
    <row r="1763" spans="1:2">
      <c r="A1763" s="3">
        <f ca="1">IFERROR(__xludf.DUMMYFUNCTION("""COMPUTED_VALUE"""),31747.6666666666)</f>
        <v>31747.666666666599</v>
      </c>
      <c r="B1763" s="1">
        <f ca="1">IFERROR(__xludf.DUMMYFUNCTION("""COMPUTED_VALUE"""),249.05)</f>
        <v>249.05</v>
      </c>
    </row>
    <row r="1764" spans="1:2">
      <c r="A1764" s="3">
        <f ca="1">IFERROR(__xludf.DUMMYFUNCTION("""COMPUTED_VALUE"""),31748.6666666666)</f>
        <v>31748.666666666599</v>
      </c>
      <c r="B1764" s="1">
        <f ca="1">IFERROR(__xludf.DUMMYFUNCTION("""COMPUTED_VALUE"""),254)</f>
        <v>254</v>
      </c>
    </row>
    <row r="1765" spans="1:2">
      <c r="A1765" s="3">
        <f ca="1">IFERROR(__xludf.DUMMYFUNCTION("""COMPUTED_VALUE"""),31749.6666666666)</f>
        <v>31749.666666666599</v>
      </c>
      <c r="B1765" s="1">
        <f ca="1">IFERROR(__xludf.DUMMYFUNCTION("""COMPUTED_VALUE"""),253.85)</f>
        <v>253.85</v>
      </c>
    </row>
    <row r="1766" spans="1:2">
      <c r="A1766" s="3">
        <f ca="1">IFERROR(__xludf.DUMMYFUNCTION("""COMPUTED_VALUE"""),31750.6666666666)</f>
        <v>31750.666666666599</v>
      </c>
      <c r="B1766" s="1">
        <f ca="1">IFERROR(__xludf.DUMMYFUNCTION("""COMPUTED_VALUE"""),253.04)</f>
        <v>253.04</v>
      </c>
    </row>
    <row r="1767" spans="1:2">
      <c r="A1767" s="3">
        <f ca="1">IFERROR(__xludf.DUMMYFUNCTION("""COMPUTED_VALUE"""),31751.6666666666)</f>
        <v>31751.666666666599</v>
      </c>
      <c r="B1767" s="1">
        <f ca="1">IFERROR(__xludf.DUMMYFUNCTION("""COMPUTED_VALUE"""),251.17)</f>
        <v>251.17</v>
      </c>
    </row>
    <row r="1768" spans="1:2">
      <c r="A1768" s="3">
        <f ca="1">IFERROR(__xludf.DUMMYFUNCTION("""COMPUTED_VALUE"""),31754.6666666666)</f>
        <v>31754.666666666599</v>
      </c>
      <c r="B1768" s="1">
        <f ca="1">IFERROR(__xludf.DUMMYFUNCTION("""COMPUTED_VALUE"""),251.16)</f>
        <v>251.16</v>
      </c>
    </row>
    <row r="1769" spans="1:2">
      <c r="A1769" s="3">
        <f ca="1">IFERROR(__xludf.DUMMYFUNCTION("""COMPUTED_VALUE"""),31755.6666666666)</f>
        <v>31755.666666666599</v>
      </c>
      <c r="B1769" s="1">
        <f ca="1">IFERROR(__xludf.DUMMYFUNCTION("""COMPUTED_VALUE"""),249.28)</f>
        <v>249.28</v>
      </c>
    </row>
    <row r="1770" spans="1:2">
      <c r="A1770" s="3">
        <f ca="1">IFERROR(__xludf.DUMMYFUNCTION("""COMPUTED_VALUE"""),31756.6666666666)</f>
        <v>31756.666666666599</v>
      </c>
      <c r="B1770" s="1">
        <f ca="1">IFERROR(__xludf.DUMMYFUNCTION("""COMPUTED_VALUE"""),250.96)</f>
        <v>250.96</v>
      </c>
    </row>
    <row r="1771" spans="1:2">
      <c r="A1771" s="3">
        <f ca="1">IFERROR(__xludf.DUMMYFUNCTION("""COMPUTED_VALUE"""),31757.6666666666)</f>
        <v>31757.666666666599</v>
      </c>
      <c r="B1771" s="1">
        <f ca="1">IFERROR(__xludf.DUMMYFUNCTION("""COMPUTED_VALUE"""),248.17)</f>
        <v>248.17</v>
      </c>
    </row>
    <row r="1772" spans="1:2">
      <c r="A1772" s="3">
        <f ca="1">IFERROR(__xludf.DUMMYFUNCTION("""COMPUTED_VALUE"""),31758.6666666666)</f>
        <v>31758.666666666599</v>
      </c>
      <c r="B1772" s="1">
        <f ca="1">IFERROR(__xludf.DUMMYFUNCTION("""COMPUTED_VALUE"""),247.35)</f>
        <v>247.35</v>
      </c>
    </row>
    <row r="1773" spans="1:2">
      <c r="A1773" s="3">
        <f ca="1">IFERROR(__xludf.DUMMYFUNCTION("""COMPUTED_VALUE"""),31761.6666666666)</f>
        <v>31761.666666666599</v>
      </c>
      <c r="B1773" s="1">
        <f ca="1">IFERROR(__xludf.DUMMYFUNCTION("""COMPUTED_VALUE"""),248.21)</f>
        <v>248.21</v>
      </c>
    </row>
    <row r="1774" spans="1:2">
      <c r="A1774" s="3">
        <f ca="1">IFERROR(__xludf.DUMMYFUNCTION("""COMPUTED_VALUE"""),31762.6666666666)</f>
        <v>31762.666666666599</v>
      </c>
      <c r="B1774" s="1">
        <f ca="1">IFERROR(__xludf.DUMMYFUNCTION("""COMPUTED_VALUE"""),250.04)</f>
        <v>250.04</v>
      </c>
    </row>
    <row r="1775" spans="1:2">
      <c r="A1775" s="3">
        <f ca="1">IFERROR(__xludf.DUMMYFUNCTION("""COMPUTED_VALUE"""),31763.6666666666)</f>
        <v>31763.666666666599</v>
      </c>
      <c r="B1775" s="1">
        <f ca="1">IFERROR(__xludf.DUMMYFUNCTION("""COMPUTED_VALUE"""),247.56)</f>
        <v>247.56</v>
      </c>
    </row>
    <row r="1776" spans="1:2">
      <c r="A1776" s="3">
        <f ca="1">IFERROR(__xludf.DUMMYFUNCTION("""COMPUTED_VALUE"""),31764.6666666666)</f>
        <v>31764.666666666599</v>
      </c>
      <c r="B1776" s="1">
        <f ca="1">IFERROR(__xludf.DUMMYFUNCTION("""COMPUTED_VALUE"""),246.78)</f>
        <v>246.78</v>
      </c>
    </row>
    <row r="1777" spans="1:2">
      <c r="A1777" s="3">
        <f ca="1">IFERROR(__xludf.DUMMYFUNCTION("""COMPUTED_VALUE"""),31765.6666666666)</f>
        <v>31765.666666666599</v>
      </c>
      <c r="B1777" s="1">
        <f ca="1">IFERROR(__xludf.DUMMYFUNCTION("""COMPUTED_VALUE"""),249.73)</f>
        <v>249.73</v>
      </c>
    </row>
    <row r="1778" spans="1:2">
      <c r="A1778" s="3">
        <f ca="1">IFERROR(__xludf.DUMMYFUNCTION("""COMPUTED_VALUE"""),31768.6666666666)</f>
        <v>31768.666666666599</v>
      </c>
      <c r="B1778" s="1">
        <f ca="1">IFERROR(__xludf.DUMMYFUNCTION("""COMPUTED_VALUE"""),248.75)</f>
        <v>248.75</v>
      </c>
    </row>
    <row r="1779" spans="1:2">
      <c r="A1779" s="3">
        <f ca="1">IFERROR(__xludf.DUMMYFUNCTION("""COMPUTED_VALUE"""),31769.6666666666)</f>
        <v>31769.666666666599</v>
      </c>
      <c r="B1779" s="1">
        <f ca="1">IFERROR(__xludf.DUMMYFUNCTION("""COMPUTED_VALUE"""),246.34)</f>
        <v>246.34</v>
      </c>
    </row>
    <row r="1780" spans="1:2">
      <c r="A1780" s="3">
        <f ca="1">IFERROR(__xludf.DUMMYFUNCTION("""COMPUTED_VALUE"""),31770.6666666666)</f>
        <v>31770.666666666599</v>
      </c>
      <c r="B1780" s="1">
        <f ca="1">IFERROR(__xludf.DUMMYFUNCTION("""COMPUTED_VALUE"""),246.75)</f>
        <v>246.75</v>
      </c>
    </row>
    <row r="1781" spans="1:2">
      <c r="A1781" s="3">
        <f ca="1">IFERROR(__xludf.DUMMYFUNCTION("""COMPUTED_VALUE"""),31772.6666666666)</f>
        <v>31772.666666666599</v>
      </c>
      <c r="B1781" s="1">
        <f ca="1">IFERROR(__xludf.DUMMYFUNCTION("""COMPUTED_VALUE"""),246.92)</f>
        <v>246.92</v>
      </c>
    </row>
    <row r="1782" spans="1:2">
      <c r="A1782" s="3">
        <f ca="1">IFERROR(__xludf.DUMMYFUNCTION("""COMPUTED_VALUE"""),31775.6666666666)</f>
        <v>31775.666666666599</v>
      </c>
      <c r="B1782" s="1">
        <f ca="1">IFERROR(__xludf.DUMMYFUNCTION("""COMPUTED_VALUE"""),244.67)</f>
        <v>244.67</v>
      </c>
    </row>
    <row r="1783" spans="1:2">
      <c r="A1783" s="3">
        <f ca="1">IFERROR(__xludf.DUMMYFUNCTION("""COMPUTED_VALUE"""),31776.6666666666)</f>
        <v>31776.666666666599</v>
      </c>
      <c r="B1783" s="1">
        <f ca="1">IFERROR(__xludf.DUMMYFUNCTION("""COMPUTED_VALUE"""),243.37)</f>
        <v>243.37</v>
      </c>
    </row>
    <row r="1784" spans="1:2">
      <c r="A1784" s="3">
        <f ca="1">IFERROR(__xludf.DUMMYFUNCTION("""COMPUTED_VALUE"""),31777.6666666666)</f>
        <v>31777.666666666599</v>
      </c>
      <c r="B1784" s="1">
        <f ca="1">IFERROR(__xludf.DUMMYFUNCTION("""COMPUTED_VALUE"""),242.17)</f>
        <v>242.17</v>
      </c>
    </row>
    <row r="1785" spans="1:2">
      <c r="A1785" s="3">
        <f ca="1">IFERROR(__xludf.DUMMYFUNCTION("""COMPUTED_VALUE"""),31779.6666666666)</f>
        <v>31779.666666666599</v>
      </c>
      <c r="B1785" s="1">
        <f ca="1">IFERROR(__xludf.DUMMYFUNCTION("""COMPUTED_VALUE"""),246.45)</f>
        <v>246.45</v>
      </c>
    </row>
    <row r="1786" spans="1:2">
      <c r="A1786" s="3">
        <f ca="1">IFERROR(__xludf.DUMMYFUNCTION("""COMPUTED_VALUE"""),31782.6666666666)</f>
        <v>31782.666666666599</v>
      </c>
      <c r="B1786" s="1">
        <f ca="1">IFERROR(__xludf.DUMMYFUNCTION("""COMPUTED_VALUE"""),252.19)</f>
        <v>252.19</v>
      </c>
    </row>
    <row r="1787" spans="1:2">
      <c r="A1787" s="3">
        <f ca="1">IFERROR(__xludf.DUMMYFUNCTION("""COMPUTED_VALUE"""),31783.6666666666)</f>
        <v>31783.666666666599</v>
      </c>
      <c r="B1787" s="1">
        <f ca="1">IFERROR(__xludf.DUMMYFUNCTION("""COMPUTED_VALUE"""),252.78)</f>
        <v>252.78</v>
      </c>
    </row>
    <row r="1788" spans="1:2">
      <c r="A1788" s="3">
        <f ca="1">IFERROR(__xludf.DUMMYFUNCTION("""COMPUTED_VALUE"""),31784.6666666666)</f>
        <v>31784.666666666599</v>
      </c>
      <c r="B1788" s="1">
        <f ca="1">IFERROR(__xludf.DUMMYFUNCTION("""COMPUTED_VALUE"""),255.33)</f>
        <v>255.33</v>
      </c>
    </row>
    <row r="1789" spans="1:2">
      <c r="A1789" s="3">
        <f ca="1">IFERROR(__xludf.DUMMYFUNCTION("""COMPUTED_VALUE"""),31785.6666666666)</f>
        <v>31785.666666666599</v>
      </c>
      <c r="B1789" s="1">
        <f ca="1">IFERROR(__xludf.DUMMYFUNCTION("""COMPUTED_VALUE"""),257.28)</f>
        <v>257.27999999999997</v>
      </c>
    </row>
    <row r="1790" spans="1:2">
      <c r="A1790" s="3">
        <f ca="1">IFERROR(__xludf.DUMMYFUNCTION("""COMPUTED_VALUE"""),31786.6666666666)</f>
        <v>31786.666666666599</v>
      </c>
      <c r="B1790" s="1">
        <f ca="1">IFERROR(__xludf.DUMMYFUNCTION("""COMPUTED_VALUE"""),258.73)</f>
        <v>258.73</v>
      </c>
    </row>
    <row r="1791" spans="1:2">
      <c r="A1791" s="3">
        <f ca="1">IFERROR(__xludf.DUMMYFUNCTION("""COMPUTED_VALUE"""),31789.6666666666)</f>
        <v>31789.666666666599</v>
      </c>
      <c r="B1791" s="1">
        <f ca="1">IFERROR(__xludf.DUMMYFUNCTION("""COMPUTED_VALUE"""),260.3)</f>
        <v>260.3</v>
      </c>
    </row>
    <row r="1792" spans="1:2">
      <c r="A1792" s="3">
        <f ca="1">IFERROR(__xludf.DUMMYFUNCTION("""COMPUTED_VALUE"""),31790.6666666666)</f>
        <v>31790.666666666599</v>
      </c>
      <c r="B1792" s="1">
        <f ca="1">IFERROR(__xludf.DUMMYFUNCTION("""COMPUTED_VALUE"""),259.95)</f>
        <v>259.95</v>
      </c>
    </row>
    <row r="1793" spans="1:2">
      <c r="A1793" s="3">
        <f ca="1">IFERROR(__xludf.DUMMYFUNCTION("""COMPUTED_VALUE"""),31791.6666666666)</f>
        <v>31791.666666666599</v>
      </c>
      <c r="B1793" s="1">
        <f ca="1">IFERROR(__xludf.DUMMYFUNCTION("""COMPUTED_VALUE"""),262.64)</f>
        <v>262.64</v>
      </c>
    </row>
    <row r="1794" spans="1:2">
      <c r="A1794" s="3">
        <f ca="1">IFERROR(__xludf.DUMMYFUNCTION("""COMPUTED_VALUE"""),31792.6666666666)</f>
        <v>31792.666666666599</v>
      </c>
      <c r="B1794" s="1">
        <f ca="1">IFERROR(__xludf.DUMMYFUNCTION("""COMPUTED_VALUE"""),265.49)</f>
        <v>265.49</v>
      </c>
    </row>
    <row r="1795" spans="1:2">
      <c r="A1795" s="3">
        <f ca="1">IFERROR(__xludf.DUMMYFUNCTION("""COMPUTED_VALUE"""),31793.6666666666)</f>
        <v>31793.666666666599</v>
      </c>
      <c r="B1795" s="1">
        <f ca="1">IFERROR(__xludf.DUMMYFUNCTION("""COMPUTED_VALUE"""),266.28)</f>
        <v>266.27999999999997</v>
      </c>
    </row>
    <row r="1796" spans="1:2">
      <c r="A1796" s="3">
        <f ca="1">IFERROR(__xludf.DUMMYFUNCTION("""COMPUTED_VALUE"""),31796.6666666666)</f>
        <v>31796.666666666599</v>
      </c>
      <c r="B1796" s="1">
        <f ca="1">IFERROR(__xludf.DUMMYFUNCTION("""COMPUTED_VALUE"""),269.34)</f>
        <v>269.33999999999997</v>
      </c>
    </row>
    <row r="1797" spans="1:2">
      <c r="A1797" s="3">
        <f ca="1">IFERROR(__xludf.DUMMYFUNCTION("""COMPUTED_VALUE"""),31797.6666666666)</f>
        <v>31797.666666666599</v>
      </c>
      <c r="B1797" s="1">
        <f ca="1">IFERROR(__xludf.DUMMYFUNCTION("""COMPUTED_VALUE"""),269.04)</f>
        <v>269.04000000000002</v>
      </c>
    </row>
    <row r="1798" spans="1:2">
      <c r="A1798" s="3">
        <f ca="1">IFERROR(__xludf.DUMMYFUNCTION("""COMPUTED_VALUE"""),31798.6666666666)</f>
        <v>31798.666666666599</v>
      </c>
      <c r="B1798" s="1">
        <f ca="1">IFERROR(__xludf.DUMMYFUNCTION("""COMPUTED_VALUE"""),267.84)</f>
        <v>267.83999999999997</v>
      </c>
    </row>
    <row r="1799" spans="1:2">
      <c r="A1799" s="3">
        <f ca="1">IFERROR(__xludf.DUMMYFUNCTION("""COMPUTED_VALUE"""),31799.6666666666)</f>
        <v>31799.666666666599</v>
      </c>
      <c r="B1799" s="1">
        <f ca="1">IFERROR(__xludf.DUMMYFUNCTION("""COMPUTED_VALUE"""),273.91)</f>
        <v>273.91000000000003</v>
      </c>
    </row>
    <row r="1800" spans="1:2">
      <c r="A1800" s="3">
        <f ca="1">IFERROR(__xludf.DUMMYFUNCTION("""COMPUTED_VALUE"""),31800.6666666666)</f>
        <v>31800.666666666599</v>
      </c>
      <c r="B1800" s="1">
        <f ca="1">IFERROR(__xludf.DUMMYFUNCTION("""COMPUTED_VALUE"""),270.1)</f>
        <v>270.10000000000002</v>
      </c>
    </row>
    <row r="1801" spans="1:2">
      <c r="A1801" s="3">
        <f ca="1">IFERROR(__xludf.DUMMYFUNCTION("""COMPUTED_VALUE"""),31803.6666666666)</f>
        <v>31803.666666666599</v>
      </c>
      <c r="B1801" s="1">
        <f ca="1">IFERROR(__xludf.DUMMYFUNCTION("""COMPUTED_VALUE"""),269.61)</f>
        <v>269.61</v>
      </c>
    </row>
    <row r="1802" spans="1:2">
      <c r="A1802" s="3">
        <f ca="1">IFERROR(__xludf.DUMMYFUNCTION("""COMPUTED_VALUE"""),31804.6666666666)</f>
        <v>31804.666666666599</v>
      </c>
      <c r="B1802" s="1">
        <f ca="1">IFERROR(__xludf.DUMMYFUNCTION("""COMPUTED_VALUE"""),273.75)</f>
        <v>273.75</v>
      </c>
    </row>
    <row r="1803" spans="1:2">
      <c r="A1803" s="3">
        <f ca="1">IFERROR(__xludf.DUMMYFUNCTION("""COMPUTED_VALUE"""),31805.6666666666)</f>
        <v>31805.666666666599</v>
      </c>
      <c r="B1803" s="1">
        <f ca="1">IFERROR(__xludf.DUMMYFUNCTION("""COMPUTED_VALUE"""),275.4)</f>
        <v>275.39999999999998</v>
      </c>
    </row>
    <row r="1804" spans="1:2">
      <c r="A1804" s="3">
        <f ca="1">IFERROR(__xludf.DUMMYFUNCTION("""COMPUTED_VALUE"""),31806.6666666666)</f>
        <v>31806.666666666599</v>
      </c>
      <c r="B1804" s="1">
        <f ca="1">IFERROR(__xludf.DUMMYFUNCTION("""COMPUTED_VALUE"""),274.24)</f>
        <v>274.24</v>
      </c>
    </row>
    <row r="1805" spans="1:2">
      <c r="A1805" s="3">
        <f ca="1">IFERROR(__xludf.DUMMYFUNCTION("""COMPUTED_VALUE"""),31807.6666666666)</f>
        <v>31807.666666666599</v>
      </c>
      <c r="B1805" s="1">
        <f ca="1">IFERROR(__xludf.DUMMYFUNCTION("""COMPUTED_VALUE"""),274.08)</f>
        <v>274.08</v>
      </c>
    </row>
    <row r="1806" spans="1:2">
      <c r="A1806" s="3">
        <f ca="1">IFERROR(__xludf.DUMMYFUNCTION("""COMPUTED_VALUE"""),31810.6666666666)</f>
        <v>31810.666666666599</v>
      </c>
      <c r="B1806" s="1">
        <f ca="1">IFERROR(__xludf.DUMMYFUNCTION("""COMPUTED_VALUE"""),276.45)</f>
        <v>276.45</v>
      </c>
    </row>
    <row r="1807" spans="1:2">
      <c r="A1807" s="3">
        <f ca="1">IFERROR(__xludf.DUMMYFUNCTION("""COMPUTED_VALUE"""),31811.6666666666)</f>
        <v>31811.666666666599</v>
      </c>
      <c r="B1807" s="1">
        <f ca="1">IFERROR(__xludf.DUMMYFUNCTION("""COMPUTED_VALUE"""),275.99)</f>
        <v>275.99</v>
      </c>
    </row>
    <row r="1808" spans="1:2">
      <c r="A1808" s="3">
        <f ca="1">IFERROR(__xludf.DUMMYFUNCTION("""COMPUTED_VALUE"""),31812.6666666666)</f>
        <v>31812.666666666599</v>
      </c>
      <c r="B1808" s="1">
        <f ca="1">IFERROR(__xludf.DUMMYFUNCTION("""COMPUTED_VALUE"""),279.64)</f>
        <v>279.64</v>
      </c>
    </row>
    <row r="1809" spans="1:2">
      <c r="A1809" s="3">
        <f ca="1">IFERROR(__xludf.DUMMYFUNCTION("""COMPUTED_VALUE"""),31813.6666666666)</f>
        <v>31813.666666666599</v>
      </c>
      <c r="B1809" s="1">
        <f ca="1">IFERROR(__xludf.DUMMYFUNCTION("""COMPUTED_VALUE"""),281.16)</f>
        <v>281.16000000000003</v>
      </c>
    </row>
    <row r="1810" spans="1:2">
      <c r="A1810" s="3">
        <f ca="1">IFERROR(__xludf.DUMMYFUNCTION("""COMPUTED_VALUE"""),31814.6666666666)</f>
        <v>31814.666666666599</v>
      </c>
      <c r="B1810" s="1">
        <f ca="1">IFERROR(__xludf.DUMMYFUNCTION("""COMPUTED_VALUE"""),280.04)</f>
        <v>280.04000000000002</v>
      </c>
    </row>
    <row r="1811" spans="1:2">
      <c r="A1811" s="3">
        <f ca="1">IFERROR(__xludf.DUMMYFUNCTION("""COMPUTED_VALUE"""),31817.6666666666)</f>
        <v>31817.666666666599</v>
      </c>
      <c r="B1811" s="1">
        <f ca="1">IFERROR(__xludf.DUMMYFUNCTION("""COMPUTED_VALUE"""),278.16)</f>
        <v>278.16000000000003</v>
      </c>
    </row>
    <row r="1812" spans="1:2">
      <c r="A1812" s="3">
        <f ca="1">IFERROR(__xludf.DUMMYFUNCTION("""COMPUTED_VALUE"""),31818.6666666666)</f>
        <v>31818.666666666599</v>
      </c>
      <c r="B1812" s="1">
        <f ca="1">IFERROR(__xludf.DUMMYFUNCTION("""COMPUTED_VALUE"""),275.07)</f>
        <v>275.07</v>
      </c>
    </row>
    <row r="1813" spans="1:2">
      <c r="A1813" s="3">
        <f ca="1">IFERROR(__xludf.DUMMYFUNCTION("""COMPUTED_VALUE"""),31819.6666666666)</f>
        <v>31819.666666666599</v>
      </c>
      <c r="B1813" s="1">
        <f ca="1">IFERROR(__xludf.DUMMYFUNCTION("""COMPUTED_VALUE"""),277.54)</f>
        <v>277.54000000000002</v>
      </c>
    </row>
    <row r="1814" spans="1:2">
      <c r="A1814" s="3">
        <f ca="1">IFERROR(__xludf.DUMMYFUNCTION("""COMPUTED_VALUE"""),31820.6666666666)</f>
        <v>31820.666666666599</v>
      </c>
      <c r="B1814" s="1">
        <f ca="1">IFERROR(__xludf.DUMMYFUNCTION("""COMPUTED_VALUE"""),275.62)</f>
        <v>275.62</v>
      </c>
    </row>
    <row r="1815" spans="1:2">
      <c r="A1815" s="3">
        <f ca="1">IFERROR(__xludf.DUMMYFUNCTION("""COMPUTED_VALUE"""),31821.6666666666)</f>
        <v>31821.666666666599</v>
      </c>
      <c r="B1815" s="1">
        <f ca="1">IFERROR(__xludf.DUMMYFUNCTION("""COMPUTED_VALUE"""),279.7)</f>
        <v>279.7</v>
      </c>
    </row>
    <row r="1816" spans="1:2">
      <c r="A1816" s="3">
        <f ca="1">IFERROR(__xludf.DUMMYFUNCTION("""COMPUTED_VALUE"""),31825.6666666666)</f>
        <v>31825.666666666599</v>
      </c>
      <c r="B1816" s="1">
        <f ca="1">IFERROR(__xludf.DUMMYFUNCTION("""COMPUTED_VALUE"""),285.49)</f>
        <v>285.49</v>
      </c>
    </row>
    <row r="1817" spans="1:2">
      <c r="A1817" s="3">
        <f ca="1">IFERROR(__xludf.DUMMYFUNCTION("""COMPUTED_VALUE"""),31826.6666666666)</f>
        <v>31826.666666666599</v>
      </c>
      <c r="B1817" s="1">
        <f ca="1">IFERROR(__xludf.DUMMYFUNCTION("""COMPUTED_VALUE"""),285.42)</f>
        <v>285.42</v>
      </c>
    </row>
    <row r="1818" spans="1:2">
      <c r="A1818" s="3">
        <f ca="1">IFERROR(__xludf.DUMMYFUNCTION("""COMPUTED_VALUE"""),31827.6666666666)</f>
        <v>31827.666666666599</v>
      </c>
      <c r="B1818" s="1">
        <f ca="1">IFERROR(__xludf.DUMMYFUNCTION("""COMPUTED_VALUE"""),285.57)</f>
        <v>285.57</v>
      </c>
    </row>
    <row r="1819" spans="1:2">
      <c r="A1819" s="3">
        <f ca="1">IFERROR(__xludf.DUMMYFUNCTION("""COMPUTED_VALUE"""),31828.6666666666)</f>
        <v>31828.666666666599</v>
      </c>
      <c r="B1819" s="1">
        <f ca="1">IFERROR(__xludf.DUMMYFUNCTION("""COMPUTED_VALUE"""),285.48)</f>
        <v>285.48</v>
      </c>
    </row>
    <row r="1820" spans="1:2">
      <c r="A1820" s="3">
        <f ca="1">IFERROR(__xludf.DUMMYFUNCTION("""COMPUTED_VALUE"""),31831.6666666666)</f>
        <v>31831.666666666599</v>
      </c>
      <c r="B1820" s="1">
        <f ca="1">IFERROR(__xludf.DUMMYFUNCTION("""COMPUTED_VALUE"""),282.38)</f>
        <v>282.38</v>
      </c>
    </row>
    <row r="1821" spans="1:2">
      <c r="A1821" s="3">
        <f ca="1">IFERROR(__xludf.DUMMYFUNCTION("""COMPUTED_VALUE"""),31832.6666666666)</f>
        <v>31832.666666666599</v>
      </c>
      <c r="B1821" s="1">
        <f ca="1">IFERROR(__xludf.DUMMYFUNCTION("""COMPUTED_VALUE"""),282.88)</f>
        <v>282.88</v>
      </c>
    </row>
    <row r="1822" spans="1:2">
      <c r="A1822" s="3">
        <f ca="1">IFERROR(__xludf.DUMMYFUNCTION("""COMPUTED_VALUE"""),31833.6666666666)</f>
        <v>31833.666666666599</v>
      </c>
      <c r="B1822" s="1">
        <f ca="1">IFERROR(__xludf.DUMMYFUNCTION("""COMPUTED_VALUE"""),284)</f>
        <v>284</v>
      </c>
    </row>
    <row r="1823" spans="1:2">
      <c r="A1823" s="3">
        <f ca="1">IFERROR(__xludf.DUMMYFUNCTION("""COMPUTED_VALUE"""),31834.6666666666)</f>
        <v>31834.666666666599</v>
      </c>
      <c r="B1823" s="1">
        <f ca="1">IFERROR(__xludf.DUMMYFUNCTION("""COMPUTED_VALUE"""),282.96)</f>
        <v>282.95999999999998</v>
      </c>
    </row>
    <row r="1824" spans="1:2">
      <c r="A1824" s="3">
        <f ca="1">IFERROR(__xludf.DUMMYFUNCTION("""COMPUTED_VALUE"""),31835.6666666666)</f>
        <v>31835.666666666599</v>
      </c>
      <c r="B1824" s="1">
        <f ca="1">IFERROR(__xludf.DUMMYFUNCTION("""COMPUTED_VALUE"""),284.2)</f>
        <v>284.2</v>
      </c>
    </row>
    <row r="1825" spans="1:2">
      <c r="A1825" s="3">
        <f ca="1">IFERROR(__xludf.DUMMYFUNCTION("""COMPUTED_VALUE"""),31838.6666666666)</f>
        <v>31838.666666666599</v>
      </c>
      <c r="B1825" s="1">
        <f ca="1">IFERROR(__xludf.DUMMYFUNCTION("""COMPUTED_VALUE"""),283)</f>
        <v>283</v>
      </c>
    </row>
    <row r="1826" spans="1:2">
      <c r="A1826" s="3">
        <f ca="1">IFERROR(__xludf.DUMMYFUNCTION("""COMPUTED_VALUE"""),31839.6666666666)</f>
        <v>31839.666666666599</v>
      </c>
      <c r="B1826" s="1">
        <f ca="1">IFERROR(__xludf.DUMMYFUNCTION("""COMPUTED_VALUE"""),284.12)</f>
        <v>284.12</v>
      </c>
    </row>
    <row r="1827" spans="1:2">
      <c r="A1827" s="3">
        <f ca="1">IFERROR(__xludf.DUMMYFUNCTION("""COMPUTED_VALUE"""),31840.6666666666)</f>
        <v>31840.666666666599</v>
      </c>
      <c r="B1827" s="1">
        <f ca="1">IFERROR(__xludf.DUMMYFUNCTION("""COMPUTED_VALUE"""),288.62)</f>
        <v>288.62</v>
      </c>
    </row>
    <row r="1828" spans="1:2">
      <c r="A1828" s="3">
        <f ca="1">IFERROR(__xludf.DUMMYFUNCTION("""COMPUTED_VALUE"""),31841.6666666666)</f>
        <v>31841.666666666599</v>
      </c>
      <c r="B1828" s="1">
        <f ca="1">IFERROR(__xludf.DUMMYFUNCTION("""COMPUTED_VALUE"""),290.52)</f>
        <v>290.52</v>
      </c>
    </row>
    <row r="1829" spans="1:2">
      <c r="A1829" s="3">
        <f ca="1">IFERROR(__xludf.DUMMYFUNCTION("""COMPUTED_VALUE"""),31842.6666666666)</f>
        <v>31842.666666666599</v>
      </c>
      <c r="B1829" s="1">
        <f ca="1">IFERROR(__xludf.DUMMYFUNCTION("""COMPUTED_VALUE"""),290.66)</f>
        <v>290.66000000000003</v>
      </c>
    </row>
    <row r="1830" spans="1:2">
      <c r="A1830" s="3">
        <f ca="1">IFERROR(__xludf.DUMMYFUNCTION("""COMPUTED_VALUE"""),31845.6666666666)</f>
        <v>31845.666666666599</v>
      </c>
      <c r="B1830" s="1">
        <f ca="1">IFERROR(__xludf.DUMMYFUNCTION("""COMPUTED_VALUE"""),288.3)</f>
        <v>288.3</v>
      </c>
    </row>
    <row r="1831" spans="1:2">
      <c r="A1831" s="3">
        <f ca="1">IFERROR(__xludf.DUMMYFUNCTION("""COMPUTED_VALUE"""),31846.6666666666)</f>
        <v>31846.666666666599</v>
      </c>
      <c r="B1831" s="1">
        <f ca="1">IFERROR(__xludf.DUMMYFUNCTION("""COMPUTED_VALUE"""),290.86)</f>
        <v>290.86</v>
      </c>
    </row>
    <row r="1832" spans="1:2">
      <c r="A1832" s="3">
        <f ca="1">IFERROR(__xludf.DUMMYFUNCTION("""COMPUTED_VALUE"""),31847.6666666666)</f>
        <v>31847.666666666599</v>
      </c>
      <c r="B1832" s="1">
        <f ca="1">IFERROR(__xludf.DUMMYFUNCTION("""COMPUTED_VALUE"""),290.31)</f>
        <v>290.31</v>
      </c>
    </row>
    <row r="1833" spans="1:2">
      <c r="A1833" s="3">
        <f ca="1">IFERROR(__xludf.DUMMYFUNCTION("""COMPUTED_VALUE"""),31848.6666666666)</f>
        <v>31848.666666666599</v>
      </c>
      <c r="B1833" s="1">
        <f ca="1">IFERROR(__xludf.DUMMYFUNCTION("""COMPUTED_VALUE"""),291.22)</f>
        <v>291.22000000000003</v>
      </c>
    </row>
    <row r="1834" spans="1:2">
      <c r="A1834" s="3">
        <f ca="1">IFERROR(__xludf.DUMMYFUNCTION("""COMPUTED_VALUE"""),31849.6666666666)</f>
        <v>31849.666666666599</v>
      </c>
      <c r="B1834" s="1">
        <f ca="1">IFERROR(__xludf.DUMMYFUNCTION("""COMPUTED_VALUE"""),289.89)</f>
        <v>289.89</v>
      </c>
    </row>
    <row r="1835" spans="1:2">
      <c r="A1835" s="3">
        <f ca="1">IFERROR(__xludf.DUMMYFUNCTION("""COMPUTED_VALUE"""),31852.6666666666)</f>
        <v>31852.666666666599</v>
      </c>
      <c r="B1835" s="1">
        <f ca="1">IFERROR(__xludf.DUMMYFUNCTION("""COMPUTED_VALUE"""),288.23)</f>
        <v>288.23</v>
      </c>
    </row>
    <row r="1836" spans="1:2">
      <c r="A1836" s="3">
        <f ca="1">IFERROR(__xludf.DUMMYFUNCTION("""COMPUTED_VALUE"""),31853.6666666666)</f>
        <v>31853.666666666599</v>
      </c>
      <c r="B1836" s="1">
        <f ca="1">IFERROR(__xludf.DUMMYFUNCTION("""COMPUTED_VALUE"""),292.47)</f>
        <v>292.47000000000003</v>
      </c>
    </row>
    <row r="1837" spans="1:2">
      <c r="A1837" s="3">
        <f ca="1">IFERROR(__xludf.DUMMYFUNCTION("""COMPUTED_VALUE"""),31854.6666666666)</f>
        <v>31854.666666666599</v>
      </c>
      <c r="B1837" s="1">
        <f ca="1">IFERROR(__xludf.DUMMYFUNCTION("""COMPUTED_VALUE"""),292.78)</f>
        <v>292.77999999999997</v>
      </c>
    </row>
    <row r="1838" spans="1:2">
      <c r="A1838" s="3">
        <f ca="1">IFERROR(__xludf.DUMMYFUNCTION("""COMPUTED_VALUE"""),31855.6666666666)</f>
        <v>31855.666666666599</v>
      </c>
      <c r="B1838" s="1">
        <f ca="1">IFERROR(__xludf.DUMMYFUNCTION("""COMPUTED_VALUE"""),294.08)</f>
        <v>294.08</v>
      </c>
    </row>
    <row r="1839" spans="1:2">
      <c r="A1839" s="3">
        <f ca="1">IFERROR(__xludf.DUMMYFUNCTION("""COMPUTED_VALUE"""),31856.6666666666)</f>
        <v>31856.666666666599</v>
      </c>
      <c r="B1839" s="1">
        <f ca="1">IFERROR(__xludf.DUMMYFUNCTION("""COMPUTED_VALUE"""),298.17)</f>
        <v>298.17</v>
      </c>
    </row>
    <row r="1840" spans="1:2">
      <c r="A1840" s="3">
        <f ca="1">IFERROR(__xludf.DUMMYFUNCTION("""COMPUTED_VALUE"""),31859.6666666666)</f>
        <v>31859.666666666599</v>
      </c>
      <c r="B1840" s="1">
        <f ca="1">IFERROR(__xludf.DUMMYFUNCTION("""COMPUTED_VALUE"""),301.16)</f>
        <v>301.16000000000003</v>
      </c>
    </row>
    <row r="1841" spans="1:2">
      <c r="A1841" s="3">
        <f ca="1">IFERROR(__xludf.DUMMYFUNCTION("""COMPUTED_VALUE"""),31860.6666666666)</f>
        <v>31860.666666666599</v>
      </c>
      <c r="B1841" s="1">
        <f ca="1">IFERROR(__xludf.DUMMYFUNCTION("""COMPUTED_VALUE"""),301.64)</f>
        <v>301.64</v>
      </c>
    </row>
    <row r="1842" spans="1:2">
      <c r="A1842" s="3">
        <f ca="1">IFERROR(__xludf.DUMMYFUNCTION("""COMPUTED_VALUE"""),31861.6666666666)</f>
        <v>31861.666666666599</v>
      </c>
      <c r="B1842" s="1">
        <f ca="1">IFERROR(__xludf.DUMMYFUNCTION("""COMPUTED_VALUE"""),300.38)</f>
        <v>300.38</v>
      </c>
    </row>
    <row r="1843" spans="1:2">
      <c r="A1843" s="3">
        <f ca="1">IFERROR(__xludf.DUMMYFUNCTION("""COMPUTED_VALUE"""),31862.6666666666)</f>
        <v>31862.666666666599</v>
      </c>
      <c r="B1843" s="1">
        <f ca="1">IFERROR(__xludf.DUMMYFUNCTION("""COMPUTED_VALUE"""),300.93)</f>
        <v>300.93</v>
      </c>
    </row>
    <row r="1844" spans="1:2">
      <c r="A1844" s="3">
        <f ca="1">IFERROR(__xludf.DUMMYFUNCTION("""COMPUTED_VALUE"""),31863.6666666666)</f>
        <v>31863.666666666599</v>
      </c>
      <c r="B1844" s="1">
        <f ca="1">IFERROR(__xludf.DUMMYFUNCTION("""COMPUTED_VALUE"""),296.13)</f>
        <v>296.13</v>
      </c>
    </row>
    <row r="1845" spans="1:2">
      <c r="A1845" s="3">
        <f ca="1">IFERROR(__xludf.DUMMYFUNCTION("""COMPUTED_VALUE"""),31866.6666666666)</f>
        <v>31866.666666666599</v>
      </c>
      <c r="B1845" s="1">
        <f ca="1">IFERROR(__xludf.DUMMYFUNCTION("""COMPUTED_VALUE"""),289.2)</f>
        <v>289.2</v>
      </c>
    </row>
    <row r="1846" spans="1:2">
      <c r="A1846" s="3">
        <f ca="1">IFERROR(__xludf.DUMMYFUNCTION("""COMPUTED_VALUE"""),31867.6666666666)</f>
        <v>31867.666666666599</v>
      </c>
      <c r="B1846" s="1">
        <f ca="1">IFERROR(__xludf.DUMMYFUNCTION("""COMPUTED_VALUE"""),291.7)</f>
        <v>291.7</v>
      </c>
    </row>
    <row r="1847" spans="1:2">
      <c r="A1847" s="3">
        <f ca="1">IFERROR(__xludf.DUMMYFUNCTION("""COMPUTED_VALUE"""),31868.6666666666)</f>
        <v>31868.666666666599</v>
      </c>
      <c r="B1847" s="1">
        <f ca="1">IFERROR(__xludf.DUMMYFUNCTION("""COMPUTED_VALUE"""),292.38)</f>
        <v>292.38</v>
      </c>
    </row>
    <row r="1848" spans="1:2">
      <c r="A1848" s="3">
        <f ca="1">IFERROR(__xludf.DUMMYFUNCTION("""COMPUTED_VALUE"""),31869.6666666666)</f>
        <v>31869.666666666599</v>
      </c>
      <c r="B1848" s="1">
        <f ca="1">IFERROR(__xludf.DUMMYFUNCTION("""COMPUTED_VALUE"""),293.63)</f>
        <v>293.63</v>
      </c>
    </row>
    <row r="1849" spans="1:2">
      <c r="A1849" s="3">
        <f ca="1">IFERROR(__xludf.DUMMYFUNCTION("""COMPUTED_VALUE"""),31870.6666666666)</f>
        <v>31870.666666666599</v>
      </c>
      <c r="B1849" s="1">
        <f ca="1">IFERROR(__xludf.DUMMYFUNCTION("""COMPUTED_VALUE"""),300.41)</f>
        <v>300.41000000000003</v>
      </c>
    </row>
    <row r="1850" spans="1:2">
      <c r="A1850" s="3">
        <f ca="1">IFERROR(__xludf.DUMMYFUNCTION("""COMPUTED_VALUE"""),31873.6666666666)</f>
        <v>31873.666666666599</v>
      </c>
      <c r="B1850" s="1">
        <f ca="1">IFERROR(__xludf.DUMMYFUNCTION("""COMPUTED_VALUE"""),301.95)</f>
        <v>301.95</v>
      </c>
    </row>
    <row r="1851" spans="1:2">
      <c r="A1851" s="3">
        <f ca="1">IFERROR(__xludf.DUMMYFUNCTION("""COMPUTED_VALUE"""),31874.6666666666)</f>
        <v>31874.666666666599</v>
      </c>
      <c r="B1851" s="1">
        <f ca="1">IFERROR(__xludf.DUMMYFUNCTION("""COMPUTED_VALUE"""),296.69)</f>
        <v>296.69</v>
      </c>
    </row>
    <row r="1852" spans="1:2">
      <c r="A1852" s="3">
        <f ca="1">IFERROR(__xludf.DUMMYFUNCTION("""COMPUTED_VALUE"""),31875.6666666666)</f>
        <v>31875.666666666599</v>
      </c>
      <c r="B1852" s="1">
        <f ca="1">IFERROR(__xludf.DUMMYFUNCTION("""COMPUTED_VALUE"""),297.26)</f>
        <v>297.26</v>
      </c>
    </row>
    <row r="1853" spans="1:2">
      <c r="A1853" s="3">
        <f ca="1">IFERROR(__xludf.DUMMYFUNCTION("""COMPUTED_VALUE"""),31876.6666666666)</f>
        <v>31876.666666666599</v>
      </c>
      <c r="B1853" s="1">
        <f ca="1">IFERROR(__xludf.DUMMYFUNCTION("""COMPUTED_VALUE"""),292.86)</f>
        <v>292.86</v>
      </c>
    </row>
    <row r="1854" spans="1:2">
      <c r="A1854" s="3">
        <f ca="1">IFERROR(__xludf.DUMMYFUNCTION("""COMPUTED_VALUE"""),31877.6666666666)</f>
        <v>31877.666666666599</v>
      </c>
      <c r="B1854" s="1">
        <f ca="1">IFERROR(__xludf.DUMMYFUNCTION("""COMPUTED_VALUE"""),292.49)</f>
        <v>292.49</v>
      </c>
    </row>
    <row r="1855" spans="1:2">
      <c r="A1855" s="3">
        <f ca="1">IFERROR(__xludf.DUMMYFUNCTION("""COMPUTED_VALUE"""),31880.6666666666)</f>
        <v>31880.666666666599</v>
      </c>
      <c r="B1855" s="1">
        <f ca="1">IFERROR(__xludf.DUMMYFUNCTION("""COMPUTED_VALUE"""),285.62)</f>
        <v>285.62</v>
      </c>
    </row>
    <row r="1856" spans="1:2">
      <c r="A1856" s="3">
        <f ca="1">IFERROR(__xludf.DUMMYFUNCTION("""COMPUTED_VALUE"""),31881.6666666666)</f>
        <v>31881.666666666599</v>
      </c>
      <c r="B1856" s="1">
        <f ca="1">IFERROR(__xludf.DUMMYFUNCTION("""COMPUTED_VALUE"""),279.16)</f>
        <v>279.16000000000003</v>
      </c>
    </row>
    <row r="1857" spans="1:2">
      <c r="A1857" s="3">
        <f ca="1">IFERROR(__xludf.DUMMYFUNCTION("""COMPUTED_VALUE"""),31882.6666666666)</f>
        <v>31882.666666666599</v>
      </c>
      <c r="B1857" s="1">
        <f ca="1">IFERROR(__xludf.DUMMYFUNCTION("""COMPUTED_VALUE"""),284.44)</f>
        <v>284.44</v>
      </c>
    </row>
    <row r="1858" spans="1:2">
      <c r="A1858" s="3">
        <f ca="1">IFERROR(__xludf.DUMMYFUNCTION("""COMPUTED_VALUE"""),31883.6666666666)</f>
        <v>31883.666666666599</v>
      </c>
      <c r="B1858" s="1">
        <f ca="1">IFERROR(__xludf.DUMMYFUNCTION("""COMPUTED_VALUE"""),286.91)</f>
        <v>286.91000000000003</v>
      </c>
    </row>
    <row r="1859" spans="1:2">
      <c r="A1859" s="3">
        <f ca="1">IFERROR(__xludf.DUMMYFUNCTION("""COMPUTED_VALUE"""),31887.6666666666)</f>
        <v>31887.666666666599</v>
      </c>
      <c r="B1859" s="1">
        <f ca="1">IFERROR(__xludf.DUMMYFUNCTION("""COMPUTED_VALUE"""),286.09)</f>
        <v>286.08999999999997</v>
      </c>
    </row>
    <row r="1860" spans="1:2">
      <c r="A1860" s="3">
        <f ca="1">IFERROR(__xludf.DUMMYFUNCTION("""COMPUTED_VALUE"""),31888.6666666666)</f>
        <v>31888.666666666599</v>
      </c>
      <c r="B1860" s="1">
        <f ca="1">IFERROR(__xludf.DUMMYFUNCTION("""COMPUTED_VALUE"""),293.07)</f>
        <v>293.07</v>
      </c>
    </row>
    <row r="1861" spans="1:2">
      <c r="A1861" s="3">
        <f ca="1">IFERROR(__xludf.DUMMYFUNCTION("""COMPUTED_VALUE"""),31889.6666666666)</f>
        <v>31889.666666666599</v>
      </c>
      <c r="B1861" s="1">
        <f ca="1">IFERROR(__xludf.DUMMYFUNCTION("""COMPUTED_VALUE"""),287.19)</f>
        <v>287.19</v>
      </c>
    </row>
    <row r="1862" spans="1:2">
      <c r="A1862" s="3">
        <f ca="1">IFERROR(__xludf.DUMMYFUNCTION("""COMPUTED_VALUE"""),31890.6666666666)</f>
        <v>31890.666666666599</v>
      </c>
      <c r="B1862" s="1">
        <f ca="1">IFERROR(__xludf.DUMMYFUNCTION("""COMPUTED_VALUE"""),286.82)</f>
        <v>286.82</v>
      </c>
    </row>
    <row r="1863" spans="1:2">
      <c r="A1863" s="3">
        <f ca="1">IFERROR(__xludf.DUMMYFUNCTION("""COMPUTED_VALUE"""),31891.6666666666)</f>
        <v>31891.666666666599</v>
      </c>
      <c r="B1863" s="1">
        <f ca="1">IFERROR(__xludf.DUMMYFUNCTION("""COMPUTED_VALUE"""),281.52)</f>
        <v>281.52</v>
      </c>
    </row>
    <row r="1864" spans="1:2">
      <c r="A1864" s="3">
        <f ca="1">IFERROR(__xludf.DUMMYFUNCTION("""COMPUTED_VALUE"""),31894.6666666666)</f>
        <v>31894.666666666599</v>
      </c>
      <c r="B1864" s="1">
        <f ca="1">IFERROR(__xludf.DUMMYFUNCTION("""COMPUTED_VALUE"""),281.83)</f>
        <v>281.83</v>
      </c>
    </row>
    <row r="1865" spans="1:2">
      <c r="A1865" s="3">
        <f ca="1">IFERROR(__xludf.DUMMYFUNCTION("""COMPUTED_VALUE"""),31895.6666666666)</f>
        <v>31895.666666666599</v>
      </c>
      <c r="B1865" s="1">
        <f ca="1">IFERROR(__xludf.DUMMYFUNCTION("""COMPUTED_VALUE"""),282.51)</f>
        <v>282.51</v>
      </c>
    </row>
    <row r="1866" spans="1:2">
      <c r="A1866" s="3">
        <f ca="1">IFERROR(__xludf.DUMMYFUNCTION("""COMPUTED_VALUE"""),31896.6666666666)</f>
        <v>31896.666666666599</v>
      </c>
      <c r="B1866" s="1">
        <f ca="1">IFERROR(__xludf.DUMMYFUNCTION("""COMPUTED_VALUE"""),284.57)</f>
        <v>284.57</v>
      </c>
    </row>
    <row r="1867" spans="1:2">
      <c r="A1867" s="3">
        <f ca="1">IFERROR(__xludf.DUMMYFUNCTION("""COMPUTED_VALUE"""),31897.6666666666)</f>
        <v>31897.666666666599</v>
      </c>
      <c r="B1867" s="1">
        <f ca="1">IFERROR(__xludf.DUMMYFUNCTION("""COMPUTED_VALUE"""),288.36)</f>
        <v>288.36</v>
      </c>
    </row>
    <row r="1868" spans="1:2">
      <c r="A1868" s="3">
        <f ca="1">IFERROR(__xludf.DUMMYFUNCTION("""COMPUTED_VALUE"""),31898.6666666666)</f>
        <v>31898.666666666599</v>
      </c>
      <c r="B1868" s="1">
        <f ca="1">IFERROR(__xludf.DUMMYFUNCTION("""COMPUTED_VALUE"""),288.03)</f>
        <v>288.02999999999997</v>
      </c>
    </row>
    <row r="1869" spans="1:2">
      <c r="A1869" s="3">
        <f ca="1">IFERROR(__xludf.DUMMYFUNCTION("""COMPUTED_VALUE"""),31901.6666666666)</f>
        <v>31901.666666666599</v>
      </c>
      <c r="B1869" s="1">
        <f ca="1">IFERROR(__xludf.DUMMYFUNCTION("""COMPUTED_VALUE"""),289.36)</f>
        <v>289.36</v>
      </c>
    </row>
    <row r="1870" spans="1:2">
      <c r="A1870" s="3">
        <f ca="1">IFERROR(__xludf.DUMMYFUNCTION("""COMPUTED_VALUE"""),31902.6666666666)</f>
        <v>31902.666666666599</v>
      </c>
      <c r="B1870" s="1">
        <f ca="1">IFERROR(__xludf.DUMMYFUNCTION("""COMPUTED_VALUE"""),295.34)</f>
        <v>295.33999999999997</v>
      </c>
    </row>
    <row r="1871" spans="1:2">
      <c r="A1871" s="3">
        <f ca="1">IFERROR(__xludf.DUMMYFUNCTION("""COMPUTED_VALUE"""),31903.6666666666)</f>
        <v>31903.666666666599</v>
      </c>
      <c r="B1871" s="1">
        <f ca="1">IFERROR(__xludf.DUMMYFUNCTION("""COMPUTED_VALUE"""),295.47)</f>
        <v>295.47000000000003</v>
      </c>
    </row>
    <row r="1872" spans="1:2">
      <c r="A1872" s="3">
        <f ca="1">IFERROR(__xludf.DUMMYFUNCTION("""COMPUTED_VALUE"""),31904.6666666666)</f>
        <v>31904.666666666599</v>
      </c>
      <c r="B1872" s="1">
        <f ca="1">IFERROR(__xludf.DUMMYFUNCTION("""COMPUTED_VALUE"""),294.71)</f>
        <v>294.70999999999998</v>
      </c>
    </row>
    <row r="1873" spans="1:2">
      <c r="A1873" s="3">
        <f ca="1">IFERROR(__xludf.DUMMYFUNCTION("""COMPUTED_VALUE"""),31905.6666666666)</f>
        <v>31905.666666666599</v>
      </c>
      <c r="B1873" s="1">
        <f ca="1">IFERROR(__xludf.DUMMYFUNCTION("""COMPUTED_VALUE"""),293.37)</f>
        <v>293.37</v>
      </c>
    </row>
    <row r="1874" spans="1:2">
      <c r="A1874" s="3">
        <f ca="1">IFERROR(__xludf.DUMMYFUNCTION("""COMPUTED_VALUE"""),31908.6666666666)</f>
        <v>31908.666666666599</v>
      </c>
      <c r="B1874" s="1">
        <f ca="1">IFERROR(__xludf.DUMMYFUNCTION("""COMPUTED_VALUE"""),291.57)</f>
        <v>291.57</v>
      </c>
    </row>
    <row r="1875" spans="1:2">
      <c r="A1875" s="3">
        <f ca="1">IFERROR(__xludf.DUMMYFUNCTION("""COMPUTED_VALUE"""),31909.6666666666)</f>
        <v>31909.666666666599</v>
      </c>
      <c r="B1875" s="1">
        <f ca="1">IFERROR(__xludf.DUMMYFUNCTION("""COMPUTED_VALUE"""),293.3)</f>
        <v>293.3</v>
      </c>
    </row>
    <row r="1876" spans="1:2">
      <c r="A1876" s="3">
        <f ca="1">IFERROR(__xludf.DUMMYFUNCTION("""COMPUTED_VALUE"""),31910.6666666666)</f>
        <v>31910.666666666599</v>
      </c>
      <c r="B1876" s="1">
        <f ca="1">IFERROR(__xludf.DUMMYFUNCTION("""COMPUTED_VALUE"""),293.98)</f>
        <v>293.98</v>
      </c>
    </row>
    <row r="1877" spans="1:2">
      <c r="A1877" s="3">
        <f ca="1">IFERROR(__xludf.DUMMYFUNCTION("""COMPUTED_VALUE"""),31911.6666666666)</f>
        <v>31911.666666666599</v>
      </c>
      <c r="B1877" s="1">
        <f ca="1">IFERROR(__xludf.DUMMYFUNCTION("""COMPUTED_VALUE"""),294.24)</f>
        <v>294.24</v>
      </c>
    </row>
    <row r="1878" spans="1:2">
      <c r="A1878" s="3">
        <f ca="1">IFERROR(__xludf.DUMMYFUNCTION("""COMPUTED_VALUE"""),31912.6666666666)</f>
        <v>31912.666666666599</v>
      </c>
      <c r="B1878" s="1">
        <f ca="1">IFERROR(__xludf.DUMMYFUNCTION("""COMPUTED_VALUE"""),287.43)</f>
        <v>287.43</v>
      </c>
    </row>
    <row r="1879" spans="1:2">
      <c r="A1879" s="3">
        <f ca="1">IFERROR(__xludf.DUMMYFUNCTION("""COMPUTED_VALUE"""),31915.6666666666)</f>
        <v>31915.666666666599</v>
      </c>
      <c r="B1879" s="1">
        <f ca="1">IFERROR(__xludf.DUMMYFUNCTION("""COMPUTED_VALUE"""),286.65)</f>
        <v>286.64999999999998</v>
      </c>
    </row>
    <row r="1880" spans="1:2">
      <c r="A1880" s="3">
        <f ca="1">IFERROR(__xludf.DUMMYFUNCTION("""COMPUTED_VALUE"""),31916.6666666666)</f>
        <v>31916.666666666599</v>
      </c>
      <c r="B1880" s="1">
        <f ca="1">IFERROR(__xludf.DUMMYFUNCTION("""COMPUTED_VALUE"""),279.62)</f>
        <v>279.62</v>
      </c>
    </row>
    <row r="1881" spans="1:2">
      <c r="A1881" s="3">
        <f ca="1">IFERROR(__xludf.DUMMYFUNCTION("""COMPUTED_VALUE"""),31917.6666666666)</f>
        <v>31917.666666666599</v>
      </c>
      <c r="B1881" s="1">
        <f ca="1">IFERROR(__xludf.DUMMYFUNCTION("""COMPUTED_VALUE"""),278.21)</f>
        <v>278.20999999999998</v>
      </c>
    </row>
    <row r="1882" spans="1:2">
      <c r="A1882" s="3">
        <f ca="1">IFERROR(__xludf.DUMMYFUNCTION("""COMPUTED_VALUE"""),31918.6666666666)</f>
        <v>31918.666666666599</v>
      </c>
      <c r="B1882" s="1">
        <f ca="1">IFERROR(__xludf.DUMMYFUNCTION("""COMPUTED_VALUE"""),280.17)</f>
        <v>280.17</v>
      </c>
    </row>
    <row r="1883" spans="1:2">
      <c r="A1883" s="3">
        <f ca="1">IFERROR(__xludf.DUMMYFUNCTION("""COMPUTED_VALUE"""),31919.6666666666)</f>
        <v>31919.666666666599</v>
      </c>
      <c r="B1883" s="1">
        <f ca="1">IFERROR(__xludf.DUMMYFUNCTION("""COMPUTED_VALUE"""),282.16)</f>
        <v>282.16000000000003</v>
      </c>
    </row>
    <row r="1884" spans="1:2">
      <c r="A1884" s="3">
        <f ca="1">IFERROR(__xludf.DUMMYFUNCTION("""COMPUTED_VALUE"""),31923.6666666666)</f>
        <v>31923.666666666599</v>
      </c>
      <c r="B1884" s="1">
        <f ca="1">IFERROR(__xludf.DUMMYFUNCTION("""COMPUTED_VALUE"""),289.11)</f>
        <v>289.11</v>
      </c>
    </row>
    <row r="1885" spans="1:2">
      <c r="A1885" s="3">
        <f ca="1">IFERROR(__xludf.DUMMYFUNCTION("""COMPUTED_VALUE"""),31924.6666666666)</f>
        <v>31924.666666666599</v>
      </c>
      <c r="B1885" s="1">
        <f ca="1">IFERROR(__xludf.DUMMYFUNCTION("""COMPUTED_VALUE"""),288.73)</f>
        <v>288.73</v>
      </c>
    </row>
    <row r="1886" spans="1:2">
      <c r="A1886" s="3">
        <f ca="1">IFERROR(__xludf.DUMMYFUNCTION("""COMPUTED_VALUE"""),31925.6666666666)</f>
        <v>31925.666666666599</v>
      </c>
      <c r="B1886" s="1">
        <f ca="1">IFERROR(__xludf.DUMMYFUNCTION("""COMPUTED_VALUE"""),290.76)</f>
        <v>290.76</v>
      </c>
    </row>
    <row r="1887" spans="1:2">
      <c r="A1887" s="3">
        <f ca="1">IFERROR(__xludf.DUMMYFUNCTION("""COMPUTED_VALUE"""),31926.6666666666)</f>
        <v>31926.666666666599</v>
      </c>
      <c r="B1887" s="1">
        <f ca="1">IFERROR(__xludf.DUMMYFUNCTION("""COMPUTED_VALUE"""),290.1)</f>
        <v>290.10000000000002</v>
      </c>
    </row>
    <row r="1888" spans="1:2">
      <c r="A1888" s="3">
        <f ca="1">IFERROR(__xludf.DUMMYFUNCTION("""COMPUTED_VALUE"""),31929.6666666666)</f>
        <v>31929.666666666599</v>
      </c>
      <c r="B1888" s="1">
        <f ca="1">IFERROR(__xludf.DUMMYFUNCTION("""COMPUTED_VALUE"""),289.83)</f>
        <v>289.83</v>
      </c>
    </row>
    <row r="1889" spans="1:2">
      <c r="A1889" s="3">
        <f ca="1">IFERROR(__xludf.DUMMYFUNCTION("""COMPUTED_VALUE"""),31930.6666666666)</f>
        <v>31930.666666666599</v>
      </c>
      <c r="B1889" s="1">
        <f ca="1">IFERROR(__xludf.DUMMYFUNCTION("""COMPUTED_VALUE"""),288.46)</f>
        <v>288.45999999999998</v>
      </c>
    </row>
    <row r="1890" spans="1:2">
      <c r="A1890" s="3">
        <f ca="1">IFERROR(__xludf.DUMMYFUNCTION("""COMPUTED_VALUE"""),31931.6666666666)</f>
        <v>31931.666666666599</v>
      </c>
      <c r="B1890" s="1">
        <f ca="1">IFERROR(__xludf.DUMMYFUNCTION("""COMPUTED_VALUE"""),293.47)</f>
        <v>293.47000000000003</v>
      </c>
    </row>
    <row r="1891" spans="1:2">
      <c r="A1891" s="3">
        <f ca="1">IFERROR(__xludf.DUMMYFUNCTION("""COMPUTED_VALUE"""),31932.6666666666)</f>
        <v>31932.666666666599</v>
      </c>
      <c r="B1891" s="1">
        <f ca="1">IFERROR(__xludf.DUMMYFUNCTION("""COMPUTED_VALUE"""),295.09)</f>
        <v>295.08999999999997</v>
      </c>
    </row>
    <row r="1892" spans="1:2">
      <c r="A1892" s="3">
        <f ca="1">IFERROR(__xludf.DUMMYFUNCTION("""COMPUTED_VALUE"""),31933.6666666666)</f>
        <v>31933.666666666599</v>
      </c>
      <c r="B1892" s="1">
        <f ca="1">IFERROR(__xludf.DUMMYFUNCTION("""COMPUTED_VALUE"""),293.45)</f>
        <v>293.45</v>
      </c>
    </row>
    <row r="1893" spans="1:2">
      <c r="A1893" s="3">
        <f ca="1">IFERROR(__xludf.DUMMYFUNCTION("""COMPUTED_VALUE"""),31936.6666666666)</f>
        <v>31936.666666666599</v>
      </c>
      <c r="B1893" s="1">
        <f ca="1">IFERROR(__xludf.DUMMYFUNCTION("""COMPUTED_VALUE"""),296.72)</f>
        <v>296.72000000000003</v>
      </c>
    </row>
    <row r="1894" spans="1:2">
      <c r="A1894" s="3">
        <f ca="1">IFERROR(__xludf.DUMMYFUNCTION("""COMPUTED_VALUE"""),31937.6666666666)</f>
        <v>31937.666666666599</v>
      </c>
      <c r="B1894" s="1">
        <f ca="1">IFERROR(__xludf.DUMMYFUNCTION("""COMPUTED_VALUE"""),297.28)</f>
        <v>297.27999999999997</v>
      </c>
    </row>
    <row r="1895" spans="1:2">
      <c r="A1895" s="3">
        <f ca="1">IFERROR(__xludf.DUMMYFUNCTION("""COMPUTED_VALUE"""),31938.6666666666)</f>
        <v>31938.666666666599</v>
      </c>
      <c r="B1895" s="1">
        <f ca="1">IFERROR(__xludf.DUMMYFUNCTION("""COMPUTED_VALUE"""),297.47)</f>
        <v>297.47000000000003</v>
      </c>
    </row>
    <row r="1896" spans="1:2">
      <c r="A1896" s="3">
        <f ca="1">IFERROR(__xludf.DUMMYFUNCTION("""COMPUTED_VALUE"""),31939.6666666666)</f>
        <v>31939.666666666599</v>
      </c>
      <c r="B1896" s="1">
        <f ca="1">IFERROR(__xludf.DUMMYFUNCTION("""COMPUTED_VALUE"""),298.73)</f>
        <v>298.73</v>
      </c>
    </row>
    <row r="1897" spans="1:2">
      <c r="A1897" s="3">
        <f ca="1">IFERROR(__xludf.DUMMYFUNCTION("""COMPUTED_VALUE"""),31940.6666666666)</f>
        <v>31940.666666666599</v>
      </c>
      <c r="B1897" s="1">
        <f ca="1">IFERROR(__xludf.DUMMYFUNCTION("""COMPUTED_VALUE"""),301.62)</f>
        <v>301.62</v>
      </c>
    </row>
    <row r="1898" spans="1:2">
      <c r="A1898" s="3">
        <f ca="1">IFERROR(__xludf.DUMMYFUNCTION("""COMPUTED_VALUE"""),31943.6666666666)</f>
        <v>31943.666666666599</v>
      </c>
      <c r="B1898" s="1">
        <f ca="1">IFERROR(__xludf.DUMMYFUNCTION("""COMPUTED_VALUE"""),303.14)</f>
        <v>303.14</v>
      </c>
    </row>
    <row r="1899" spans="1:2">
      <c r="A1899" s="3">
        <f ca="1">IFERROR(__xludf.DUMMYFUNCTION("""COMPUTED_VALUE"""),31944.6666666666)</f>
        <v>31944.666666666599</v>
      </c>
      <c r="B1899" s="1">
        <f ca="1">IFERROR(__xludf.DUMMYFUNCTION("""COMPUTED_VALUE"""),304.76)</f>
        <v>304.76</v>
      </c>
    </row>
    <row r="1900" spans="1:2">
      <c r="A1900" s="3">
        <f ca="1">IFERROR(__xludf.DUMMYFUNCTION("""COMPUTED_VALUE"""),31945.6666666666)</f>
        <v>31945.666666666599</v>
      </c>
      <c r="B1900" s="1">
        <f ca="1">IFERROR(__xludf.DUMMYFUNCTION("""COMPUTED_VALUE"""),304.81)</f>
        <v>304.81</v>
      </c>
    </row>
    <row r="1901" spans="1:2">
      <c r="A1901" s="3">
        <f ca="1">IFERROR(__xludf.DUMMYFUNCTION("""COMPUTED_VALUE"""),31946.6666666666)</f>
        <v>31946.666666666599</v>
      </c>
      <c r="B1901" s="1">
        <f ca="1">IFERROR(__xludf.DUMMYFUNCTION("""COMPUTED_VALUE"""),305.69)</f>
        <v>305.69</v>
      </c>
    </row>
    <row r="1902" spans="1:2">
      <c r="A1902" s="3">
        <f ca="1">IFERROR(__xludf.DUMMYFUNCTION("""COMPUTED_VALUE"""),31947.6666666666)</f>
        <v>31947.666666666599</v>
      </c>
      <c r="B1902" s="1">
        <f ca="1">IFERROR(__xludf.DUMMYFUNCTION("""COMPUTED_VALUE"""),306.97)</f>
        <v>306.97000000000003</v>
      </c>
    </row>
    <row r="1903" spans="1:2">
      <c r="A1903" s="3">
        <f ca="1">IFERROR(__xludf.DUMMYFUNCTION("""COMPUTED_VALUE"""),31950.6666666666)</f>
        <v>31950.666666666599</v>
      </c>
      <c r="B1903" s="1">
        <f ca="1">IFERROR(__xludf.DUMMYFUNCTION("""COMPUTED_VALUE"""),309.65)</f>
        <v>309.64999999999998</v>
      </c>
    </row>
    <row r="1904" spans="1:2">
      <c r="A1904" s="3">
        <f ca="1">IFERROR(__xludf.DUMMYFUNCTION("""COMPUTED_VALUE"""),31951.6666666666)</f>
        <v>31951.666666666599</v>
      </c>
      <c r="B1904" s="1">
        <f ca="1">IFERROR(__xludf.DUMMYFUNCTION("""COMPUTED_VALUE"""),308.43)</f>
        <v>308.43</v>
      </c>
    </row>
    <row r="1905" spans="1:2">
      <c r="A1905" s="3">
        <f ca="1">IFERROR(__xludf.DUMMYFUNCTION("""COMPUTED_VALUE"""),31952.6666666666)</f>
        <v>31952.666666666599</v>
      </c>
      <c r="B1905" s="1">
        <f ca="1">IFERROR(__xludf.DUMMYFUNCTION("""COMPUTED_VALUE"""),306.86)</f>
        <v>306.86</v>
      </c>
    </row>
    <row r="1906" spans="1:2">
      <c r="A1906" s="3">
        <f ca="1">IFERROR(__xludf.DUMMYFUNCTION("""COMPUTED_VALUE"""),31953.6666666666)</f>
        <v>31953.666666666599</v>
      </c>
      <c r="B1906" s="1">
        <f ca="1">IFERROR(__xludf.DUMMYFUNCTION("""COMPUTED_VALUE"""),308.96)</f>
        <v>308.95999999999998</v>
      </c>
    </row>
    <row r="1907" spans="1:2">
      <c r="A1907" s="3">
        <f ca="1">IFERROR(__xludf.DUMMYFUNCTION("""COMPUTED_VALUE"""),31954.6666666666)</f>
        <v>31954.666666666599</v>
      </c>
      <c r="B1907" s="1">
        <f ca="1">IFERROR(__xludf.DUMMYFUNCTION("""COMPUTED_VALUE"""),307.16)</f>
        <v>307.16000000000003</v>
      </c>
    </row>
    <row r="1908" spans="1:2">
      <c r="A1908" s="3">
        <f ca="1">IFERROR(__xludf.DUMMYFUNCTION("""COMPUTED_VALUE"""),31957.6666666666)</f>
        <v>31957.666666666599</v>
      </c>
      <c r="B1908" s="1">
        <f ca="1">IFERROR(__xludf.DUMMYFUNCTION("""COMPUTED_VALUE"""),307.9)</f>
        <v>307.89999999999998</v>
      </c>
    </row>
    <row r="1909" spans="1:2">
      <c r="A1909" s="3">
        <f ca="1">IFERROR(__xludf.DUMMYFUNCTION("""COMPUTED_VALUE"""),31958.6666666666)</f>
        <v>31958.666666666599</v>
      </c>
      <c r="B1909" s="1">
        <f ca="1">IFERROR(__xludf.DUMMYFUNCTION("""COMPUTED_VALUE"""),304)</f>
        <v>304</v>
      </c>
    </row>
    <row r="1910" spans="1:2">
      <c r="A1910" s="3">
        <f ca="1">IFERROR(__xludf.DUMMYFUNCTION("""COMPUTED_VALUE"""),31959.6666666666)</f>
        <v>31959.666666666599</v>
      </c>
      <c r="B1910" s="1">
        <f ca="1">IFERROR(__xludf.DUMMYFUNCTION("""COMPUTED_VALUE"""),302.94)</f>
        <v>302.94</v>
      </c>
    </row>
    <row r="1911" spans="1:2">
      <c r="A1911" s="3">
        <f ca="1">IFERROR(__xludf.DUMMYFUNCTION("""COMPUTED_VALUE"""),31960.6666666666)</f>
        <v>31960.666666666599</v>
      </c>
      <c r="B1911" s="1">
        <f ca="1">IFERROR(__xludf.DUMMYFUNCTION("""COMPUTED_VALUE"""),305.63)</f>
        <v>305.63</v>
      </c>
    </row>
    <row r="1912" spans="1:2">
      <c r="A1912" s="3">
        <f ca="1">IFERROR(__xludf.DUMMYFUNCTION("""COMPUTED_VALUE"""),31961.6666666666)</f>
        <v>31961.666666666599</v>
      </c>
      <c r="B1912" s="1">
        <f ca="1">IFERROR(__xludf.DUMMYFUNCTION("""COMPUTED_VALUE"""),304.92)</f>
        <v>304.92</v>
      </c>
    </row>
    <row r="1913" spans="1:2">
      <c r="A1913" s="3">
        <f ca="1">IFERROR(__xludf.DUMMYFUNCTION("""COMPUTED_VALUE"""),31964.6666666666)</f>
        <v>31964.666666666599</v>
      </c>
      <c r="B1913" s="1">
        <f ca="1">IFERROR(__xludf.DUMMYFUNCTION("""COMPUTED_VALUE"""),304.92)</f>
        <v>304.92</v>
      </c>
    </row>
    <row r="1914" spans="1:2">
      <c r="A1914" s="3">
        <f ca="1">IFERROR(__xludf.DUMMYFUNCTION("""COMPUTED_VALUE"""),31965.6666666666)</f>
        <v>31965.666666666599</v>
      </c>
      <c r="B1914" s="1">
        <f ca="1">IFERROR(__xludf.DUMMYFUNCTION("""COMPUTED_VALUE"""),307.4)</f>
        <v>307.39999999999998</v>
      </c>
    </row>
    <row r="1915" spans="1:2">
      <c r="A1915" s="3">
        <f ca="1">IFERROR(__xludf.DUMMYFUNCTION("""COMPUTED_VALUE"""),31966.6666666666)</f>
        <v>31966.666666666599</v>
      </c>
      <c r="B1915" s="1">
        <f ca="1">IFERROR(__xludf.DUMMYFUNCTION("""COMPUTED_VALUE"""),308.29)</f>
        <v>308.29000000000002</v>
      </c>
    </row>
    <row r="1916" spans="1:2">
      <c r="A1916" s="3">
        <f ca="1">IFERROR(__xludf.DUMMYFUNCTION("""COMPUTED_VALUE"""),31967.6666666666)</f>
        <v>31967.666666666599</v>
      </c>
      <c r="B1916" s="1">
        <f ca="1">IFERROR(__xludf.DUMMYFUNCTION("""COMPUTED_VALUE"""),307.52)</f>
        <v>307.52</v>
      </c>
    </row>
    <row r="1917" spans="1:2">
      <c r="A1917" s="3">
        <f ca="1">IFERROR(__xludf.DUMMYFUNCTION("""COMPUTED_VALUE"""),31968.6666666666)</f>
        <v>31968.666666666599</v>
      </c>
      <c r="B1917" s="1">
        <f ca="1">IFERROR(__xludf.DUMMYFUNCTION("""COMPUTED_VALUE"""),308.37)</f>
        <v>308.37</v>
      </c>
    </row>
    <row r="1918" spans="1:2">
      <c r="A1918" s="3">
        <f ca="1">IFERROR(__xludf.DUMMYFUNCTION("""COMPUTED_VALUE"""),31971.6666666666)</f>
        <v>31971.666666666599</v>
      </c>
      <c r="B1918" s="1">
        <f ca="1">IFERROR(__xludf.DUMMYFUNCTION("""COMPUTED_VALUE"""),307.63)</f>
        <v>307.63</v>
      </c>
    </row>
    <row r="1919" spans="1:2">
      <c r="A1919" s="3">
        <f ca="1">IFERROR(__xludf.DUMMYFUNCTION("""COMPUTED_VALUE"""),31972.6666666666)</f>
        <v>31972.666666666599</v>
      </c>
      <c r="B1919" s="1">
        <f ca="1">IFERROR(__xludf.DUMMYFUNCTION("""COMPUTED_VALUE"""),310.68)</f>
        <v>310.68</v>
      </c>
    </row>
    <row r="1920" spans="1:2">
      <c r="A1920" s="3">
        <f ca="1">IFERROR(__xludf.DUMMYFUNCTION("""COMPUTED_VALUE"""),31973.6666666666)</f>
        <v>31973.666666666599</v>
      </c>
      <c r="B1920" s="1">
        <f ca="1">IFERROR(__xludf.DUMMYFUNCTION("""COMPUTED_VALUE"""),310.42)</f>
        <v>310.42</v>
      </c>
    </row>
    <row r="1921" spans="1:2">
      <c r="A1921" s="3">
        <f ca="1">IFERROR(__xludf.DUMMYFUNCTION("""COMPUTED_VALUE"""),31974.6666666666)</f>
        <v>31974.666666666599</v>
      </c>
      <c r="B1921" s="1">
        <f ca="1">IFERROR(__xludf.DUMMYFUNCTION("""COMPUTED_VALUE"""),312.7)</f>
        <v>312.7</v>
      </c>
    </row>
    <row r="1922" spans="1:2">
      <c r="A1922" s="3">
        <f ca="1">IFERROR(__xludf.DUMMYFUNCTION("""COMPUTED_VALUE"""),31975.6666666666)</f>
        <v>31975.666666666599</v>
      </c>
      <c r="B1922" s="1">
        <f ca="1">IFERROR(__xludf.DUMMYFUNCTION("""COMPUTED_VALUE"""),314.59)</f>
        <v>314.58999999999997</v>
      </c>
    </row>
    <row r="1923" spans="1:2">
      <c r="A1923" s="3">
        <f ca="1">IFERROR(__xludf.DUMMYFUNCTION("""COMPUTED_VALUE"""),31978.6666666666)</f>
        <v>31978.666666666599</v>
      </c>
      <c r="B1923" s="1">
        <f ca="1">IFERROR(__xludf.DUMMYFUNCTION("""COMPUTED_VALUE"""),311.39)</f>
        <v>311.39</v>
      </c>
    </row>
    <row r="1924" spans="1:2">
      <c r="A1924" s="3">
        <f ca="1">IFERROR(__xludf.DUMMYFUNCTION("""COMPUTED_VALUE"""),31979.6666666666)</f>
        <v>31979.666666666599</v>
      </c>
      <c r="B1924" s="1">
        <f ca="1">IFERROR(__xludf.DUMMYFUNCTION("""COMPUTED_VALUE"""),308.55)</f>
        <v>308.55</v>
      </c>
    </row>
    <row r="1925" spans="1:2">
      <c r="A1925" s="3">
        <f ca="1">IFERROR(__xludf.DUMMYFUNCTION("""COMPUTED_VALUE"""),31980.6666666666)</f>
        <v>31980.666666666599</v>
      </c>
      <c r="B1925" s="1">
        <f ca="1">IFERROR(__xludf.DUMMYFUNCTION("""COMPUTED_VALUE"""),308.47)</f>
        <v>308.47000000000003</v>
      </c>
    </row>
    <row r="1926" spans="1:2">
      <c r="A1926" s="3">
        <f ca="1">IFERROR(__xludf.DUMMYFUNCTION("""COMPUTED_VALUE"""),31981.6666666666)</f>
        <v>31981.666666666599</v>
      </c>
      <c r="B1926" s="1">
        <f ca="1">IFERROR(__xludf.DUMMYFUNCTION("""COMPUTED_VALUE"""),307.81)</f>
        <v>307.81</v>
      </c>
    </row>
    <row r="1927" spans="1:2">
      <c r="A1927" s="3">
        <f ca="1">IFERROR(__xludf.DUMMYFUNCTION("""COMPUTED_VALUE"""),31982.6666666666)</f>
        <v>31982.666666666599</v>
      </c>
      <c r="B1927" s="1">
        <f ca="1">IFERROR(__xludf.DUMMYFUNCTION("""COMPUTED_VALUE"""),309.27)</f>
        <v>309.27</v>
      </c>
    </row>
    <row r="1928" spans="1:2">
      <c r="A1928" s="3">
        <f ca="1">IFERROR(__xludf.DUMMYFUNCTION("""COMPUTED_VALUE"""),31985.6666666666)</f>
        <v>31985.666666666599</v>
      </c>
      <c r="B1928" s="1">
        <f ca="1">IFERROR(__xludf.DUMMYFUNCTION("""COMPUTED_VALUE"""),310.65)</f>
        <v>310.64999999999998</v>
      </c>
    </row>
    <row r="1929" spans="1:2">
      <c r="A1929" s="3">
        <f ca="1">IFERROR(__xludf.DUMMYFUNCTION("""COMPUTED_VALUE"""),31986.6666666666)</f>
        <v>31986.666666666599</v>
      </c>
      <c r="B1929" s="1">
        <f ca="1">IFERROR(__xludf.DUMMYFUNCTION("""COMPUTED_VALUE"""),312.33)</f>
        <v>312.33</v>
      </c>
    </row>
    <row r="1930" spans="1:2">
      <c r="A1930" s="3">
        <f ca="1">IFERROR(__xludf.DUMMYFUNCTION("""COMPUTED_VALUE"""),31987.6666666666)</f>
        <v>31987.666666666599</v>
      </c>
      <c r="B1930" s="1">
        <f ca="1">IFERROR(__xludf.DUMMYFUNCTION("""COMPUTED_VALUE"""),315.65)</f>
        <v>315.64999999999998</v>
      </c>
    </row>
    <row r="1931" spans="1:2">
      <c r="A1931" s="3">
        <f ca="1">IFERROR(__xludf.DUMMYFUNCTION("""COMPUTED_VALUE"""),31988.6666666666)</f>
        <v>31988.666666666599</v>
      </c>
      <c r="B1931" s="1">
        <f ca="1">IFERROR(__xludf.DUMMYFUNCTION("""COMPUTED_VALUE"""),318.05)</f>
        <v>318.05</v>
      </c>
    </row>
    <row r="1932" spans="1:2">
      <c r="A1932" s="3">
        <f ca="1">IFERROR(__xludf.DUMMYFUNCTION("""COMPUTED_VALUE"""),31989.6666666666)</f>
        <v>31989.666666666599</v>
      </c>
      <c r="B1932" s="1">
        <f ca="1">IFERROR(__xludf.DUMMYFUNCTION("""COMPUTED_VALUE"""),318.66)</f>
        <v>318.66000000000003</v>
      </c>
    </row>
    <row r="1933" spans="1:2">
      <c r="A1933" s="3">
        <f ca="1">IFERROR(__xludf.DUMMYFUNCTION("""COMPUTED_VALUE"""),31992.6666666666)</f>
        <v>31992.666666666599</v>
      </c>
      <c r="B1933" s="1">
        <f ca="1">IFERROR(__xludf.DUMMYFUNCTION("""COMPUTED_VALUE"""),317.57)</f>
        <v>317.57</v>
      </c>
    </row>
    <row r="1934" spans="1:2">
      <c r="A1934" s="3">
        <f ca="1">IFERROR(__xludf.DUMMYFUNCTION("""COMPUTED_VALUE"""),31993.6666666666)</f>
        <v>31993.666666666599</v>
      </c>
      <c r="B1934" s="1">
        <f ca="1">IFERROR(__xludf.DUMMYFUNCTION("""COMPUTED_VALUE"""),316.23)</f>
        <v>316.23</v>
      </c>
    </row>
    <row r="1935" spans="1:2">
      <c r="A1935" s="3">
        <f ca="1">IFERROR(__xludf.DUMMYFUNCTION("""COMPUTED_VALUE"""),31994.6666666666)</f>
        <v>31994.666666666599</v>
      </c>
      <c r="B1935" s="1">
        <f ca="1">IFERROR(__xludf.DUMMYFUNCTION("""COMPUTED_VALUE"""),318.45)</f>
        <v>318.45</v>
      </c>
    </row>
    <row r="1936" spans="1:2">
      <c r="A1936" s="3">
        <f ca="1">IFERROR(__xludf.DUMMYFUNCTION("""COMPUTED_VALUE"""),31995.6666666666)</f>
        <v>31995.666666666599</v>
      </c>
      <c r="B1936" s="1">
        <f ca="1">IFERROR(__xludf.DUMMYFUNCTION("""COMPUTED_VALUE"""),322.09)</f>
        <v>322.08999999999997</v>
      </c>
    </row>
    <row r="1937" spans="1:2">
      <c r="A1937" s="3">
        <f ca="1">IFERROR(__xludf.DUMMYFUNCTION("""COMPUTED_VALUE"""),31996.6666666666)</f>
        <v>31996.666666666599</v>
      </c>
      <c r="B1937" s="1">
        <f ca="1">IFERROR(__xludf.DUMMYFUNCTION("""COMPUTED_VALUE"""),323)</f>
        <v>323</v>
      </c>
    </row>
    <row r="1938" spans="1:2">
      <c r="A1938" s="3">
        <f ca="1">IFERROR(__xludf.DUMMYFUNCTION("""COMPUTED_VALUE"""),31999.6666666666)</f>
        <v>31999.666666666599</v>
      </c>
      <c r="B1938" s="1">
        <f ca="1">IFERROR(__xludf.DUMMYFUNCTION("""COMPUTED_VALUE"""),328)</f>
        <v>328</v>
      </c>
    </row>
    <row r="1939" spans="1:2">
      <c r="A1939" s="3">
        <f ca="1">IFERROR(__xludf.DUMMYFUNCTION("""COMPUTED_VALUE"""),32000.6666666666)</f>
        <v>32000.666666666599</v>
      </c>
      <c r="B1939" s="1">
        <f ca="1">IFERROR(__xludf.DUMMYFUNCTION("""COMPUTED_VALUE"""),333.33)</f>
        <v>333.33</v>
      </c>
    </row>
    <row r="1940" spans="1:2">
      <c r="A1940" s="3">
        <f ca="1">IFERROR(__xludf.DUMMYFUNCTION("""COMPUTED_VALUE"""),32001.6666666666)</f>
        <v>32001.666666666599</v>
      </c>
      <c r="B1940" s="1">
        <f ca="1">IFERROR(__xludf.DUMMYFUNCTION("""COMPUTED_VALUE"""),332.39)</f>
        <v>332.39</v>
      </c>
    </row>
    <row r="1941" spans="1:2">
      <c r="A1941" s="3">
        <f ca="1">IFERROR(__xludf.DUMMYFUNCTION("""COMPUTED_VALUE"""),32002.6666666666)</f>
        <v>32002.666666666599</v>
      </c>
      <c r="B1941" s="1">
        <f ca="1">IFERROR(__xludf.DUMMYFUNCTION("""COMPUTED_VALUE"""),334.65)</f>
        <v>334.65</v>
      </c>
    </row>
    <row r="1942" spans="1:2">
      <c r="A1942" s="3">
        <f ca="1">IFERROR(__xludf.DUMMYFUNCTION("""COMPUTED_VALUE"""),32003.6666666666)</f>
        <v>32003.666666666599</v>
      </c>
      <c r="B1942" s="1">
        <f ca="1">IFERROR(__xludf.DUMMYFUNCTION("""COMPUTED_VALUE"""),333.99)</f>
        <v>333.99</v>
      </c>
    </row>
    <row r="1943" spans="1:2">
      <c r="A1943" s="3">
        <f ca="1">IFERROR(__xludf.DUMMYFUNCTION("""COMPUTED_VALUE"""),32006.6666666666)</f>
        <v>32006.666666666599</v>
      </c>
      <c r="B1943" s="1">
        <f ca="1">IFERROR(__xludf.DUMMYFUNCTION("""COMPUTED_VALUE"""),334.11)</f>
        <v>334.11</v>
      </c>
    </row>
    <row r="1944" spans="1:2">
      <c r="A1944" s="3">
        <f ca="1">IFERROR(__xludf.DUMMYFUNCTION("""COMPUTED_VALUE"""),32007.6666666666)</f>
        <v>32007.666666666599</v>
      </c>
      <c r="B1944" s="1">
        <f ca="1">IFERROR(__xludf.DUMMYFUNCTION("""COMPUTED_VALUE"""),329.25)</f>
        <v>329.25</v>
      </c>
    </row>
    <row r="1945" spans="1:2">
      <c r="A1945" s="3">
        <f ca="1">IFERROR(__xludf.DUMMYFUNCTION("""COMPUTED_VALUE"""),32008.6666666666)</f>
        <v>32008.666666666599</v>
      </c>
      <c r="B1945" s="1">
        <f ca="1">IFERROR(__xludf.DUMMYFUNCTION("""COMPUTED_VALUE"""),329.83)</f>
        <v>329.83</v>
      </c>
    </row>
    <row r="1946" spans="1:2">
      <c r="A1946" s="3">
        <f ca="1">IFERROR(__xludf.DUMMYFUNCTION("""COMPUTED_VALUE"""),32009.6666666666)</f>
        <v>32009.666666666599</v>
      </c>
      <c r="B1946" s="1">
        <f ca="1">IFERROR(__xludf.DUMMYFUNCTION("""COMPUTED_VALUE"""),334.84)</f>
        <v>334.84</v>
      </c>
    </row>
    <row r="1947" spans="1:2">
      <c r="A1947" s="3">
        <f ca="1">IFERROR(__xludf.DUMMYFUNCTION("""COMPUTED_VALUE"""),32010.6666666666)</f>
        <v>32010.666666666599</v>
      </c>
      <c r="B1947" s="1">
        <f ca="1">IFERROR(__xludf.DUMMYFUNCTION("""COMPUTED_VALUE"""),335.9)</f>
        <v>335.9</v>
      </c>
    </row>
    <row r="1948" spans="1:2">
      <c r="A1948" s="3">
        <f ca="1">IFERROR(__xludf.DUMMYFUNCTION("""COMPUTED_VALUE"""),32013.6666666666)</f>
        <v>32013.666666666599</v>
      </c>
      <c r="B1948" s="1">
        <f ca="1">IFERROR(__xludf.DUMMYFUNCTION("""COMPUTED_VALUE"""),333.33)</f>
        <v>333.33</v>
      </c>
    </row>
    <row r="1949" spans="1:2">
      <c r="A1949" s="3">
        <f ca="1">IFERROR(__xludf.DUMMYFUNCTION("""COMPUTED_VALUE"""),32014.6666666666)</f>
        <v>32014.666666666599</v>
      </c>
      <c r="B1949" s="1">
        <f ca="1">IFERROR(__xludf.DUMMYFUNCTION("""COMPUTED_VALUE"""),336.77)</f>
        <v>336.77</v>
      </c>
    </row>
    <row r="1950" spans="1:2">
      <c r="A1950" s="3">
        <f ca="1">IFERROR(__xludf.DUMMYFUNCTION("""COMPUTED_VALUE"""),32015.6666666666)</f>
        <v>32015.666666666599</v>
      </c>
      <c r="B1950" s="1">
        <f ca="1">IFERROR(__xludf.DUMMYFUNCTION("""COMPUTED_VALUE"""),334.57)</f>
        <v>334.57</v>
      </c>
    </row>
    <row r="1951" spans="1:2">
      <c r="A1951" s="3">
        <f ca="1">IFERROR(__xludf.DUMMYFUNCTION("""COMPUTED_VALUE"""),32016.6666666666)</f>
        <v>32016.666666666599</v>
      </c>
      <c r="B1951" s="1">
        <f ca="1">IFERROR(__xludf.DUMMYFUNCTION("""COMPUTED_VALUE"""),331.38)</f>
        <v>331.38</v>
      </c>
    </row>
    <row r="1952" spans="1:2">
      <c r="A1952" s="3">
        <f ca="1">IFERROR(__xludf.DUMMYFUNCTION("""COMPUTED_VALUE"""),32017.6666666666)</f>
        <v>32017.666666666599</v>
      </c>
      <c r="B1952" s="1">
        <f ca="1">IFERROR(__xludf.DUMMYFUNCTION("""COMPUTED_VALUE"""),327.04)</f>
        <v>327.04000000000002</v>
      </c>
    </row>
    <row r="1953" spans="1:2">
      <c r="A1953" s="3">
        <f ca="1">IFERROR(__xludf.DUMMYFUNCTION("""COMPUTED_VALUE"""),32020.6666666666)</f>
        <v>32020.666666666599</v>
      </c>
      <c r="B1953" s="1">
        <f ca="1">IFERROR(__xludf.DUMMYFUNCTION("""COMPUTED_VALUE"""),329.8)</f>
        <v>329.8</v>
      </c>
    </row>
    <row r="1954" spans="1:2">
      <c r="A1954" s="3">
        <f ca="1">IFERROR(__xludf.DUMMYFUNCTION("""COMPUTED_VALUE"""),32021.6666666666)</f>
        <v>32021.666666666599</v>
      </c>
      <c r="B1954" s="1">
        <f ca="1">IFERROR(__xludf.DUMMYFUNCTION("""COMPUTED_VALUE"""),323.4)</f>
        <v>323.39999999999998</v>
      </c>
    </row>
    <row r="1955" spans="1:2">
      <c r="A1955" s="3">
        <f ca="1">IFERROR(__xludf.DUMMYFUNCTION("""COMPUTED_VALUE"""),32022.6666666666)</f>
        <v>32022.666666666599</v>
      </c>
      <c r="B1955" s="1">
        <f ca="1">IFERROR(__xludf.DUMMYFUNCTION("""COMPUTED_VALUE"""),321.68)</f>
        <v>321.68</v>
      </c>
    </row>
    <row r="1956" spans="1:2">
      <c r="A1956" s="3">
        <f ca="1">IFERROR(__xludf.DUMMYFUNCTION("""COMPUTED_VALUE"""),32023.6666666666)</f>
        <v>32023.666666666599</v>
      </c>
      <c r="B1956" s="1">
        <f ca="1">IFERROR(__xludf.DUMMYFUNCTION("""COMPUTED_VALUE"""),320.21)</f>
        <v>320.20999999999998</v>
      </c>
    </row>
    <row r="1957" spans="1:2">
      <c r="A1957" s="3">
        <f ca="1">IFERROR(__xludf.DUMMYFUNCTION("""COMPUTED_VALUE"""),32024.6666666666)</f>
        <v>32024.666666666599</v>
      </c>
      <c r="B1957" s="1">
        <f ca="1">IFERROR(__xludf.DUMMYFUNCTION("""COMPUTED_VALUE"""),316.7)</f>
        <v>316.7</v>
      </c>
    </row>
    <row r="1958" spans="1:2">
      <c r="A1958" s="3">
        <f ca="1">IFERROR(__xludf.DUMMYFUNCTION("""COMPUTED_VALUE"""),32027.6666666666)</f>
        <v>32027.666666666599</v>
      </c>
      <c r="B1958" s="1">
        <f ca="1">IFERROR(__xludf.DUMMYFUNCTION("""COMPUTED_VALUE"""),313.56)</f>
        <v>313.56</v>
      </c>
    </row>
    <row r="1959" spans="1:2">
      <c r="A1959" s="3">
        <f ca="1">IFERROR(__xludf.DUMMYFUNCTION("""COMPUTED_VALUE"""),32028.6666666666)</f>
        <v>32028.666666666599</v>
      </c>
      <c r="B1959" s="1">
        <f ca="1">IFERROR(__xludf.DUMMYFUNCTION("""COMPUTED_VALUE"""),313.56)</f>
        <v>313.56</v>
      </c>
    </row>
    <row r="1960" spans="1:2">
      <c r="A1960" s="3">
        <f ca="1">IFERROR(__xludf.DUMMYFUNCTION("""COMPUTED_VALUE"""),32029.6666666666)</f>
        <v>32029.666666666599</v>
      </c>
      <c r="B1960" s="1">
        <f ca="1">IFERROR(__xludf.DUMMYFUNCTION("""COMPUTED_VALUE"""),313.92)</f>
        <v>313.92</v>
      </c>
    </row>
    <row r="1961" spans="1:2">
      <c r="A1961" s="3">
        <f ca="1">IFERROR(__xludf.DUMMYFUNCTION("""COMPUTED_VALUE"""),32030.6666666666)</f>
        <v>32030.666666666599</v>
      </c>
      <c r="B1961" s="1">
        <f ca="1">IFERROR(__xludf.DUMMYFUNCTION("""COMPUTED_VALUE"""),317.13)</f>
        <v>317.13</v>
      </c>
    </row>
    <row r="1962" spans="1:2">
      <c r="A1962" s="3">
        <f ca="1">IFERROR(__xludf.DUMMYFUNCTION("""COMPUTED_VALUE"""),32031.6666666666)</f>
        <v>32031.666666666599</v>
      </c>
      <c r="B1962" s="1">
        <f ca="1">IFERROR(__xludf.DUMMYFUNCTION("""COMPUTED_VALUE"""),321.98)</f>
        <v>321.98</v>
      </c>
    </row>
    <row r="1963" spans="1:2">
      <c r="A1963" s="3">
        <f ca="1">IFERROR(__xludf.DUMMYFUNCTION("""COMPUTED_VALUE"""),32034.6666666666)</f>
        <v>32034.666666666599</v>
      </c>
      <c r="B1963" s="1">
        <f ca="1">IFERROR(__xludf.DUMMYFUNCTION("""COMPUTED_VALUE"""),323.08)</f>
        <v>323.08</v>
      </c>
    </row>
    <row r="1964" spans="1:2">
      <c r="A1964" s="3">
        <f ca="1">IFERROR(__xludf.DUMMYFUNCTION("""COMPUTED_VALUE"""),32035.6666666666)</f>
        <v>32035.666666666599</v>
      </c>
      <c r="B1964" s="1">
        <f ca="1">IFERROR(__xludf.DUMMYFUNCTION("""COMPUTED_VALUE"""),317.74)</f>
        <v>317.74</v>
      </c>
    </row>
    <row r="1965" spans="1:2">
      <c r="A1965" s="3">
        <f ca="1">IFERROR(__xludf.DUMMYFUNCTION("""COMPUTED_VALUE"""),32036.6666666666)</f>
        <v>32036.666666666599</v>
      </c>
      <c r="B1965" s="1">
        <f ca="1">IFERROR(__xludf.DUMMYFUNCTION("""COMPUTED_VALUE"""),314.86)</f>
        <v>314.86</v>
      </c>
    </row>
    <row r="1966" spans="1:2">
      <c r="A1966" s="3">
        <f ca="1">IFERROR(__xludf.DUMMYFUNCTION("""COMPUTED_VALUE"""),32037.6666666666)</f>
        <v>32037.666666666599</v>
      </c>
      <c r="B1966" s="1">
        <f ca="1">IFERROR(__xludf.DUMMYFUNCTION("""COMPUTED_VALUE"""),314.93)</f>
        <v>314.93</v>
      </c>
    </row>
    <row r="1967" spans="1:2">
      <c r="A1967" s="3">
        <f ca="1">IFERROR(__xludf.DUMMYFUNCTION("""COMPUTED_VALUE"""),32038.6666666666)</f>
        <v>32038.666666666599</v>
      </c>
      <c r="B1967" s="1">
        <f ca="1">IFERROR(__xludf.DUMMYFUNCTION("""COMPUTED_VALUE"""),314.86)</f>
        <v>314.86</v>
      </c>
    </row>
    <row r="1968" spans="1:2">
      <c r="A1968" s="3">
        <f ca="1">IFERROR(__xludf.DUMMYFUNCTION("""COMPUTED_VALUE"""),32041.6666666666)</f>
        <v>32041.666666666599</v>
      </c>
      <c r="B1968" s="1">
        <f ca="1">IFERROR(__xludf.DUMMYFUNCTION("""COMPUTED_VALUE"""),310.54)</f>
        <v>310.54000000000002</v>
      </c>
    </row>
    <row r="1969" spans="1:2">
      <c r="A1969" s="3">
        <f ca="1">IFERROR(__xludf.DUMMYFUNCTION("""COMPUTED_VALUE"""),32042.6666666666)</f>
        <v>32042.666666666599</v>
      </c>
      <c r="B1969" s="1">
        <f ca="1">IFERROR(__xludf.DUMMYFUNCTION("""COMPUTED_VALUE"""),319.5)</f>
        <v>319.5</v>
      </c>
    </row>
    <row r="1970" spans="1:2">
      <c r="A1970" s="3">
        <f ca="1">IFERROR(__xludf.DUMMYFUNCTION("""COMPUTED_VALUE"""),32043.6666666666)</f>
        <v>32043.666666666599</v>
      </c>
      <c r="B1970" s="1">
        <f ca="1">IFERROR(__xludf.DUMMYFUNCTION("""COMPUTED_VALUE"""),321.19)</f>
        <v>321.19</v>
      </c>
    </row>
    <row r="1971" spans="1:2">
      <c r="A1971" s="3">
        <f ca="1">IFERROR(__xludf.DUMMYFUNCTION("""COMPUTED_VALUE"""),32044.6666666666)</f>
        <v>32044.666666666599</v>
      </c>
      <c r="B1971" s="1">
        <f ca="1">IFERROR(__xludf.DUMMYFUNCTION("""COMPUTED_VALUE"""),319.72)</f>
        <v>319.72000000000003</v>
      </c>
    </row>
    <row r="1972" spans="1:2">
      <c r="A1972" s="3">
        <f ca="1">IFERROR(__xludf.DUMMYFUNCTION("""COMPUTED_VALUE"""),32045.6666666666)</f>
        <v>32045.666666666599</v>
      </c>
      <c r="B1972" s="1">
        <f ca="1">IFERROR(__xludf.DUMMYFUNCTION("""COMPUTED_VALUE"""),320.16)</f>
        <v>320.16000000000003</v>
      </c>
    </row>
    <row r="1973" spans="1:2">
      <c r="A1973" s="3">
        <f ca="1">IFERROR(__xludf.DUMMYFUNCTION("""COMPUTED_VALUE"""),32048.6666666666)</f>
        <v>32048.666666666599</v>
      </c>
      <c r="B1973" s="1">
        <f ca="1">IFERROR(__xludf.DUMMYFUNCTION("""COMPUTED_VALUE"""),323.2)</f>
        <v>323.2</v>
      </c>
    </row>
    <row r="1974" spans="1:2">
      <c r="A1974" s="3">
        <f ca="1">IFERROR(__xludf.DUMMYFUNCTION("""COMPUTED_VALUE"""),32049.6666666666)</f>
        <v>32049.666666666599</v>
      </c>
      <c r="B1974" s="1">
        <f ca="1">IFERROR(__xludf.DUMMYFUNCTION("""COMPUTED_VALUE"""),321.69)</f>
        <v>321.69</v>
      </c>
    </row>
    <row r="1975" spans="1:2">
      <c r="A1975" s="3">
        <f ca="1">IFERROR(__xludf.DUMMYFUNCTION("""COMPUTED_VALUE"""),32050.6666666666)</f>
        <v>32050.666666666599</v>
      </c>
      <c r="B1975" s="1">
        <f ca="1">IFERROR(__xludf.DUMMYFUNCTION("""COMPUTED_VALUE"""),321.83)</f>
        <v>321.83</v>
      </c>
    </row>
    <row r="1976" spans="1:2">
      <c r="A1976" s="3">
        <f ca="1">IFERROR(__xludf.DUMMYFUNCTION("""COMPUTED_VALUE"""),32051.6666666666)</f>
        <v>32051.666666666599</v>
      </c>
      <c r="B1976" s="1">
        <f ca="1">IFERROR(__xludf.DUMMYFUNCTION("""COMPUTED_VALUE"""),327.33)</f>
        <v>327.33</v>
      </c>
    </row>
    <row r="1977" spans="1:2">
      <c r="A1977" s="3">
        <f ca="1">IFERROR(__xludf.DUMMYFUNCTION("""COMPUTED_VALUE"""),32052.6666666666)</f>
        <v>32052.666666666599</v>
      </c>
      <c r="B1977" s="1">
        <f ca="1">IFERROR(__xludf.DUMMYFUNCTION("""COMPUTED_VALUE"""),328.07)</f>
        <v>328.07</v>
      </c>
    </row>
    <row r="1978" spans="1:2">
      <c r="A1978" s="3">
        <f ca="1">IFERROR(__xludf.DUMMYFUNCTION("""COMPUTED_VALUE"""),32055.6666666666)</f>
        <v>32055.666666666599</v>
      </c>
      <c r="B1978" s="1">
        <f ca="1">IFERROR(__xludf.DUMMYFUNCTION("""COMPUTED_VALUE"""),328.08)</f>
        <v>328.08</v>
      </c>
    </row>
    <row r="1979" spans="1:2">
      <c r="A1979" s="3">
        <f ca="1">IFERROR(__xludf.DUMMYFUNCTION("""COMPUTED_VALUE"""),32056.6666666666)</f>
        <v>32056.666666666599</v>
      </c>
      <c r="B1979" s="1">
        <f ca="1">IFERROR(__xludf.DUMMYFUNCTION("""COMPUTED_VALUE"""),319.22)</f>
        <v>319.22000000000003</v>
      </c>
    </row>
    <row r="1980" spans="1:2">
      <c r="A1980" s="3">
        <f ca="1">IFERROR(__xludf.DUMMYFUNCTION("""COMPUTED_VALUE"""),32057.6666666666)</f>
        <v>32057.666666666599</v>
      </c>
      <c r="B1980" s="1">
        <f ca="1">IFERROR(__xludf.DUMMYFUNCTION("""COMPUTED_VALUE"""),318.54)</f>
        <v>318.54000000000002</v>
      </c>
    </row>
    <row r="1981" spans="1:2">
      <c r="A1981" s="3">
        <f ca="1">IFERROR(__xludf.DUMMYFUNCTION("""COMPUTED_VALUE"""),32058.6666666666)</f>
        <v>32058.666666666599</v>
      </c>
      <c r="B1981" s="1">
        <f ca="1">IFERROR(__xludf.DUMMYFUNCTION("""COMPUTED_VALUE"""),314.16)</f>
        <v>314.16000000000003</v>
      </c>
    </row>
    <row r="1982" spans="1:2">
      <c r="A1982" s="3">
        <f ca="1">IFERROR(__xludf.DUMMYFUNCTION("""COMPUTED_VALUE"""),32059.6666666666)</f>
        <v>32059.666666666599</v>
      </c>
      <c r="B1982" s="1">
        <f ca="1">IFERROR(__xludf.DUMMYFUNCTION("""COMPUTED_VALUE"""),311.07)</f>
        <v>311.07</v>
      </c>
    </row>
    <row r="1983" spans="1:2">
      <c r="A1983" s="3">
        <f ca="1">IFERROR(__xludf.DUMMYFUNCTION("""COMPUTED_VALUE"""),32062.6666666666)</f>
        <v>32062.666666666599</v>
      </c>
      <c r="B1983" s="1">
        <f ca="1">IFERROR(__xludf.DUMMYFUNCTION("""COMPUTED_VALUE"""),309.39)</f>
        <v>309.39</v>
      </c>
    </row>
    <row r="1984" spans="1:2">
      <c r="A1984" s="3">
        <f ca="1">IFERROR(__xludf.DUMMYFUNCTION("""COMPUTED_VALUE"""),32063.6666666666)</f>
        <v>32063.666666666599</v>
      </c>
      <c r="B1984" s="1">
        <f ca="1">IFERROR(__xludf.DUMMYFUNCTION("""COMPUTED_VALUE"""),314.52)</f>
        <v>314.52</v>
      </c>
    </row>
    <row r="1985" spans="1:2">
      <c r="A1985" s="3">
        <f ca="1">IFERROR(__xludf.DUMMYFUNCTION("""COMPUTED_VALUE"""),32064.6666666666)</f>
        <v>32064.666666666599</v>
      </c>
      <c r="B1985" s="1">
        <f ca="1">IFERROR(__xludf.DUMMYFUNCTION("""COMPUTED_VALUE"""),305.23)</f>
        <v>305.23</v>
      </c>
    </row>
    <row r="1986" spans="1:2">
      <c r="A1986" s="3">
        <f ca="1">IFERROR(__xludf.DUMMYFUNCTION("""COMPUTED_VALUE"""),32065.6666666666)</f>
        <v>32065.666666666599</v>
      </c>
      <c r="B1986" s="1">
        <f ca="1">IFERROR(__xludf.DUMMYFUNCTION("""COMPUTED_VALUE"""),298.08)</f>
        <v>298.08</v>
      </c>
    </row>
    <row r="1987" spans="1:2">
      <c r="A1987" s="3">
        <f ca="1">IFERROR(__xludf.DUMMYFUNCTION("""COMPUTED_VALUE"""),32066.6666666666)</f>
        <v>32066.666666666599</v>
      </c>
      <c r="B1987" s="1">
        <f ca="1">IFERROR(__xludf.DUMMYFUNCTION("""COMPUTED_VALUE"""),282.7)</f>
        <v>282.7</v>
      </c>
    </row>
    <row r="1988" spans="1:2">
      <c r="A1988" s="3">
        <f ca="1">IFERROR(__xludf.DUMMYFUNCTION("""COMPUTED_VALUE"""),32069.6666666666)</f>
        <v>32069.666666666599</v>
      </c>
      <c r="B1988" s="1">
        <f ca="1">IFERROR(__xludf.DUMMYFUNCTION("""COMPUTED_VALUE"""),224.84)</f>
        <v>224.84</v>
      </c>
    </row>
    <row r="1989" spans="1:2">
      <c r="A1989" s="3">
        <f ca="1">IFERROR(__xludf.DUMMYFUNCTION("""COMPUTED_VALUE"""),32070.6666666666)</f>
        <v>32070.666666666599</v>
      </c>
      <c r="B1989" s="1">
        <f ca="1">IFERROR(__xludf.DUMMYFUNCTION("""COMPUTED_VALUE"""),236.83)</f>
        <v>236.83</v>
      </c>
    </row>
    <row r="1990" spans="1:2">
      <c r="A1990" s="3">
        <f ca="1">IFERROR(__xludf.DUMMYFUNCTION("""COMPUTED_VALUE"""),32071.6666666666)</f>
        <v>32071.666666666599</v>
      </c>
      <c r="B1990" s="1">
        <f ca="1">IFERROR(__xludf.DUMMYFUNCTION("""COMPUTED_VALUE"""),258.38)</f>
        <v>258.38</v>
      </c>
    </row>
    <row r="1991" spans="1:2">
      <c r="A1991" s="3">
        <f ca="1">IFERROR(__xludf.DUMMYFUNCTION("""COMPUTED_VALUE"""),32072.6666666666)</f>
        <v>32072.666666666599</v>
      </c>
      <c r="B1991" s="1">
        <f ca="1">IFERROR(__xludf.DUMMYFUNCTION("""COMPUTED_VALUE"""),248.25)</f>
        <v>248.25</v>
      </c>
    </row>
    <row r="1992" spans="1:2">
      <c r="A1992" s="3">
        <f ca="1">IFERROR(__xludf.DUMMYFUNCTION("""COMPUTED_VALUE"""),32073.6666666666)</f>
        <v>32073.666666666599</v>
      </c>
      <c r="B1992" s="1">
        <f ca="1">IFERROR(__xludf.DUMMYFUNCTION("""COMPUTED_VALUE"""),248.22)</f>
        <v>248.22</v>
      </c>
    </row>
    <row r="1993" spans="1:2">
      <c r="A1993" s="3">
        <f ca="1">IFERROR(__xludf.DUMMYFUNCTION("""COMPUTED_VALUE"""),32076.6666666666)</f>
        <v>32076.666666666599</v>
      </c>
      <c r="B1993" s="1">
        <f ca="1">IFERROR(__xludf.DUMMYFUNCTION("""COMPUTED_VALUE"""),227.67)</f>
        <v>227.67</v>
      </c>
    </row>
    <row r="1994" spans="1:2">
      <c r="A1994" s="3">
        <f ca="1">IFERROR(__xludf.DUMMYFUNCTION("""COMPUTED_VALUE"""),32077.6666666666)</f>
        <v>32077.666666666599</v>
      </c>
      <c r="B1994" s="1">
        <f ca="1">IFERROR(__xludf.DUMMYFUNCTION("""COMPUTED_VALUE"""),233.19)</f>
        <v>233.19</v>
      </c>
    </row>
    <row r="1995" spans="1:2">
      <c r="A1995" s="3">
        <f ca="1">IFERROR(__xludf.DUMMYFUNCTION("""COMPUTED_VALUE"""),32078.6666666666)</f>
        <v>32078.666666666599</v>
      </c>
      <c r="B1995" s="1">
        <f ca="1">IFERROR(__xludf.DUMMYFUNCTION("""COMPUTED_VALUE"""),233.28)</f>
        <v>233.28</v>
      </c>
    </row>
    <row r="1996" spans="1:2">
      <c r="A1996" s="3">
        <f ca="1">IFERROR(__xludf.DUMMYFUNCTION("""COMPUTED_VALUE"""),32079.6666666666)</f>
        <v>32079.666666666599</v>
      </c>
      <c r="B1996" s="1">
        <f ca="1">IFERROR(__xludf.DUMMYFUNCTION("""COMPUTED_VALUE"""),244.77)</f>
        <v>244.77</v>
      </c>
    </row>
    <row r="1997" spans="1:2">
      <c r="A1997" s="3">
        <f ca="1">IFERROR(__xludf.DUMMYFUNCTION("""COMPUTED_VALUE"""),32080.6666666666)</f>
        <v>32080.666666666599</v>
      </c>
      <c r="B1997" s="1">
        <f ca="1">IFERROR(__xludf.DUMMYFUNCTION("""COMPUTED_VALUE"""),251.79)</f>
        <v>251.79</v>
      </c>
    </row>
    <row r="1998" spans="1:2">
      <c r="A1998" s="3">
        <f ca="1">IFERROR(__xludf.DUMMYFUNCTION("""COMPUTED_VALUE"""),32083.6666666666)</f>
        <v>32083.666666666599</v>
      </c>
      <c r="B1998" s="1">
        <f ca="1">IFERROR(__xludf.DUMMYFUNCTION("""COMPUTED_VALUE"""),255.75)</f>
        <v>255.75</v>
      </c>
    </row>
    <row r="1999" spans="1:2">
      <c r="A1999" s="3">
        <f ca="1">IFERROR(__xludf.DUMMYFUNCTION("""COMPUTED_VALUE"""),32084.6666666666)</f>
        <v>32084.666666666599</v>
      </c>
      <c r="B1999" s="1">
        <f ca="1">IFERROR(__xludf.DUMMYFUNCTION("""COMPUTED_VALUE"""),250.82)</f>
        <v>250.82</v>
      </c>
    </row>
    <row r="2000" spans="1:2">
      <c r="A2000" s="3">
        <f ca="1">IFERROR(__xludf.DUMMYFUNCTION("""COMPUTED_VALUE"""),32085.6666666666)</f>
        <v>32085.666666666599</v>
      </c>
      <c r="B2000" s="1">
        <f ca="1">IFERROR(__xludf.DUMMYFUNCTION("""COMPUTED_VALUE"""),248.96)</f>
        <v>248.96</v>
      </c>
    </row>
    <row r="2001" spans="1:2">
      <c r="A2001" s="3">
        <f ca="1">IFERROR(__xludf.DUMMYFUNCTION("""COMPUTED_VALUE"""),32086.6666666666)</f>
        <v>32086.666666666599</v>
      </c>
      <c r="B2001" s="1">
        <f ca="1">IFERROR(__xludf.DUMMYFUNCTION("""COMPUTED_VALUE"""),254.48)</f>
        <v>254.48</v>
      </c>
    </row>
    <row r="2002" spans="1:2">
      <c r="A2002" s="3">
        <f ca="1">IFERROR(__xludf.DUMMYFUNCTION("""COMPUTED_VALUE"""),32087.6666666666)</f>
        <v>32087.666666666599</v>
      </c>
      <c r="B2002" s="1">
        <f ca="1">IFERROR(__xludf.DUMMYFUNCTION("""COMPUTED_VALUE"""),250.41)</f>
        <v>250.41</v>
      </c>
    </row>
    <row r="2003" spans="1:2">
      <c r="A2003" s="3">
        <f ca="1">IFERROR(__xludf.DUMMYFUNCTION("""COMPUTED_VALUE"""),32090.6666666666)</f>
        <v>32090.666666666599</v>
      </c>
      <c r="B2003" s="1">
        <f ca="1">IFERROR(__xludf.DUMMYFUNCTION("""COMPUTED_VALUE"""),243.17)</f>
        <v>243.17</v>
      </c>
    </row>
    <row r="2004" spans="1:2">
      <c r="A2004" s="3">
        <f ca="1">IFERROR(__xludf.DUMMYFUNCTION("""COMPUTED_VALUE"""),32091.6666666666)</f>
        <v>32091.666666666599</v>
      </c>
      <c r="B2004" s="1">
        <f ca="1">IFERROR(__xludf.DUMMYFUNCTION("""COMPUTED_VALUE"""),239)</f>
        <v>239</v>
      </c>
    </row>
    <row r="2005" spans="1:2">
      <c r="A2005" s="3">
        <f ca="1">IFERROR(__xludf.DUMMYFUNCTION("""COMPUTED_VALUE"""),32092.6666666666)</f>
        <v>32092.666666666599</v>
      </c>
      <c r="B2005" s="1">
        <f ca="1">IFERROR(__xludf.DUMMYFUNCTION("""COMPUTED_VALUE"""),241.9)</f>
        <v>241.9</v>
      </c>
    </row>
    <row r="2006" spans="1:2">
      <c r="A2006" s="3">
        <f ca="1">IFERROR(__xludf.DUMMYFUNCTION("""COMPUTED_VALUE"""),32093.6666666666)</f>
        <v>32093.666666666599</v>
      </c>
      <c r="B2006" s="1">
        <f ca="1">IFERROR(__xludf.DUMMYFUNCTION("""COMPUTED_VALUE"""),248.52)</f>
        <v>248.52</v>
      </c>
    </row>
    <row r="2007" spans="1:2">
      <c r="A2007" s="3">
        <f ca="1">IFERROR(__xludf.DUMMYFUNCTION("""COMPUTED_VALUE"""),32094.6666666666)</f>
        <v>32094.666666666599</v>
      </c>
      <c r="B2007" s="1">
        <f ca="1">IFERROR(__xludf.DUMMYFUNCTION("""COMPUTED_VALUE"""),245.64)</f>
        <v>245.64</v>
      </c>
    </row>
    <row r="2008" spans="1:2">
      <c r="A2008" s="3">
        <f ca="1">IFERROR(__xludf.DUMMYFUNCTION("""COMPUTED_VALUE"""),32097.6666666666)</f>
        <v>32097.666666666599</v>
      </c>
      <c r="B2008" s="1">
        <f ca="1">IFERROR(__xludf.DUMMYFUNCTION("""COMPUTED_VALUE"""),246.76)</f>
        <v>246.76</v>
      </c>
    </row>
    <row r="2009" spans="1:2">
      <c r="A2009" s="3">
        <f ca="1">IFERROR(__xludf.DUMMYFUNCTION("""COMPUTED_VALUE"""),32098.6666666666)</f>
        <v>32098.666666666599</v>
      </c>
      <c r="B2009" s="1">
        <f ca="1">IFERROR(__xludf.DUMMYFUNCTION("""COMPUTED_VALUE"""),243.04)</f>
        <v>243.04</v>
      </c>
    </row>
    <row r="2010" spans="1:2">
      <c r="A2010" s="3">
        <f ca="1">IFERROR(__xludf.DUMMYFUNCTION("""COMPUTED_VALUE"""),32099.6666666666)</f>
        <v>32099.666666666599</v>
      </c>
      <c r="B2010" s="1">
        <f ca="1">IFERROR(__xludf.DUMMYFUNCTION("""COMPUTED_VALUE"""),245.55)</f>
        <v>245.55</v>
      </c>
    </row>
    <row r="2011" spans="1:2">
      <c r="A2011" s="3">
        <f ca="1">IFERROR(__xludf.DUMMYFUNCTION("""COMPUTED_VALUE"""),32100.6666666666)</f>
        <v>32100.666666666599</v>
      </c>
      <c r="B2011" s="1">
        <f ca="1">IFERROR(__xludf.DUMMYFUNCTION("""COMPUTED_VALUE"""),240.05)</f>
        <v>240.05</v>
      </c>
    </row>
    <row r="2012" spans="1:2">
      <c r="A2012" s="3">
        <f ca="1">IFERROR(__xludf.DUMMYFUNCTION("""COMPUTED_VALUE"""),32101.6666666666)</f>
        <v>32101.666666666599</v>
      </c>
      <c r="B2012" s="1">
        <f ca="1">IFERROR(__xludf.DUMMYFUNCTION("""COMPUTED_VALUE"""),242)</f>
        <v>242</v>
      </c>
    </row>
    <row r="2013" spans="1:2">
      <c r="A2013" s="3">
        <f ca="1">IFERROR(__xludf.DUMMYFUNCTION("""COMPUTED_VALUE"""),32104.6666666666)</f>
        <v>32104.666666666599</v>
      </c>
      <c r="B2013" s="1">
        <f ca="1">IFERROR(__xludf.DUMMYFUNCTION("""COMPUTED_VALUE"""),242.99)</f>
        <v>242.99</v>
      </c>
    </row>
    <row r="2014" spans="1:2">
      <c r="A2014" s="3">
        <f ca="1">IFERROR(__xludf.DUMMYFUNCTION("""COMPUTED_VALUE"""),32105.6666666666)</f>
        <v>32105.666666666599</v>
      </c>
      <c r="B2014" s="1">
        <f ca="1">IFERROR(__xludf.DUMMYFUNCTION("""COMPUTED_VALUE"""),246.39)</f>
        <v>246.39</v>
      </c>
    </row>
    <row r="2015" spans="1:2">
      <c r="A2015" s="3">
        <f ca="1">IFERROR(__xludf.DUMMYFUNCTION("""COMPUTED_VALUE"""),32106.6666666666)</f>
        <v>32106.666666666599</v>
      </c>
      <c r="B2015" s="1">
        <f ca="1">IFERROR(__xludf.DUMMYFUNCTION("""COMPUTED_VALUE"""),244.1)</f>
        <v>244.1</v>
      </c>
    </row>
    <row r="2016" spans="1:2">
      <c r="A2016" s="3">
        <f ca="1">IFERROR(__xludf.DUMMYFUNCTION("""COMPUTED_VALUE"""),32108.6666666666)</f>
        <v>32108.666666666599</v>
      </c>
      <c r="B2016" s="1">
        <f ca="1">IFERROR(__xludf.DUMMYFUNCTION("""COMPUTED_VALUE"""),240.34)</f>
        <v>240.34</v>
      </c>
    </row>
    <row r="2017" spans="1:2">
      <c r="A2017" s="3">
        <f ca="1">IFERROR(__xludf.DUMMYFUNCTION("""COMPUTED_VALUE"""),32111.6666666666)</f>
        <v>32111.666666666599</v>
      </c>
      <c r="B2017" s="1">
        <f ca="1">IFERROR(__xludf.DUMMYFUNCTION("""COMPUTED_VALUE"""),230.3)</f>
        <v>230.3</v>
      </c>
    </row>
    <row r="2018" spans="1:2">
      <c r="A2018" s="3">
        <f ca="1">IFERROR(__xludf.DUMMYFUNCTION("""COMPUTED_VALUE"""),32112.6666666666)</f>
        <v>32112.666666666599</v>
      </c>
      <c r="B2018" s="1">
        <f ca="1">IFERROR(__xludf.DUMMYFUNCTION("""COMPUTED_VALUE"""),232)</f>
        <v>232</v>
      </c>
    </row>
    <row r="2019" spans="1:2">
      <c r="A2019" s="3">
        <f ca="1">IFERROR(__xludf.DUMMYFUNCTION("""COMPUTED_VALUE"""),32113.6666666666)</f>
        <v>32113.666666666599</v>
      </c>
      <c r="B2019" s="1">
        <f ca="1">IFERROR(__xludf.DUMMYFUNCTION("""COMPUTED_VALUE"""),233.45)</f>
        <v>233.45</v>
      </c>
    </row>
    <row r="2020" spans="1:2">
      <c r="A2020" s="3">
        <f ca="1">IFERROR(__xludf.DUMMYFUNCTION("""COMPUTED_VALUE"""),32114.6666666666)</f>
        <v>32114.666666666599</v>
      </c>
      <c r="B2020" s="1">
        <f ca="1">IFERROR(__xludf.DUMMYFUNCTION("""COMPUTED_VALUE"""),225.21)</f>
        <v>225.21</v>
      </c>
    </row>
    <row r="2021" spans="1:2">
      <c r="A2021" s="3">
        <f ca="1">IFERROR(__xludf.DUMMYFUNCTION("""COMPUTED_VALUE"""),32115.6666666666)</f>
        <v>32115.666666666599</v>
      </c>
      <c r="B2021" s="1">
        <f ca="1">IFERROR(__xludf.DUMMYFUNCTION("""COMPUTED_VALUE"""),223.92)</f>
        <v>223.92</v>
      </c>
    </row>
    <row r="2022" spans="1:2">
      <c r="A2022" s="3">
        <f ca="1">IFERROR(__xludf.DUMMYFUNCTION("""COMPUTED_VALUE"""),32118.6666666666)</f>
        <v>32118.666666666599</v>
      </c>
      <c r="B2022" s="1">
        <f ca="1">IFERROR(__xludf.DUMMYFUNCTION("""COMPUTED_VALUE"""),228.76)</f>
        <v>228.76</v>
      </c>
    </row>
    <row r="2023" spans="1:2">
      <c r="A2023" s="3">
        <f ca="1">IFERROR(__xludf.DUMMYFUNCTION("""COMPUTED_VALUE"""),32119.6666666666)</f>
        <v>32119.666666666599</v>
      </c>
      <c r="B2023" s="1">
        <f ca="1">IFERROR(__xludf.DUMMYFUNCTION("""COMPUTED_VALUE"""),234.91)</f>
        <v>234.91</v>
      </c>
    </row>
    <row r="2024" spans="1:2">
      <c r="A2024" s="3">
        <f ca="1">IFERROR(__xludf.DUMMYFUNCTION("""COMPUTED_VALUE"""),32120.6666666666)</f>
        <v>32120.666666666599</v>
      </c>
      <c r="B2024" s="1">
        <f ca="1">IFERROR(__xludf.DUMMYFUNCTION("""COMPUTED_VALUE"""),238.89)</f>
        <v>238.89</v>
      </c>
    </row>
    <row r="2025" spans="1:2">
      <c r="A2025" s="3">
        <f ca="1">IFERROR(__xludf.DUMMYFUNCTION("""COMPUTED_VALUE"""),32121.6666666666)</f>
        <v>32121.666666666599</v>
      </c>
      <c r="B2025" s="1">
        <f ca="1">IFERROR(__xludf.DUMMYFUNCTION("""COMPUTED_VALUE"""),233.57)</f>
        <v>233.57</v>
      </c>
    </row>
    <row r="2026" spans="1:2">
      <c r="A2026" s="3">
        <f ca="1">IFERROR(__xludf.DUMMYFUNCTION("""COMPUTED_VALUE"""),32122.6666666666)</f>
        <v>32122.666666666599</v>
      </c>
      <c r="B2026" s="1">
        <f ca="1">IFERROR(__xludf.DUMMYFUNCTION("""COMPUTED_VALUE"""),235.32)</f>
        <v>235.32</v>
      </c>
    </row>
    <row r="2027" spans="1:2">
      <c r="A2027" s="3">
        <f ca="1">IFERROR(__xludf.DUMMYFUNCTION("""COMPUTED_VALUE"""),32125.6666666666)</f>
        <v>32125.666666666599</v>
      </c>
      <c r="B2027" s="1">
        <f ca="1">IFERROR(__xludf.DUMMYFUNCTION("""COMPUTED_VALUE"""),242.19)</f>
        <v>242.19</v>
      </c>
    </row>
    <row r="2028" spans="1:2">
      <c r="A2028" s="3">
        <f ca="1">IFERROR(__xludf.DUMMYFUNCTION("""COMPUTED_VALUE"""),32126.6666666666)</f>
        <v>32126.666666666599</v>
      </c>
      <c r="B2028" s="1">
        <f ca="1">IFERROR(__xludf.DUMMYFUNCTION("""COMPUTED_VALUE"""),242.81)</f>
        <v>242.81</v>
      </c>
    </row>
    <row r="2029" spans="1:2">
      <c r="A2029" s="3">
        <f ca="1">IFERROR(__xludf.DUMMYFUNCTION("""COMPUTED_VALUE"""),32127.6666666666)</f>
        <v>32127.666666666599</v>
      </c>
      <c r="B2029" s="1">
        <f ca="1">IFERROR(__xludf.DUMMYFUNCTION("""COMPUTED_VALUE"""),248.08)</f>
        <v>248.08</v>
      </c>
    </row>
    <row r="2030" spans="1:2">
      <c r="A2030" s="3">
        <f ca="1">IFERROR(__xludf.DUMMYFUNCTION("""COMPUTED_VALUE"""),32128.6666666666)</f>
        <v>32128.666666666599</v>
      </c>
      <c r="B2030" s="1">
        <f ca="1">IFERROR(__xludf.DUMMYFUNCTION("""COMPUTED_VALUE"""),242.98)</f>
        <v>242.98</v>
      </c>
    </row>
    <row r="2031" spans="1:2">
      <c r="A2031" s="3">
        <f ca="1">IFERROR(__xludf.DUMMYFUNCTION("""COMPUTED_VALUE"""),32129.6666666666)</f>
        <v>32129.666666666599</v>
      </c>
      <c r="B2031" s="1">
        <f ca="1">IFERROR(__xludf.DUMMYFUNCTION("""COMPUTED_VALUE"""),249.16)</f>
        <v>249.16</v>
      </c>
    </row>
    <row r="2032" spans="1:2">
      <c r="A2032" s="3">
        <f ca="1">IFERROR(__xludf.DUMMYFUNCTION("""COMPUTED_VALUE"""),32132.6666666666)</f>
        <v>32132.666666666599</v>
      </c>
      <c r="B2032" s="1">
        <f ca="1">IFERROR(__xludf.DUMMYFUNCTION("""COMPUTED_VALUE"""),249.54)</f>
        <v>249.54</v>
      </c>
    </row>
    <row r="2033" spans="1:2">
      <c r="A2033" s="3">
        <f ca="1">IFERROR(__xludf.DUMMYFUNCTION("""COMPUTED_VALUE"""),32133.6666666666)</f>
        <v>32133.666666666599</v>
      </c>
      <c r="B2033" s="1">
        <f ca="1">IFERROR(__xludf.DUMMYFUNCTION("""COMPUTED_VALUE"""),249.95)</f>
        <v>249.95</v>
      </c>
    </row>
    <row r="2034" spans="1:2">
      <c r="A2034" s="3">
        <f ca="1">IFERROR(__xludf.DUMMYFUNCTION("""COMPUTED_VALUE"""),32134.6666666666)</f>
        <v>32134.666666666599</v>
      </c>
      <c r="B2034" s="1">
        <f ca="1">IFERROR(__xludf.DUMMYFUNCTION("""COMPUTED_VALUE"""),253.16)</f>
        <v>253.16</v>
      </c>
    </row>
    <row r="2035" spans="1:2">
      <c r="A2035" s="3">
        <f ca="1">IFERROR(__xludf.DUMMYFUNCTION("""COMPUTED_VALUE"""),32135.6666666666)</f>
        <v>32135.666666666599</v>
      </c>
      <c r="B2035" s="1">
        <f ca="1">IFERROR(__xludf.DUMMYFUNCTION("""COMPUTED_VALUE"""),252.03)</f>
        <v>252.03</v>
      </c>
    </row>
    <row r="2036" spans="1:2">
      <c r="A2036" s="3">
        <f ca="1">IFERROR(__xludf.DUMMYFUNCTION("""COMPUTED_VALUE"""),32139.6666666666)</f>
        <v>32139.666666666599</v>
      </c>
      <c r="B2036" s="1">
        <f ca="1">IFERROR(__xludf.DUMMYFUNCTION("""COMPUTED_VALUE"""),245.57)</f>
        <v>245.57</v>
      </c>
    </row>
    <row r="2037" spans="1:2">
      <c r="A2037" s="3">
        <f ca="1">IFERROR(__xludf.DUMMYFUNCTION("""COMPUTED_VALUE"""),32140.6666666666)</f>
        <v>32140.666666666599</v>
      </c>
      <c r="B2037" s="1">
        <f ca="1">IFERROR(__xludf.DUMMYFUNCTION("""COMPUTED_VALUE"""),244.59)</f>
        <v>244.59</v>
      </c>
    </row>
    <row r="2038" spans="1:2">
      <c r="A2038" s="3">
        <f ca="1">IFERROR(__xludf.DUMMYFUNCTION("""COMPUTED_VALUE"""),32141.6666666666)</f>
        <v>32141.666666666599</v>
      </c>
      <c r="B2038" s="1">
        <f ca="1">IFERROR(__xludf.DUMMYFUNCTION("""COMPUTED_VALUE"""),247.86)</f>
        <v>247.86</v>
      </c>
    </row>
    <row r="2039" spans="1:2">
      <c r="A2039" s="3">
        <f ca="1">IFERROR(__xludf.DUMMYFUNCTION("""COMPUTED_VALUE"""),32142.6666666666)</f>
        <v>32142.666666666599</v>
      </c>
      <c r="B2039" s="1">
        <f ca="1">IFERROR(__xludf.DUMMYFUNCTION("""COMPUTED_VALUE"""),247.08)</f>
        <v>247.08</v>
      </c>
    </row>
    <row r="2040" spans="1:2">
      <c r="A2040" s="3">
        <f ca="1">IFERROR(__xludf.DUMMYFUNCTION("""COMPUTED_VALUE"""),32146.6666666666)</f>
        <v>32146.666666666599</v>
      </c>
      <c r="B2040" s="1">
        <f ca="1">IFERROR(__xludf.DUMMYFUNCTION("""COMPUTED_VALUE"""),255.94)</f>
        <v>255.94</v>
      </c>
    </row>
    <row r="2041" spans="1:2">
      <c r="A2041" s="3">
        <f ca="1">IFERROR(__xludf.DUMMYFUNCTION("""COMPUTED_VALUE"""),32147.6666666666)</f>
        <v>32147.666666666599</v>
      </c>
      <c r="B2041" s="1">
        <f ca="1">IFERROR(__xludf.DUMMYFUNCTION("""COMPUTED_VALUE"""),258.63)</f>
        <v>258.63</v>
      </c>
    </row>
    <row r="2042" spans="1:2">
      <c r="A2042" s="3">
        <f ca="1">IFERROR(__xludf.DUMMYFUNCTION("""COMPUTED_VALUE"""),32148.6666666666)</f>
        <v>32148.666666666599</v>
      </c>
      <c r="B2042" s="1">
        <f ca="1">IFERROR(__xludf.DUMMYFUNCTION("""COMPUTED_VALUE"""),258.89)</f>
        <v>258.89</v>
      </c>
    </row>
    <row r="2043" spans="1:2">
      <c r="A2043" s="3">
        <f ca="1">IFERROR(__xludf.DUMMYFUNCTION("""COMPUTED_VALUE"""),32149.6666666666)</f>
        <v>32149.666666666599</v>
      </c>
      <c r="B2043" s="1">
        <f ca="1">IFERROR(__xludf.DUMMYFUNCTION("""COMPUTED_VALUE"""),261.07)</f>
        <v>261.07</v>
      </c>
    </row>
    <row r="2044" spans="1:2">
      <c r="A2044" s="3">
        <f ca="1">IFERROR(__xludf.DUMMYFUNCTION("""COMPUTED_VALUE"""),32150.6666666666)</f>
        <v>32150.666666666599</v>
      </c>
      <c r="B2044" s="1">
        <f ca="1">IFERROR(__xludf.DUMMYFUNCTION("""COMPUTED_VALUE"""),243.4)</f>
        <v>243.4</v>
      </c>
    </row>
    <row r="2045" spans="1:2">
      <c r="A2045" s="3">
        <f ca="1">IFERROR(__xludf.DUMMYFUNCTION("""COMPUTED_VALUE"""),32153.6666666666)</f>
        <v>32153.666666666599</v>
      </c>
      <c r="B2045" s="1">
        <f ca="1">IFERROR(__xludf.DUMMYFUNCTION("""COMPUTED_VALUE"""),247.49)</f>
        <v>247.49</v>
      </c>
    </row>
    <row r="2046" spans="1:2">
      <c r="A2046" s="3">
        <f ca="1">IFERROR(__xludf.DUMMYFUNCTION("""COMPUTED_VALUE"""),32154.6666666666)</f>
        <v>32154.666666666599</v>
      </c>
      <c r="B2046" s="1">
        <f ca="1">IFERROR(__xludf.DUMMYFUNCTION("""COMPUTED_VALUE"""),245.42)</f>
        <v>245.42</v>
      </c>
    </row>
    <row r="2047" spans="1:2">
      <c r="A2047" s="3">
        <f ca="1">IFERROR(__xludf.DUMMYFUNCTION("""COMPUTED_VALUE"""),32155.6666666666)</f>
        <v>32155.666666666599</v>
      </c>
      <c r="B2047" s="1">
        <f ca="1">IFERROR(__xludf.DUMMYFUNCTION("""COMPUTED_VALUE"""),245.81)</f>
        <v>245.81</v>
      </c>
    </row>
    <row r="2048" spans="1:2">
      <c r="A2048" s="3">
        <f ca="1">IFERROR(__xludf.DUMMYFUNCTION("""COMPUTED_VALUE"""),32156.6666666666)</f>
        <v>32156.666666666599</v>
      </c>
      <c r="B2048" s="1">
        <f ca="1">IFERROR(__xludf.DUMMYFUNCTION("""COMPUTED_VALUE"""),245.88)</f>
        <v>245.88</v>
      </c>
    </row>
    <row r="2049" spans="1:2">
      <c r="A2049" s="3">
        <f ca="1">IFERROR(__xludf.DUMMYFUNCTION("""COMPUTED_VALUE"""),32157.6666666666)</f>
        <v>32157.666666666599</v>
      </c>
      <c r="B2049" s="1">
        <f ca="1">IFERROR(__xludf.DUMMYFUNCTION("""COMPUTED_VALUE"""),252.05)</f>
        <v>252.05</v>
      </c>
    </row>
    <row r="2050" spans="1:2">
      <c r="A2050" s="3">
        <f ca="1">IFERROR(__xludf.DUMMYFUNCTION("""COMPUTED_VALUE"""),32160.6666666666)</f>
        <v>32160.666666666599</v>
      </c>
      <c r="B2050" s="1">
        <f ca="1">IFERROR(__xludf.DUMMYFUNCTION("""COMPUTED_VALUE"""),251.88)</f>
        <v>251.88</v>
      </c>
    </row>
    <row r="2051" spans="1:2">
      <c r="A2051" s="3">
        <f ca="1">IFERROR(__xludf.DUMMYFUNCTION("""COMPUTED_VALUE"""),32161.6666666666)</f>
        <v>32161.666666666599</v>
      </c>
      <c r="B2051" s="1">
        <f ca="1">IFERROR(__xludf.DUMMYFUNCTION("""COMPUTED_VALUE"""),249.32)</f>
        <v>249.32</v>
      </c>
    </row>
    <row r="2052" spans="1:2">
      <c r="A2052" s="3">
        <f ca="1">IFERROR(__xludf.DUMMYFUNCTION("""COMPUTED_VALUE"""),32162.6666666666)</f>
        <v>32162.666666666599</v>
      </c>
      <c r="B2052" s="1">
        <f ca="1">IFERROR(__xludf.DUMMYFUNCTION("""COMPUTED_VALUE"""),242.63)</f>
        <v>242.63</v>
      </c>
    </row>
    <row r="2053" spans="1:2">
      <c r="A2053" s="3">
        <f ca="1">IFERROR(__xludf.DUMMYFUNCTION("""COMPUTED_VALUE"""),32163.6666666666)</f>
        <v>32163.666666666599</v>
      </c>
      <c r="B2053" s="1">
        <f ca="1">IFERROR(__xludf.DUMMYFUNCTION("""COMPUTED_VALUE"""),243.14)</f>
        <v>243.14</v>
      </c>
    </row>
    <row r="2054" spans="1:2">
      <c r="A2054" s="3">
        <f ca="1">IFERROR(__xludf.DUMMYFUNCTION("""COMPUTED_VALUE"""),32164.6666666666)</f>
        <v>32164.666666666599</v>
      </c>
      <c r="B2054" s="1">
        <f ca="1">IFERROR(__xludf.DUMMYFUNCTION("""COMPUTED_VALUE"""),246.5)</f>
        <v>246.5</v>
      </c>
    </row>
    <row r="2055" spans="1:2">
      <c r="A2055" s="3">
        <f ca="1">IFERROR(__xludf.DUMMYFUNCTION("""COMPUTED_VALUE"""),32167.6666666666)</f>
        <v>32167.666666666599</v>
      </c>
      <c r="B2055" s="1">
        <f ca="1">IFERROR(__xludf.DUMMYFUNCTION("""COMPUTED_VALUE"""),252.17)</f>
        <v>252.17</v>
      </c>
    </row>
    <row r="2056" spans="1:2">
      <c r="A2056" s="3">
        <f ca="1">IFERROR(__xludf.DUMMYFUNCTION("""COMPUTED_VALUE"""),32168.6666666666)</f>
        <v>32168.666666666599</v>
      </c>
      <c r="B2056" s="1">
        <f ca="1">IFERROR(__xludf.DUMMYFUNCTION("""COMPUTED_VALUE"""),249.57)</f>
        <v>249.57</v>
      </c>
    </row>
    <row r="2057" spans="1:2">
      <c r="A2057" s="3">
        <f ca="1">IFERROR(__xludf.DUMMYFUNCTION("""COMPUTED_VALUE"""),32169.6666666666)</f>
        <v>32169.666666666599</v>
      </c>
      <c r="B2057" s="1">
        <f ca="1">IFERROR(__xludf.DUMMYFUNCTION("""COMPUTED_VALUE"""),249.38)</f>
        <v>249.38</v>
      </c>
    </row>
    <row r="2058" spans="1:2">
      <c r="A2058" s="3">
        <f ca="1">IFERROR(__xludf.DUMMYFUNCTION("""COMPUTED_VALUE"""),32170.6666666666)</f>
        <v>32170.666666666599</v>
      </c>
      <c r="B2058" s="1">
        <f ca="1">IFERROR(__xludf.DUMMYFUNCTION("""COMPUTED_VALUE"""),253.29)</f>
        <v>253.29</v>
      </c>
    </row>
    <row r="2059" spans="1:2">
      <c r="A2059" s="3">
        <f ca="1">IFERROR(__xludf.DUMMYFUNCTION("""COMPUTED_VALUE"""),32171.6666666666)</f>
        <v>32171.666666666599</v>
      </c>
      <c r="B2059" s="1">
        <f ca="1">IFERROR(__xludf.DUMMYFUNCTION("""COMPUTED_VALUE"""),257.07)</f>
        <v>257.07</v>
      </c>
    </row>
    <row r="2060" spans="1:2">
      <c r="A2060" s="3">
        <f ca="1">IFERROR(__xludf.DUMMYFUNCTION("""COMPUTED_VALUE"""),32174.6666666666)</f>
        <v>32174.666666666599</v>
      </c>
      <c r="B2060" s="1">
        <f ca="1">IFERROR(__xludf.DUMMYFUNCTION("""COMPUTED_VALUE"""),255.04)</f>
        <v>255.04</v>
      </c>
    </row>
    <row r="2061" spans="1:2">
      <c r="A2061" s="3">
        <f ca="1">IFERROR(__xludf.DUMMYFUNCTION("""COMPUTED_VALUE"""),32175.6666666666)</f>
        <v>32175.666666666599</v>
      </c>
      <c r="B2061" s="1">
        <f ca="1">IFERROR(__xludf.DUMMYFUNCTION("""COMPUTED_VALUE"""),255.57)</f>
        <v>255.57</v>
      </c>
    </row>
    <row r="2062" spans="1:2">
      <c r="A2062" s="3">
        <f ca="1">IFERROR(__xludf.DUMMYFUNCTION("""COMPUTED_VALUE"""),32176.6666666666)</f>
        <v>32176.666666666599</v>
      </c>
      <c r="B2062" s="1">
        <f ca="1">IFERROR(__xludf.DUMMYFUNCTION("""COMPUTED_VALUE"""),252.21)</f>
        <v>252.21</v>
      </c>
    </row>
    <row r="2063" spans="1:2">
      <c r="A2063" s="3">
        <f ca="1">IFERROR(__xludf.DUMMYFUNCTION("""COMPUTED_VALUE"""),32177.6666666666)</f>
        <v>32177.666666666599</v>
      </c>
      <c r="B2063" s="1">
        <f ca="1">IFERROR(__xludf.DUMMYFUNCTION("""COMPUTED_VALUE"""),252.21)</f>
        <v>252.21</v>
      </c>
    </row>
    <row r="2064" spans="1:2">
      <c r="A2064" s="3">
        <f ca="1">IFERROR(__xludf.DUMMYFUNCTION("""COMPUTED_VALUE"""),32178.6666666666)</f>
        <v>32178.666666666599</v>
      </c>
      <c r="B2064" s="1">
        <f ca="1">IFERROR(__xludf.DUMMYFUNCTION("""COMPUTED_VALUE"""),250.96)</f>
        <v>250.96</v>
      </c>
    </row>
    <row r="2065" spans="1:2">
      <c r="A2065" s="3">
        <f ca="1">IFERROR(__xludf.DUMMYFUNCTION("""COMPUTED_VALUE"""),32181.6666666666)</f>
        <v>32181.666666666599</v>
      </c>
      <c r="B2065" s="1">
        <f ca="1">IFERROR(__xludf.DUMMYFUNCTION("""COMPUTED_VALUE"""),249.1)</f>
        <v>249.1</v>
      </c>
    </row>
    <row r="2066" spans="1:2">
      <c r="A2066" s="3">
        <f ca="1">IFERROR(__xludf.DUMMYFUNCTION("""COMPUTED_VALUE"""),32182.6666666666)</f>
        <v>32182.666666666599</v>
      </c>
      <c r="B2066" s="1">
        <f ca="1">IFERROR(__xludf.DUMMYFUNCTION("""COMPUTED_VALUE"""),251.72)</f>
        <v>251.72</v>
      </c>
    </row>
    <row r="2067" spans="1:2">
      <c r="A2067" s="3">
        <f ca="1">IFERROR(__xludf.DUMMYFUNCTION("""COMPUTED_VALUE"""),32183.6666666666)</f>
        <v>32183.666666666599</v>
      </c>
      <c r="B2067" s="1">
        <f ca="1">IFERROR(__xludf.DUMMYFUNCTION("""COMPUTED_VALUE"""),256.66)</f>
        <v>256.66000000000003</v>
      </c>
    </row>
    <row r="2068" spans="1:2">
      <c r="A2068" s="3">
        <f ca="1">IFERROR(__xludf.DUMMYFUNCTION("""COMPUTED_VALUE"""),32184.6666666666)</f>
        <v>32184.666666666599</v>
      </c>
      <c r="B2068" s="1">
        <f ca="1">IFERROR(__xludf.DUMMYFUNCTION("""COMPUTED_VALUE"""),255.95)</f>
        <v>255.95</v>
      </c>
    </row>
    <row r="2069" spans="1:2">
      <c r="A2069" s="3">
        <f ca="1">IFERROR(__xludf.DUMMYFUNCTION("""COMPUTED_VALUE"""),32185.6666666666)</f>
        <v>32185.666666666599</v>
      </c>
      <c r="B2069" s="1">
        <f ca="1">IFERROR(__xludf.DUMMYFUNCTION("""COMPUTED_VALUE"""),257.63)</f>
        <v>257.63</v>
      </c>
    </row>
    <row r="2070" spans="1:2">
      <c r="A2070" s="3">
        <f ca="1">IFERROR(__xludf.DUMMYFUNCTION("""COMPUTED_VALUE"""),32188.6666666666)</f>
        <v>32188.666666666599</v>
      </c>
      <c r="B2070" s="1">
        <f ca="1">IFERROR(__xludf.DUMMYFUNCTION("""COMPUTED_VALUE"""),259.83)</f>
        <v>259.83</v>
      </c>
    </row>
    <row r="2071" spans="1:2">
      <c r="A2071" s="3">
        <f ca="1">IFERROR(__xludf.DUMMYFUNCTION("""COMPUTED_VALUE"""),32189.6666666666)</f>
        <v>32189.666666666599</v>
      </c>
      <c r="B2071" s="1">
        <f ca="1">IFERROR(__xludf.DUMMYFUNCTION("""COMPUTED_VALUE"""),259.83)</f>
        <v>259.83</v>
      </c>
    </row>
    <row r="2072" spans="1:2">
      <c r="A2072" s="3">
        <f ca="1">IFERROR(__xludf.DUMMYFUNCTION("""COMPUTED_VALUE"""),32190.6666666666)</f>
        <v>32190.666666666599</v>
      </c>
      <c r="B2072" s="1">
        <f ca="1">IFERROR(__xludf.DUMMYFUNCTION("""COMPUTED_VALUE"""),259.21)</f>
        <v>259.20999999999998</v>
      </c>
    </row>
    <row r="2073" spans="1:2">
      <c r="A2073" s="3">
        <f ca="1">IFERROR(__xludf.DUMMYFUNCTION("""COMPUTED_VALUE"""),32191.6666666666)</f>
        <v>32191.666666666599</v>
      </c>
      <c r="B2073" s="1">
        <f ca="1">IFERROR(__xludf.DUMMYFUNCTION("""COMPUTED_VALUE"""),257.91)</f>
        <v>257.91000000000003</v>
      </c>
    </row>
    <row r="2074" spans="1:2">
      <c r="A2074" s="3">
        <f ca="1">IFERROR(__xludf.DUMMYFUNCTION("""COMPUTED_VALUE"""),32192.6666666666)</f>
        <v>32192.666666666599</v>
      </c>
      <c r="B2074" s="1">
        <f ca="1">IFERROR(__xludf.DUMMYFUNCTION("""COMPUTED_VALUE"""),261.61)</f>
        <v>261.61</v>
      </c>
    </row>
    <row r="2075" spans="1:2">
      <c r="A2075" s="3">
        <f ca="1">IFERROR(__xludf.DUMMYFUNCTION("""COMPUTED_VALUE"""),32195.6666666666)</f>
        <v>32195.666666666599</v>
      </c>
      <c r="B2075" s="1">
        <f ca="1">IFERROR(__xludf.DUMMYFUNCTION("""COMPUTED_VALUE"""),265.64)</f>
        <v>265.64</v>
      </c>
    </row>
    <row r="2076" spans="1:2">
      <c r="A2076" s="3">
        <f ca="1">IFERROR(__xludf.DUMMYFUNCTION("""COMPUTED_VALUE"""),32196.6666666666)</f>
        <v>32196.666666666599</v>
      </c>
      <c r="B2076" s="1">
        <f ca="1">IFERROR(__xludf.DUMMYFUNCTION("""COMPUTED_VALUE"""),265.02)</f>
        <v>265.02</v>
      </c>
    </row>
    <row r="2077" spans="1:2">
      <c r="A2077" s="3">
        <f ca="1">IFERROR(__xludf.DUMMYFUNCTION("""COMPUTED_VALUE"""),32197.6666666666)</f>
        <v>32197.666666666599</v>
      </c>
      <c r="B2077" s="1">
        <f ca="1">IFERROR(__xludf.DUMMYFUNCTION("""COMPUTED_VALUE"""),264.43)</f>
        <v>264.43</v>
      </c>
    </row>
    <row r="2078" spans="1:2">
      <c r="A2078" s="3">
        <f ca="1">IFERROR(__xludf.DUMMYFUNCTION("""COMPUTED_VALUE"""),32198.6666666666)</f>
        <v>32198.666666666599</v>
      </c>
      <c r="B2078" s="1">
        <f ca="1">IFERROR(__xludf.DUMMYFUNCTION("""COMPUTED_VALUE"""),261.58)</f>
        <v>261.58</v>
      </c>
    </row>
    <row r="2079" spans="1:2">
      <c r="A2079" s="3">
        <f ca="1">IFERROR(__xludf.DUMMYFUNCTION("""COMPUTED_VALUE"""),32199.6666666666)</f>
        <v>32199.666666666599</v>
      </c>
      <c r="B2079" s="1">
        <f ca="1">IFERROR(__xludf.DUMMYFUNCTION("""COMPUTED_VALUE"""),262.46)</f>
        <v>262.45999999999998</v>
      </c>
    </row>
    <row r="2080" spans="1:2">
      <c r="A2080" s="3">
        <f ca="1">IFERROR(__xludf.DUMMYFUNCTION("""COMPUTED_VALUE"""),32202.6666666666)</f>
        <v>32202.666666666599</v>
      </c>
      <c r="B2080" s="1">
        <f ca="1">IFERROR(__xludf.DUMMYFUNCTION("""COMPUTED_VALUE"""),267.82)</f>
        <v>267.82</v>
      </c>
    </row>
    <row r="2081" spans="1:2">
      <c r="A2081" s="3">
        <f ca="1">IFERROR(__xludf.DUMMYFUNCTION("""COMPUTED_VALUE"""),32203.6666666666)</f>
        <v>32203.666666666599</v>
      </c>
      <c r="B2081" s="1">
        <f ca="1">IFERROR(__xludf.DUMMYFUNCTION("""COMPUTED_VALUE"""),267.22)</f>
        <v>267.22000000000003</v>
      </c>
    </row>
    <row r="2082" spans="1:2">
      <c r="A2082" s="3">
        <f ca="1">IFERROR(__xludf.DUMMYFUNCTION("""COMPUTED_VALUE"""),32204.6666666666)</f>
        <v>32204.666666666599</v>
      </c>
      <c r="B2082" s="1">
        <f ca="1">IFERROR(__xludf.DUMMYFUNCTION("""COMPUTED_VALUE"""),267.98)</f>
        <v>267.98</v>
      </c>
    </row>
    <row r="2083" spans="1:2">
      <c r="A2083" s="3">
        <f ca="1">IFERROR(__xludf.DUMMYFUNCTION("""COMPUTED_VALUE"""),32205.6666666666)</f>
        <v>32205.666666666599</v>
      </c>
      <c r="B2083" s="1">
        <f ca="1">IFERROR(__xludf.DUMMYFUNCTION("""COMPUTED_VALUE"""),267.88)</f>
        <v>267.88</v>
      </c>
    </row>
    <row r="2084" spans="1:2">
      <c r="A2084" s="3">
        <f ca="1">IFERROR(__xludf.DUMMYFUNCTION("""COMPUTED_VALUE"""),32206.6666666666)</f>
        <v>32206.666666666599</v>
      </c>
      <c r="B2084" s="1">
        <f ca="1">IFERROR(__xludf.DUMMYFUNCTION("""COMPUTED_VALUE"""),267.3)</f>
        <v>267.3</v>
      </c>
    </row>
    <row r="2085" spans="1:2">
      <c r="A2085" s="3">
        <f ca="1">IFERROR(__xludf.DUMMYFUNCTION("""COMPUTED_VALUE"""),32209.6666666666)</f>
        <v>32209.666666666599</v>
      </c>
      <c r="B2085" s="1">
        <f ca="1">IFERROR(__xludf.DUMMYFUNCTION("""COMPUTED_VALUE"""),267.38)</f>
        <v>267.38</v>
      </c>
    </row>
    <row r="2086" spans="1:2">
      <c r="A2086" s="3">
        <f ca="1">IFERROR(__xludf.DUMMYFUNCTION("""COMPUTED_VALUE"""),32210.6666666666)</f>
        <v>32210.666666666599</v>
      </c>
      <c r="B2086" s="1">
        <f ca="1">IFERROR(__xludf.DUMMYFUNCTION("""COMPUTED_VALUE"""),269.43)</f>
        <v>269.43</v>
      </c>
    </row>
    <row r="2087" spans="1:2">
      <c r="A2087" s="3">
        <f ca="1">IFERROR(__xludf.DUMMYFUNCTION("""COMPUTED_VALUE"""),32211.6666666666)</f>
        <v>32211.666666666599</v>
      </c>
      <c r="B2087" s="1">
        <f ca="1">IFERROR(__xludf.DUMMYFUNCTION("""COMPUTED_VALUE"""),269.06)</f>
        <v>269.06</v>
      </c>
    </row>
    <row r="2088" spans="1:2">
      <c r="A2088" s="3">
        <f ca="1">IFERROR(__xludf.DUMMYFUNCTION("""COMPUTED_VALUE"""),32212.6666666666)</f>
        <v>32212.666666666599</v>
      </c>
      <c r="B2088" s="1">
        <f ca="1">IFERROR(__xludf.DUMMYFUNCTION("""COMPUTED_VALUE"""),263.84)</f>
        <v>263.83999999999997</v>
      </c>
    </row>
    <row r="2089" spans="1:2">
      <c r="A2089" s="3">
        <f ca="1">IFERROR(__xludf.DUMMYFUNCTION("""COMPUTED_VALUE"""),32213.6666666666)</f>
        <v>32213.666666666599</v>
      </c>
      <c r="B2089" s="1">
        <f ca="1">IFERROR(__xludf.DUMMYFUNCTION("""COMPUTED_VALUE"""),264.94)</f>
        <v>264.94</v>
      </c>
    </row>
    <row r="2090" spans="1:2">
      <c r="A2090" s="3">
        <f ca="1">IFERROR(__xludf.DUMMYFUNCTION("""COMPUTED_VALUE"""),32216.6666666666)</f>
        <v>32216.666666666599</v>
      </c>
      <c r="B2090" s="1">
        <f ca="1">IFERROR(__xludf.DUMMYFUNCTION("""COMPUTED_VALUE"""),266.37)</f>
        <v>266.37</v>
      </c>
    </row>
    <row r="2091" spans="1:2">
      <c r="A2091" s="3">
        <f ca="1">IFERROR(__xludf.DUMMYFUNCTION("""COMPUTED_VALUE"""),32217.6666666666)</f>
        <v>32217.666666666599</v>
      </c>
      <c r="B2091" s="1">
        <f ca="1">IFERROR(__xludf.DUMMYFUNCTION("""COMPUTED_VALUE"""),266.13)</f>
        <v>266.13</v>
      </c>
    </row>
    <row r="2092" spans="1:2">
      <c r="A2092" s="3">
        <f ca="1">IFERROR(__xludf.DUMMYFUNCTION("""COMPUTED_VALUE"""),32218.6666666666)</f>
        <v>32218.666666666599</v>
      </c>
      <c r="B2092" s="1">
        <f ca="1">IFERROR(__xludf.DUMMYFUNCTION("""COMPUTED_VALUE"""),268.65)</f>
        <v>268.64999999999998</v>
      </c>
    </row>
    <row r="2093" spans="1:2">
      <c r="A2093" s="3">
        <f ca="1">IFERROR(__xludf.DUMMYFUNCTION("""COMPUTED_VALUE"""),32219.6666666666)</f>
        <v>32219.666666666599</v>
      </c>
      <c r="B2093" s="1">
        <f ca="1">IFERROR(__xludf.DUMMYFUNCTION("""COMPUTED_VALUE"""),271.22)</f>
        <v>271.22000000000003</v>
      </c>
    </row>
    <row r="2094" spans="1:2">
      <c r="A2094" s="3">
        <f ca="1">IFERROR(__xludf.DUMMYFUNCTION("""COMPUTED_VALUE"""),32220.6666666666)</f>
        <v>32220.666666666599</v>
      </c>
      <c r="B2094" s="1">
        <f ca="1">IFERROR(__xludf.DUMMYFUNCTION("""COMPUTED_VALUE"""),271.12)</f>
        <v>271.12</v>
      </c>
    </row>
    <row r="2095" spans="1:2">
      <c r="A2095" s="3">
        <f ca="1">IFERROR(__xludf.DUMMYFUNCTION("""COMPUTED_VALUE"""),32223.6666666666)</f>
        <v>32223.666666666599</v>
      </c>
      <c r="B2095" s="1">
        <f ca="1">IFERROR(__xludf.DUMMYFUNCTION("""COMPUTED_VALUE"""),268.74)</f>
        <v>268.74</v>
      </c>
    </row>
    <row r="2096" spans="1:2">
      <c r="A2096" s="3">
        <f ca="1">IFERROR(__xludf.DUMMYFUNCTION("""COMPUTED_VALUE"""),32224.6666666666)</f>
        <v>32224.666666666599</v>
      </c>
      <c r="B2096" s="1">
        <f ca="1">IFERROR(__xludf.DUMMYFUNCTION("""COMPUTED_VALUE"""),268.84)</f>
        <v>268.83999999999997</v>
      </c>
    </row>
    <row r="2097" spans="1:2">
      <c r="A2097" s="3">
        <f ca="1">IFERROR(__xludf.DUMMYFUNCTION("""COMPUTED_VALUE"""),32225.6666666666)</f>
        <v>32225.666666666599</v>
      </c>
      <c r="B2097" s="1">
        <f ca="1">IFERROR(__xludf.DUMMYFUNCTION("""COMPUTED_VALUE"""),268.91)</f>
        <v>268.91000000000003</v>
      </c>
    </row>
    <row r="2098" spans="1:2">
      <c r="A2098" s="3">
        <f ca="1">IFERROR(__xludf.DUMMYFUNCTION("""COMPUTED_VALUE"""),32226.6666666666)</f>
        <v>32226.666666666599</v>
      </c>
      <c r="B2098" s="1">
        <f ca="1">IFERROR(__xludf.DUMMYFUNCTION("""COMPUTED_VALUE"""),263.35)</f>
        <v>263.35000000000002</v>
      </c>
    </row>
    <row r="2099" spans="1:2">
      <c r="A2099" s="3">
        <f ca="1">IFERROR(__xludf.DUMMYFUNCTION("""COMPUTED_VALUE"""),32227.6666666666)</f>
        <v>32227.666666666599</v>
      </c>
      <c r="B2099" s="1">
        <f ca="1">IFERROR(__xludf.DUMMYFUNCTION("""COMPUTED_VALUE"""),258.51)</f>
        <v>258.51</v>
      </c>
    </row>
    <row r="2100" spans="1:2">
      <c r="A2100" s="3">
        <f ca="1">IFERROR(__xludf.DUMMYFUNCTION("""COMPUTED_VALUE"""),32230.6666666666)</f>
        <v>32230.666666666599</v>
      </c>
      <c r="B2100" s="1">
        <f ca="1">IFERROR(__xludf.DUMMYFUNCTION("""COMPUTED_VALUE"""),258.06)</f>
        <v>258.06</v>
      </c>
    </row>
    <row r="2101" spans="1:2">
      <c r="A2101" s="3">
        <f ca="1">IFERROR(__xludf.DUMMYFUNCTION("""COMPUTED_VALUE"""),32231.6666666666)</f>
        <v>32231.666666666599</v>
      </c>
      <c r="B2101" s="1">
        <f ca="1">IFERROR(__xludf.DUMMYFUNCTION("""COMPUTED_VALUE"""),260.07)</f>
        <v>260.07</v>
      </c>
    </row>
    <row r="2102" spans="1:2">
      <c r="A2102" s="3">
        <f ca="1">IFERROR(__xludf.DUMMYFUNCTION("""COMPUTED_VALUE"""),32232.6666666666)</f>
        <v>32232.666666666599</v>
      </c>
      <c r="B2102" s="1">
        <f ca="1">IFERROR(__xludf.DUMMYFUNCTION("""COMPUTED_VALUE"""),258.07)</f>
        <v>258.07</v>
      </c>
    </row>
    <row r="2103" spans="1:2">
      <c r="A2103" s="3">
        <f ca="1">IFERROR(__xludf.DUMMYFUNCTION("""COMPUTED_VALUE"""),32233.6666666666)</f>
        <v>32233.666666666599</v>
      </c>
      <c r="B2103" s="1">
        <f ca="1">IFERROR(__xludf.DUMMYFUNCTION("""COMPUTED_VALUE"""),258.89)</f>
        <v>258.89</v>
      </c>
    </row>
    <row r="2104" spans="1:2">
      <c r="A2104" s="3">
        <f ca="1">IFERROR(__xludf.DUMMYFUNCTION("""COMPUTED_VALUE"""),32237.6666666666)</f>
        <v>32237.666666666599</v>
      </c>
      <c r="B2104" s="1">
        <f ca="1">IFERROR(__xludf.DUMMYFUNCTION("""COMPUTED_VALUE"""),256.09)</f>
        <v>256.08999999999997</v>
      </c>
    </row>
    <row r="2105" spans="1:2">
      <c r="A2105" s="3">
        <f ca="1">IFERROR(__xludf.DUMMYFUNCTION("""COMPUTED_VALUE"""),32238.6666666666)</f>
        <v>32238.666666666599</v>
      </c>
      <c r="B2105" s="1">
        <f ca="1">IFERROR(__xludf.DUMMYFUNCTION("""COMPUTED_VALUE"""),258.51)</f>
        <v>258.51</v>
      </c>
    </row>
    <row r="2106" spans="1:2">
      <c r="A2106" s="3">
        <f ca="1">IFERROR(__xludf.DUMMYFUNCTION("""COMPUTED_VALUE"""),32239.6666666666)</f>
        <v>32239.666666666599</v>
      </c>
      <c r="B2106" s="1">
        <f ca="1">IFERROR(__xludf.DUMMYFUNCTION("""COMPUTED_VALUE"""),265.49)</f>
        <v>265.49</v>
      </c>
    </row>
    <row r="2107" spans="1:2">
      <c r="A2107" s="3">
        <f ca="1">IFERROR(__xludf.DUMMYFUNCTION("""COMPUTED_VALUE"""),32240.6666666666)</f>
        <v>32240.666666666599</v>
      </c>
      <c r="B2107" s="1">
        <f ca="1">IFERROR(__xludf.DUMMYFUNCTION("""COMPUTED_VALUE"""),266.16)</f>
        <v>266.16000000000003</v>
      </c>
    </row>
    <row r="2108" spans="1:2">
      <c r="A2108" s="3">
        <f ca="1">IFERROR(__xludf.DUMMYFUNCTION("""COMPUTED_VALUE"""),32241.6666666666)</f>
        <v>32241.666666666599</v>
      </c>
      <c r="B2108" s="1">
        <f ca="1">IFERROR(__xludf.DUMMYFUNCTION("""COMPUTED_VALUE"""),269.43)</f>
        <v>269.43</v>
      </c>
    </row>
    <row r="2109" spans="1:2">
      <c r="A2109" s="3">
        <f ca="1">IFERROR(__xludf.DUMMYFUNCTION("""COMPUTED_VALUE"""),32244.6666666666)</f>
        <v>32244.666666666599</v>
      </c>
      <c r="B2109" s="1">
        <f ca="1">IFERROR(__xludf.DUMMYFUNCTION("""COMPUTED_VALUE"""),270.16)</f>
        <v>270.16000000000003</v>
      </c>
    </row>
    <row r="2110" spans="1:2">
      <c r="A2110" s="3">
        <f ca="1">IFERROR(__xludf.DUMMYFUNCTION("""COMPUTED_VALUE"""),32245.6666666666)</f>
        <v>32245.666666666599</v>
      </c>
      <c r="B2110" s="1">
        <f ca="1">IFERROR(__xludf.DUMMYFUNCTION("""COMPUTED_VALUE"""),271.37)</f>
        <v>271.37</v>
      </c>
    </row>
    <row r="2111" spans="1:2">
      <c r="A2111" s="3">
        <f ca="1">IFERROR(__xludf.DUMMYFUNCTION("""COMPUTED_VALUE"""),32246.6666666666)</f>
        <v>32246.666666666599</v>
      </c>
      <c r="B2111" s="1">
        <f ca="1">IFERROR(__xludf.DUMMYFUNCTION("""COMPUTED_VALUE"""),271.58)</f>
        <v>271.58</v>
      </c>
    </row>
    <row r="2112" spans="1:2">
      <c r="A2112" s="3">
        <f ca="1">IFERROR(__xludf.DUMMYFUNCTION("""COMPUTED_VALUE"""),32247.6666666666)</f>
        <v>32247.666666666599</v>
      </c>
      <c r="B2112" s="1">
        <f ca="1">IFERROR(__xludf.DUMMYFUNCTION("""COMPUTED_VALUE"""),259.75)</f>
        <v>259.75</v>
      </c>
    </row>
    <row r="2113" spans="1:2">
      <c r="A2113" s="3">
        <f ca="1">IFERROR(__xludf.DUMMYFUNCTION("""COMPUTED_VALUE"""),32248.6666666666)</f>
        <v>32248.666666666599</v>
      </c>
      <c r="B2113" s="1">
        <f ca="1">IFERROR(__xludf.DUMMYFUNCTION("""COMPUTED_VALUE"""),259.77)</f>
        <v>259.77</v>
      </c>
    </row>
    <row r="2114" spans="1:2">
      <c r="A2114" s="3">
        <f ca="1">IFERROR(__xludf.DUMMYFUNCTION("""COMPUTED_VALUE"""),32251.6666666666)</f>
        <v>32251.666666666599</v>
      </c>
      <c r="B2114" s="1">
        <f ca="1">IFERROR(__xludf.DUMMYFUNCTION("""COMPUTED_VALUE"""),259.21)</f>
        <v>259.20999999999998</v>
      </c>
    </row>
    <row r="2115" spans="1:2">
      <c r="A2115" s="3">
        <f ca="1">IFERROR(__xludf.DUMMYFUNCTION("""COMPUTED_VALUE"""),32252.6666666666)</f>
        <v>32252.666666666599</v>
      </c>
      <c r="B2115" s="1">
        <f ca="1">IFERROR(__xludf.DUMMYFUNCTION("""COMPUTED_VALUE"""),257.92)</f>
        <v>257.92</v>
      </c>
    </row>
    <row r="2116" spans="1:2">
      <c r="A2116" s="3">
        <f ca="1">IFERROR(__xludf.DUMMYFUNCTION("""COMPUTED_VALUE"""),32253.6666666666)</f>
        <v>32253.666666666599</v>
      </c>
      <c r="B2116" s="1">
        <f ca="1">IFERROR(__xludf.DUMMYFUNCTION("""COMPUTED_VALUE"""),256.13)</f>
        <v>256.13</v>
      </c>
    </row>
    <row r="2117" spans="1:2">
      <c r="A2117" s="3">
        <f ca="1">IFERROR(__xludf.DUMMYFUNCTION("""COMPUTED_VALUE"""),32254.6666666666)</f>
        <v>32254.666666666599</v>
      </c>
      <c r="B2117" s="1">
        <f ca="1">IFERROR(__xludf.DUMMYFUNCTION("""COMPUTED_VALUE"""),256.42)</f>
        <v>256.42</v>
      </c>
    </row>
    <row r="2118" spans="1:2">
      <c r="A2118" s="3">
        <f ca="1">IFERROR(__xludf.DUMMYFUNCTION("""COMPUTED_VALUE"""),32255.6666666666)</f>
        <v>32255.666666666599</v>
      </c>
      <c r="B2118" s="1">
        <f ca="1">IFERROR(__xludf.DUMMYFUNCTION("""COMPUTED_VALUE"""),260.14)</f>
        <v>260.14</v>
      </c>
    </row>
    <row r="2119" spans="1:2">
      <c r="A2119" s="3">
        <f ca="1">IFERROR(__xludf.DUMMYFUNCTION("""COMPUTED_VALUE"""),32258.6666666666)</f>
        <v>32258.666666666599</v>
      </c>
      <c r="B2119" s="1">
        <f ca="1">IFERROR(__xludf.DUMMYFUNCTION("""COMPUTED_VALUE"""),262.51)</f>
        <v>262.51</v>
      </c>
    </row>
    <row r="2120" spans="1:2">
      <c r="A2120" s="3">
        <f ca="1">IFERROR(__xludf.DUMMYFUNCTION("""COMPUTED_VALUE"""),32259.6666666666)</f>
        <v>32259.666666666599</v>
      </c>
      <c r="B2120" s="1">
        <f ca="1">IFERROR(__xludf.DUMMYFUNCTION("""COMPUTED_VALUE"""),263.93)</f>
        <v>263.93</v>
      </c>
    </row>
    <row r="2121" spans="1:2">
      <c r="A2121" s="3">
        <f ca="1">IFERROR(__xludf.DUMMYFUNCTION("""COMPUTED_VALUE"""),32260.6666666666)</f>
        <v>32260.666666666599</v>
      </c>
      <c r="B2121" s="1">
        <f ca="1">IFERROR(__xludf.DUMMYFUNCTION("""COMPUTED_VALUE"""),263.8)</f>
        <v>263.8</v>
      </c>
    </row>
    <row r="2122" spans="1:2">
      <c r="A2122" s="3">
        <f ca="1">IFERROR(__xludf.DUMMYFUNCTION("""COMPUTED_VALUE"""),32261.6666666666)</f>
        <v>32261.666666666599</v>
      </c>
      <c r="B2122" s="1">
        <f ca="1">IFERROR(__xludf.DUMMYFUNCTION("""COMPUTED_VALUE"""),262.61)</f>
        <v>262.61</v>
      </c>
    </row>
    <row r="2123" spans="1:2">
      <c r="A2123" s="3">
        <f ca="1">IFERROR(__xludf.DUMMYFUNCTION("""COMPUTED_VALUE"""),32262.6666666666)</f>
        <v>32262.666666666599</v>
      </c>
      <c r="B2123" s="1">
        <f ca="1">IFERROR(__xludf.DUMMYFUNCTION("""COMPUTED_VALUE"""),261.33)</f>
        <v>261.33</v>
      </c>
    </row>
    <row r="2124" spans="1:2">
      <c r="A2124" s="3">
        <f ca="1">IFERROR(__xludf.DUMMYFUNCTION("""COMPUTED_VALUE"""),32265.6666666666)</f>
        <v>32265.666666666599</v>
      </c>
      <c r="B2124" s="1">
        <f ca="1">IFERROR(__xludf.DUMMYFUNCTION("""COMPUTED_VALUE"""),261.56)</f>
        <v>261.56</v>
      </c>
    </row>
    <row r="2125" spans="1:2">
      <c r="A2125" s="3">
        <f ca="1">IFERROR(__xludf.DUMMYFUNCTION("""COMPUTED_VALUE"""),32266.6666666666)</f>
        <v>32266.666666666599</v>
      </c>
      <c r="B2125" s="1">
        <f ca="1">IFERROR(__xludf.DUMMYFUNCTION("""COMPUTED_VALUE"""),263)</f>
        <v>263</v>
      </c>
    </row>
    <row r="2126" spans="1:2">
      <c r="A2126" s="3">
        <f ca="1">IFERROR(__xludf.DUMMYFUNCTION("""COMPUTED_VALUE"""),32267.6666666666)</f>
        <v>32267.666666666599</v>
      </c>
      <c r="B2126" s="1">
        <f ca="1">IFERROR(__xludf.DUMMYFUNCTION("""COMPUTED_VALUE"""),260.32)</f>
        <v>260.32</v>
      </c>
    </row>
    <row r="2127" spans="1:2">
      <c r="A2127" s="3">
        <f ca="1">IFERROR(__xludf.DUMMYFUNCTION("""COMPUTED_VALUE"""),32268.6666666666)</f>
        <v>32268.666666666599</v>
      </c>
      <c r="B2127" s="1">
        <f ca="1">IFERROR(__xludf.DUMMYFUNCTION("""COMPUTED_VALUE"""),258.79)</f>
        <v>258.79000000000002</v>
      </c>
    </row>
    <row r="2128" spans="1:2">
      <c r="A2128" s="3">
        <f ca="1">IFERROR(__xludf.DUMMYFUNCTION("""COMPUTED_VALUE"""),32269.6666666666)</f>
        <v>32269.666666666599</v>
      </c>
      <c r="B2128" s="1">
        <f ca="1">IFERROR(__xludf.DUMMYFUNCTION("""COMPUTED_VALUE"""),257.48)</f>
        <v>257.48</v>
      </c>
    </row>
    <row r="2129" spans="1:2">
      <c r="A2129" s="3">
        <f ca="1">IFERROR(__xludf.DUMMYFUNCTION("""COMPUTED_VALUE"""),32272.6666666666)</f>
        <v>32272.666666666599</v>
      </c>
      <c r="B2129" s="1">
        <f ca="1">IFERROR(__xludf.DUMMYFUNCTION("""COMPUTED_VALUE"""),256.54)</f>
        <v>256.54000000000002</v>
      </c>
    </row>
    <row r="2130" spans="1:2">
      <c r="A2130" s="3">
        <f ca="1">IFERROR(__xludf.DUMMYFUNCTION("""COMPUTED_VALUE"""),32273.6666666666)</f>
        <v>32273.666666666599</v>
      </c>
      <c r="B2130" s="1">
        <f ca="1">IFERROR(__xludf.DUMMYFUNCTION("""COMPUTED_VALUE"""),257.62)</f>
        <v>257.62</v>
      </c>
    </row>
    <row r="2131" spans="1:2">
      <c r="A2131" s="3">
        <f ca="1">IFERROR(__xludf.DUMMYFUNCTION("""COMPUTED_VALUE"""),32274.6666666666)</f>
        <v>32274.666666666599</v>
      </c>
      <c r="B2131" s="1">
        <f ca="1">IFERROR(__xludf.DUMMYFUNCTION("""COMPUTED_VALUE"""),253.31)</f>
        <v>253.31</v>
      </c>
    </row>
    <row r="2132" spans="1:2">
      <c r="A2132" s="3">
        <f ca="1">IFERROR(__xludf.DUMMYFUNCTION("""COMPUTED_VALUE"""),32275.6666666666)</f>
        <v>32275.666666666599</v>
      </c>
      <c r="B2132" s="1">
        <f ca="1">IFERROR(__xludf.DUMMYFUNCTION("""COMPUTED_VALUE"""),253.85)</f>
        <v>253.85</v>
      </c>
    </row>
    <row r="2133" spans="1:2">
      <c r="A2133" s="3">
        <f ca="1">IFERROR(__xludf.DUMMYFUNCTION("""COMPUTED_VALUE"""),32276.6666666666)</f>
        <v>32276.666666666599</v>
      </c>
      <c r="B2133" s="1">
        <f ca="1">IFERROR(__xludf.DUMMYFUNCTION("""COMPUTED_VALUE"""),256.78)</f>
        <v>256.77999999999997</v>
      </c>
    </row>
    <row r="2134" spans="1:2">
      <c r="A2134" s="3">
        <f ca="1">IFERROR(__xludf.DUMMYFUNCTION("""COMPUTED_VALUE"""),32279.6666666666)</f>
        <v>32279.666666666599</v>
      </c>
      <c r="B2134" s="1">
        <f ca="1">IFERROR(__xludf.DUMMYFUNCTION("""COMPUTED_VALUE"""),258.71)</f>
        <v>258.70999999999998</v>
      </c>
    </row>
    <row r="2135" spans="1:2">
      <c r="A2135" s="3">
        <f ca="1">IFERROR(__xludf.DUMMYFUNCTION("""COMPUTED_VALUE"""),32280.6666666666)</f>
        <v>32280.666666666599</v>
      </c>
      <c r="B2135" s="1">
        <f ca="1">IFERROR(__xludf.DUMMYFUNCTION("""COMPUTED_VALUE"""),255.39)</f>
        <v>255.39</v>
      </c>
    </row>
    <row r="2136" spans="1:2">
      <c r="A2136" s="3">
        <f ca="1">IFERROR(__xludf.DUMMYFUNCTION("""COMPUTED_VALUE"""),32281.6666666666)</f>
        <v>32281.666666666599</v>
      </c>
      <c r="B2136" s="1">
        <f ca="1">IFERROR(__xludf.DUMMYFUNCTION("""COMPUTED_VALUE"""),251.35)</f>
        <v>251.35</v>
      </c>
    </row>
    <row r="2137" spans="1:2">
      <c r="A2137" s="3">
        <f ca="1">IFERROR(__xludf.DUMMYFUNCTION("""COMPUTED_VALUE"""),32282.6666666666)</f>
        <v>32282.666666666599</v>
      </c>
      <c r="B2137" s="1">
        <f ca="1">IFERROR(__xludf.DUMMYFUNCTION("""COMPUTED_VALUE"""),252.57)</f>
        <v>252.57</v>
      </c>
    </row>
    <row r="2138" spans="1:2">
      <c r="A2138" s="3">
        <f ca="1">IFERROR(__xludf.DUMMYFUNCTION("""COMPUTED_VALUE"""),32283.6666666666)</f>
        <v>32283.666666666599</v>
      </c>
      <c r="B2138" s="1">
        <f ca="1">IFERROR(__xludf.DUMMYFUNCTION("""COMPUTED_VALUE"""),253.02)</f>
        <v>253.02</v>
      </c>
    </row>
    <row r="2139" spans="1:2">
      <c r="A2139" s="3">
        <f ca="1">IFERROR(__xludf.DUMMYFUNCTION("""COMPUTED_VALUE"""),32286.6666666666)</f>
        <v>32286.666666666599</v>
      </c>
      <c r="B2139" s="1">
        <f ca="1">IFERROR(__xludf.DUMMYFUNCTION("""COMPUTED_VALUE"""),250.83)</f>
        <v>250.83</v>
      </c>
    </row>
    <row r="2140" spans="1:2">
      <c r="A2140" s="3">
        <f ca="1">IFERROR(__xludf.DUMMYFUNCTION("""COMPUTED_VALUE"""),32287.6666666666)</f>
        <v>32287.666666666599</v>
      </c>
      <c r="B2140" s="1">
        <f ca="1">IFERROR(__xludf.DUMMYFUNCTION("""COMPUTED_VALUE"""),253.51)</f>
        <v>253.51</v>
      </c>
    </row>
    <row r="2141" spans="1:2">
      <c r="A2141" s="3">
        <f ca="1">IFERROR(__xludf.DUMMYFUNCTION("""COMPUTED_VALUE"""),32288.6666666666)</f>
        <v>32288.666666666599</v>
      </c>
      <c r="B2141" s="1">
        <f ca="1">IFERROR(__xludf.DUMMYFUNCTION("""COMPUTED_VALUE"""),253.76)</f>
        <v>253.76</v>
      </c>
    </row>
    <row r="2142" spans="1:2">
      <c r="A2142" s="3">
        <f ca="1">IFERROR(__xludf.DUMMYFUNCTION("""COMPUTED_VALUE"""),32289.6666666666)</f>
        <v>32289.666666666599</v>
      </c>
      <c r="B2142" s="1">
        <f ca="1">IFERROR(__xludf.DUMMYFUNCTION("""COMPUTED_VALUE"""),254.63)</f>
        <v>254.63</v>
      </c>
    </row>
    <row r="2143" spans="1:2">
      <c r="A2143" s="3">
        <f ca="1">IFERROR(__xludf.DUMMYFUNCTION("""COMPUTED_VALUE"""),32290.6666666666)</f>
        <v>32290.666666666599</v>
      </c>
      <c r="B2143" s="1">
        <f ca="1">IFERROR(__xludf.DUMMYFUNCTION("""COMPUTED_VALUE"""),253.42)</f>
        <v>253.42</v>
      </c>
    </row>
    <row r="2144" spans="1:2">
      <c r="A2144" s="3">
        <f ca="1">IFERROR(__xludf.DUMMYFUNCTION("""COMPUTED_VALUE"""),32294.6666666666)</f>
        <v>32294.666666666599</v>
      </c>
      <c r="B2144" s="1">
        <f ca="1">IFERROR(__xludf.DUMMYFUNCTION("""COMPUTED_VALUE"""),262.16)</f>
        <v>262.16000000000003</v>
      </c>
    </row>
    <row r="2145" spans="1:2">
      <c r="A2145" s="3">
        <f ca="1">IFERROR(__xludf.DUMMYFUNCTION("""COMPUTED_VALUE"""),32295.6666666666)</f>
        <v>32295.666666666599</v>
      </c>
      <c r="B2145" s="1">
        <f ca="1">IFERROR(__xludf.DUMMYFUNCTION("""COMPUTED_VALUE"""),266.69)</f>
        <v>266.69</v>
      </c>
    </row>
    <row r="2146" spans="1:2">
      <c r="A2146" s="3">
        <f ca="1">IFERROR(__xludf.DUMMYFUNCTION("""COMPUTED_VALUE"""),32296.6666666666)</f>
        <v>32296.666666666599</v>
      </c>
      <c r="B2146" s="1">
        <f ca="1">IFERROR(__xludf.DUMMYFUNCTION("""COMPUTED_VALUE"""),265.33)</f>
        <v>265.33</v>
      </c>
    </row>
    <row r="2147" spans="1:2">
      <c r="A2147" s="3">
        <f ca="1">IFERROR(__xludf.DUMMYFUNCTION("""COMPUTED_VALUE"""),32297.6666666666)</f>
        <v>32297.666666666599</v>
      </c>
      <c r="B2147" s="1">
        <f ca="1">IFERROR(__xludf.DUMMYFUNCTION("""COMPUTED_VALUE"""),266.45)</f>
        <v>266.45</v>
      </c>
    </row>
    <row r="2148" spans="1:2">
      <c r="A2148" s="3">
        <f ca="1">IFERROR(__xludf.DUMMYFUNCTION("""COMPUTED_VALUE"""),32300.6666666666)</f>
        <v>32300.666666666599</v>
      </c>
      <c r="B2148" s="1">
        <f ca="1">IFERROR(__xludf.DUMMYFUNCTION("""COMPUTED_VALUE"""),267.05)</f>
        <v>267.05</v>
      </c>
    </row>
    <row r="2149" spans="1:2">
      <c r="A2149" s="3">
        <f ca="1">IFERROR(__xludf.DUMMYFUNCTION("""COMPUTED_VALUE"""),32301.6666666666)</f>
        <v>32301.666666666599</v>
      </c>
      <c r="B2149" s="1">
        <f ca="1">IFERROR(__xludf.DUMMYFUNCTION("""COMPUTED_VALUE"""),265.17)</f>
        <v>265.17</v>
      </c>
    </row>
    <row r="2150" spans="1:2">
      <c r="A2150" s="3">
        <f ca="1">IFERROR(__xludf.DUMMYFUNCTION("""COMPUTED_VALUE"""),32302.6666666666)</f>
        <v>32302.666666666599</v>
      </c>
      <c r="B2150" s="1">
        <f ca="1">IFERROR(__xludf.DUMMYFUNCTION("""COMPUTED_VALUE"""),271.52)</f>
        <v>271.52</v>
      </c>
    </row>
    <row r="2151" spans="1:2">
      <c r="A2151" s="3">
        <f ca="1">IFERROR(__xludf.DUMMYFUNCTION("""COMPUTED_VALUE"""),32303.6666666666)</f>
        <v>32303.666666666599</v>
      </c>
      <c r="B2151" s="1">
        <f ca="1">IFERROR(__xludf.DUMMYFUNCTION("""COMPUTED_VALUE"""),270.2)</f>
        <v>270.2</v>
      </c>
    </row>
    <row r="2152" spans="1:2">
      <c r="A2152" s="3">
        <f ca="1">IFERROR(__xludf.DUMMYFUNCTION("""COMPUTED_VALUE"""),32304.6666666666)</f>
        <v>32304.666666666599</v>
      </c>
      <c r="B2152" s="1">
        <f ca="1">IFERROR(__xludf.DUMMYFUNCTION("""COMPUTED_VALUE"""),271.26)</f>
        <v>271.26</v>
      </c>
    </row>
    <row r="2153" spans="1:2">
      <c r="A2153" s="3">
        <f ca="1">IFERROR(__xludf.DUMMYFUNCTION("""COMPUTED_VALUE"""),32307.6666666666)</f>
        <v>32307.666666666599</v>
      </c>
      <c r="B2153" s="1">
        <f ca="1">IFERROR(__xludf.DUMMYFUNCTION("""COMPUTED_VALUE"""),271.43)</f>
        <v>271.43</v>
      </c>
    </row>
    <row r="2154" spans="1:2">
      <c r="A2154" s="3">
        <f ca="1">IFERROR(__xludf.DUMMYFUNCTION("""COMPUTED_VALUE"""),32308.6666666666)</f>
        <v>32308.666666666599</v>
      </c>
      <c r="B2154" s="1">
        <f ca="1">IFERROR(__xludf.DUMMYFUNCTION("""COMPUTED_VALUE"""),274.3)</f>
        <v>274.3</v>
      </c>
    </row>
    <row r="2155" spans="1:2">
      <c r="A2155" s="3">
        <f ca="1">IFERROR(__xludf.DUMMYFUNCTION("""COMPUTED_VALUE"""),32309.6666666666)</f>
        <v>32309.666666666599</v>
      </c>
      <c r="B2155" s="1">
        <f ca="1">IFERROR(__xludf.DUMMYFUNCTION("""COMPUTED_VALUE"""),274.45)</f>
        <v>274.45</v>
      </c>
    </row>
    <row r="2156" spans="1:2">
      <c r="A2156" s="3">
        <f ca="1">IFERROR(__xludf.DUMMYFUNCTION("""COMPUTED_VALUE"""),32310.6666666666)</f>
        <v>32310.666666666599</v>
      </c>
      <c r="B2156" s="1">
        <f ca="1">IFERROR(__xludf.DUMMYFUNCTION("""COMPUTED_VALUE"""),269.77)</f>
        <v>269.77</v>
      </c>
    </row>
    <row r="2157" spans="1:2">
      <c r="A2157" s="3">
        <f ca="1">IFERROR(__xludf.DUMMYFUNCTION("""COMPUTED_VALUE"""),32311.6666666666)</f>
        <v>32311.666666666599</v>
      </c>
      <c r="B2157" s="1">
        <f ca="1">IFERROR(__xludf.DUMMYFUNCTION("""COMPUTED_VALUE"""),270.68)</f>
        <v>270.68</v>
      </c>
    </row>
    <row r="2158" spans="1:2">
      <c r="A2158" s="3">
        <f ca="1">IFERROR(__xludf.DUMMYFUNCTION("""COMPUTED_VALUE"""),32314.6666666666)</f>
        <v>32314.666666666599</v>
      </c>
      <c r="B2158" s="1">
        <f ca="1">IFERROR(__xludf.DUMMYFUNCTION("""COMPUTED_VALUE"""),268.94)</f>
        <v>268.94</v>
      </c>
    </row>
    <row r="2159" spans="1:2">
      <c r="A2159" s="3">
        <f ca="1">IFERROR(__xludf.DUMMYFUNCTION("""COMPUTED_VALUE"""),32315.6666666666)</f>
        <v>32315.666666666599</v>
      </c>
      <c r="B2159" s="1">
        <f ca="1">IFERROR(__xludf.DUMMYFUNCTION("""COMPUTED_VALUE"""),271.67)</f>
        <v>271.67</v>
      </c>
    </row>
    <row r="2160" spans="1:2">
      <c r="A2160" s="3">
        <f ca="1">IFERROR(__xludf.DUMMYFUNCTION("""COMPUTED_VALUE"""),32316.6666666666)</f>
        <v>32316.666666666599</v>
      </c>
      <c r="B2160" s="1">
        <f ca="1">IFERROR(__xludf.DUMMYFUNCTION("""COMPUTED_VALUE"""),275.66)</f>
        <v>275.66000000000003</v>
      </c>
    </row>
    <row r="2161" spans="1:2">
      <c r="A2161" s="3">
        <f ca="1">IFERROR(__xludf.DUMMYFUNCTION("""COMPUTED_VALUE"""),32317.6666666666)</f>
        <v>32317.666666666599</v>
      </c>
      <c r="B2161" s="1">
        <f ca="1">IFERROR(__xludf.DUMMYFUNCTION("""COMPUTED_VALUE"""),274.82)</f>
        <v>274.82</v>
      </c>
    </row>
    <row r="2162" spans="1:2">
      <c r="A2162" s="3">
        <f ca="1">IFERROR(__xludf.DUMMYFUNCTION("""COMPUTED_VALUE"""),32318.6666666666)</f>
        <v>32318.666666666599</v>
      </c>
      <c r="B2162" s="1">
        <f ca="1">IFERROR(__xludf.DUMMYFUNCTION("""COMPUTED_VALUE"""),273.78)</f>
        <v>273.77999999999997</v>
      </c>
    </row>
    <row r="2163" spans="1:2">
      <c r="A2163" s="3">
        <f ca="1">IFERROR(__xludf.DUMMYFUNCTION("""COMPUTED_VALUE"""),32321.6666666666)</f>
        <v>32321.666666666599</v>
      </c>
      <c r="B2163" s="1">
        <f ca="1">IFERROR(__xludf.DUMMYFUNCTION("""COMPUTED_VALUE"""),269.06)</f>
        <v>269.06</v>
      </c>
    </row>
    <row r="2164" spans="1:2">
      <c r="A2164" s="3">
        <f ca="1">IFERROR(__xludf.DUMMYFUNCTION("""COMPUTED_VALUE"""),32322.6666666666)</f>
        <v>32322.666666666599</v>
      </c>
      <c r="B2164" s="1">
        <f ca="1">IFERROR(__xludf.DUMMYFUNCTION("""COMPUTED_VALUE"""),272.31)</f>
        <v>272.31</v>
      </c>
    </row>
    <row r="2165" spans="1:2">
      <c r="A2165" s="3">
        <f ca="1">IFERROR(__xludf.DUMMYFUNCTION("""COMPUTED_VALUE"""),32323.6666666666)</f>
        <v>32323.666666666599</v>
      </c>
      <c r="B2165" s="1">
        <f ca="1">IFERROR(__xludf.DUMMYFUNCTION("""COMPUTED_VALUE"""),270.98)</f>
        <v>270.98</v>
      </c>
    </row>
    <row r="2166" spans="1:2">
      <c r="A2166" s="3">
        <f ca="1">IFERROR(__xludf.DUMMYFUNCTION("""COMPUTED_VALUE"""),32324.6666666666)</f>
        <v>32324.666666666599</v>
      </c>
      <c r="B2166" s="1">
        <f ca="1">IFERROR(__xludf.DUMMYFUNCTION("""COMPUTED_VALUE"""),273.5)</f>
        <v>273.5</v>
      </c>
    </row>
    <row r="2167" spans="1:2">
      <c r="A2167" s="3">
        <f ca="1">IFERROR(__xludf.DUMMYFUNCTION("""COMPUTED_VALUE"""),32325.6666666666)</f>
        <v>32325.666666666599</v>
      </c>
      <c r="B2167" s="1">
        <f ca="1">IFERROR(__xludf.DUMMYFUNCTION("""COMPUTED_VALUE"""),271.78)</f>
        <v>271.77999999999997</v>
      </c>
    </row>
    <row r="2168" spans="1:2">
      <c r="A2168" s="3">
        <f ca="1">IFERROR(__xludf.DUMMYFUNCTION("""COMPUTED_VALUE"""),32328.6666666666)</f>
        <v>32328.666666666599</v>
      </c>
      <c r="B2168" s="1">
        <f ca="1">IFERROR(__xludf.DUMMYFUNCTION("""COMPUTED_VALUE"""),275.81)</f>
        <v>275.81</v>
      </c>
    </row>
    <row r="2169" spans="1:2">
      <c r="A2169" s="3">
        <f ca="1">IFERROR(__xludf.DUMMYFUNCTION("""COMPUTED_VALUE"""),32329.6666666666)</f>
        <v>32329.666666666599</v>
      </c>
      <c r="B2169" s="1">
        <f ca="1">IFERROR(__xludf.DUMMYFUNCTION("""COMPUTED_VALUE"""),275.81)</f>
        <v>275.81</v>
      </c>
    </row>
    <row r="2170" spans="1:2">
      <c r="A2170" s="3">
        <f ca="1">IFERROR(__xludf.DUMMYFUNCTION("""COMPUTED_VALUE"""),32330.6666666666)</f>
        <v>32330.666666666599</v>
      </c>
      <c r="B2170" s="1">
        <f ca="1">IFERROR(__xludf.DUMMYFUNCTION("""COMPUTED_VALUE"""),272.02)</f>
        <v>272.02</v>
      </c>
    </row>
    <row r="2171" spans="1:2">
      <c r="A2171" s="3">
        <f ca="1">IFERROR(__xludf.DUMMYFUNCTION("""COMPUTED_VALUE"""),32331.6666666666)</f>
        <v>32331.666666666599</v>
      </c>
      <c r="B2171" s="1">
        <f ca="1">IFERROR(__xludf.DUMMYFUNCTION("""COMPUTED_VALUE"""),271.78)</f>
        <v>271.77999999999997</v>
      </c>
    </row>
    <row r="2172" spans="1:2">
      <c r="A2172" s="3">
        <f ca="1">IFERROR(__xludf.DUMMYFUNCTION("""COMPUTED_VALUE"""),32332.6666666666)</f>
        <v>32332.666666666599</v>
      </c>
      <c r="B2172" s="1">
        <f ca="1">IFERROR(__xludf.DUMMYFUNCTION("""COMPUTED_VALUE"""),270.02)</f>
        <v>270.02</v>
      </c>
    </row>
    <row r="2173" spans="1:2">
      <c r="A2173" s="3">
        <f ca="1">IFERROR(__xludf.DUMMYFUNCTION("""COMPUTED_VALUE"""),32335.6666666666)</f>
        <v>32335.666666666599</v>
      </c>
      <c r="B2173" s="1">
        <f ca="1">IFERROR(__xludf.DUMMYFUNCTION("""COMPUTED_VALUE"""),270.55)</f>
        <v>270.55</v>
      </c>
    </row>
    <row r="2174" spans="1:2">
      <c r="A2174" s="3">
        <f ca="1">IFERROR(__xludf.DUMMYFUNCTION("""COMPUTED_VALUE"""),32336.6666666666)</f>
        <v>32336.666666666599</v>
      </c>
      <c r="B2174" s="1">
        <f ca="1">IFERROR(__xludf.DUMMYFUNCTION("""COMPUTED_VALUE"""),267.85)</f>
        <v>267.85000000000002</v>
      </c>
    </row>
    <row r="2175" spans="1:2">
      <c r="A2175" s="3">
        <f ca="1">IFERROR(__xludf.DUMMYFUNCTION("""COMPUTED_VALUE"""),32337.6666666666)</f>
        <v>32337.666666666599</v>
      </c>
      <c r="B2175" s="1">
        <f ca="1">IFERROR(__xludf.DUMMYFUNCTION("""COMPUTED_VALUE"""),269.32)</f>
        <v>269.32</v>
      </c>
    </row>
    <row r="2176" spans="1:2">
      <c r="A2176" s="3">
        <f ca="1">IFERROR(__xludf.DUMMYFUNCTION("""COMPUTED_VALUE"""),32338.6666666666)</f>
        <v>32338.666666666599</v>
      </c>
      <c r="B2176" s="1">
        <f ca="1">IFERROR(__xludf.DUMMYFUNCTION("""COMPUTED_VALUE"""),270.26)</f>
        <v>270.26</v>
      </c>
    </row>
    <row r="2177" spans="1:2">
      <c r="A2177" s="3">
        <f ca="1">IFERROR(__xludf.DUMMYFUNCTION("""COMPUTED_VALUE"""),32339.6666666666)</f>
        <v>32339.666666666599</v>
      </c>
      <c r="B2177" s="1">
        <f ca="1">IFERROR(__xludf.DUMMYFUNCTION("""COMPUTED_VALUE"""),272.05)</f>
        <v>272.05</v>
      </c>
    </row>
    <row r="2178" spans="1:2">
      <c r="A2178" s="3">
        <f ca="1">IFERROR(__xludf.DUMMYFUNCTION("""COMPUTED_VALUE"""),32342.6666666666)</f>
        <v>32342.666666666599</v>
      </c>
      <c r="B2178" s="1">
        <f ca="1">IFERROR(__xludf.DUMMYFUNCTION("""COMPUTED_VALUE"""),270.51)</f>
        <v>270.51</v>
      </c>
    </row>
    <row r="2179" spans="1:2">
      <c r="A2179" s="3">
        <f ca="1">IFERROR(__xludf.DUMMYFUNCTION("""COMPUTED_VALUE"""),32343.6666666666)</f>
        <v>32343.666666666599</v>
      </c>
      <c r="B2179" s="1">
        <f ca="1">IFERROR(__xludf.DUMMYFUNCTION("""COMPUTED_VALUE"""),268.47)</f>
        <v>268.47000000000003</v>
      </c>
    </row>
    <row r="2180" spans="1:2">
      <c r="A2180" s="3">
        <f ca="1">IFERROR(__xludf.DUMMYFUNCTION("""COMPUTED_VALUE"""),32344.6666666666)</f>
        <v>32344.666666666599</v>
      </c>
      <c r="B2180" s="1">
        <f ca="1">IFERROR(__xludf.DUMMYFUNCTION("""COMPUTED_VALUE"""),270)</f>
        <v>270</v>
      </c>
    </row>
    <row r="2181" spans="1:2">
      <c r="A2181" s="3">
        <f ca="1">IFERROR(__xludf.DUMMYFUNCTION("""COMPUTED_VALUE"""),32345.6666666666)</f>
        <v>32345.666666666599</v>
      </c>
      <c r="B2181" s="1">
        <f ca="1">IFERROR(__xludf.DUMMYFUNCTION("""COMPUTED_VALUE"""),266.66)</f>
        <v>266.66000000000003</v>
      </c>
    </row>
    <row r="2182" spans="1:2">
      <c r="A2182" s="3">
        <f ca="1">IFERROR(__xludf.DUMMYFUNCTION("""COMPUTED_VALUE"""),32346.6666666666)</f>
        <v>32346.666666666599</v>
      </c>
      <c r="B2182" s="1">
        <f ca="1">IFERROR(__xludf.DUMMYFUNCTION("""COMPUTED_VALUE"""),263.5)</f>
        <v>263.5</v>
      </c>
    </row>
    <row r="2183" spans="1:2">
      <c r="A2183" s="3">
        <f ca="1">IFERROR(__xludf.DUMMYFUNCTION("""COMPUTED_VALUE"""),32349.6666666666)</f>
        <v>32349.666666666599</v>
      </c>
      <c r="B2183" s="1">
        <f ca="1">IFERROR(__xludf.DUMMYFUNCTION("""COMPUTED_VALUE"""),264.68)</f>
        <v>264.68</v>
      </c>
    </row>
    <row r="2184" spans="1:2">
      <c r="A2184" s="3">
        <f ca="1">IFERROR(__xludf.DUMMYFUNCTION("""COMPUTED_VALUE"""),32350.6666666666)</f>
        <v>32350.666666666599</v>
      </c>
      <c r="B2184" s="1">
        <f ca="1">IFERROR(__xludf.DUMMYFUNCTION("""COMPUTED_VALUE"""),265.19)</f>
        <v>265.19</v>
      </c>
    </row>
    <row r="2185" spans="1:2">
      <c r="A2185" s="3">
        <f ca="1">IFERROR(__xludf.DUMMYFUNCTION("""COMPUTED_VALUE"""),32351.6666666666)</f>
        <v>32351.666666666599</v>
      </c>
      <c r="B2185" s="1">
        <f ca="1">IFERROR(__xludf.DUMMYFUNCTION("""COMPUTED_VALUE"""),262.5)</f>
        <v>262.5</v>
      </c>
    </row>
    <row r="2186" spans="1:2">
      <c r="A2186" s="3">
        <f ca="1">IFERROR(__xludf.DUMMYFUNCTION("""COMPUTED_VALUE"""),32352.6666666666)</f>
        <v>32352.666666666599</v>
      </c>
      <c r="B2186" s="1">
        <f ca="1">IFERROR(__xludf.DUMMYFUNCTION("""COMPUTED_VALUE"""),266.02)</f>
        <v>266.02</v>
      </c>
    </row>
    <row r="2187" spans="1:2">
      <c r="A2187" s="3">
        <f ca="1">IFERROR(__xludf.DUMMYFUNCTION("""COMPUTED_VALUE"""),32353.6666666666)</f>
        <v>32353.666666666599</v>
      </c>
      <c r="B2187" s="1">
        <f ca="1">IFERROR(__xludf.DUMMYFUNCTION("""COMPUTED_VALUE"""),272.02)</f>
        <v>272.02</v>
      </c>
    </row>
    <row r="2188" spans="1:2">
      <c r="A2188" s="3">
        <f ca="1">IFERROR(__xludf.DUMMYFUNCTION("""COMPUTED_VALUE"""),32356.6666666666)</f>
        <v>32356.666666666599</v>
      </c>
      <c r="B2188" s="1">
        <f ca="1">IFERROR(__xludf.DUMMYFUNCTION("""COMPUTED_VALUE"""),272.21)</f>
        <v>272.20999999999998</v>
      </c>
    </row>
    <row r="2189" spans="1:2">
      <c r="A2189" s="3">
        <f ca="1">IFERROR(__xludf.DUMMYFUNCTION("""COMPUTED_VALUE"""),32357.6666666666)</f>
        <v>32357.666666666599</v>
      </c>
      <c r="B2189" s="1">
        <f ca="1">IFERROR(__xludf.DUMMYFUNCTION("""COMPUTED_VALUE"""),272.06)</f>
        <v>272.06</v>
      </c>
    </row>
    <row r="2190" spans="1:2">
      <c r="A2190" s="3">
        <f ca="1">IFERROR(__xludf.DUMMYFUNCTION("""COMPUTED_VALUE"""),32358.6666666666)</f>
        <v>32358.666666666599</v>
      </c>
      <c r="B2190" s="1">
        <f ca="1">IFERROR(__xludf.DUMMYFUNCTION("""COMPUTED_VALUE"""),272.98)</f>
        <v>272.98</v>
      </c>
    </row>
    <row r="2191" spans="1:2">
      <c r="A2191" s="3">
        <f ca="1">IFERROR(__xludf.DUMMYFUNCTION("""COMPUTED_VALUE"""),32359.6666666666)</f>
        <v>32359.666666666599</v>
      </c>
      <c r="B2191" s="1">
        <f ca="1">IFERROR(__xludf.DUMMYFUNCTION("""COMPUTED_VALUE"""),271.93)</f>
        <v>271.93</v>
      </c>
    </row>
    <row r="2192" spans="1:2">
      <c r="A2192" s="3">
        <f ca="1">IFERROR(__xludf.DUMMYFUNCTION("""COMPUTED_VALUE"""),32360.6666666666)</f>
        <v>32360.666666666599</v>
      </c>
      <c r="B2192" s="1">
        <f ca="1">IFERROR(__xludf.DUMMYFUNCTION("""COMPUTED_VALUE"""),271.15)</f>
        <v>271.14999999999998</v>
      </c>
    </row>
    <row r="2193" spans="1:2">
      <c r="A2193" s="3">
        <f ca="1">IFERROR(__xludf.DUMMYFUNCTION("""COMPUTED_VALUE"""),32363.6666666666)</f>
        <v>32363.666666666599</v>
      </c>
      <c r="B2193" s="1">
        <f ca="1">IFERROR(__xludf.DUMMYFUNCTION("""COMPUTED_VALUE"""),269.98)</f>
        <v>269.98</v>
      </c>
    </row>
    <row r="2194" spans="1:2">
      <c r="A2194" s="3">
        <f ca="1">IFERROR(__xludf.DUMMYFUNCTION("""COMPUTED_VALUE"""),32364.6666666666)</f>
        <v>32364.666666666599</v>
      </c>
      <c r="B2194" s="1">
        <f ca="1">IFERROR(__xludf.DUMMYFUNCTION("""COMPUTED_VALUE"""),266.49)</f>
        <v>266.49</v>
      </c>
    </row>
    <row r="2195" spans="1:2">
      <c r="A2195" s="3">
        <f ca="1">IFERROR(__xludf.DUMMYFUNCTION("""COMPUTED_VALUE"""),32365.6666666666)</f>
        <v>32365.666666666599</v>
      </c>
      <c r="B2195" s="1">
        <f ca="1">IFERROR(__xludf.DUMMYFUNCTION("""COMPUTED_VALUE"""),261.9)</f>
        <v>261.89999999999998</v>
      </c>
    </row>
    <row r="2196" spans="1:2">
      <c r="A2196" s="3">
        <f ca="1">IFERROR(__xludf.DUMMYFUNCTION("""COMPUTED_VALUE"""),32366.6666666666)</f>
        <v>32366.666666666599</v>
      </c>
      <c r="B2196" s="1">
        <f ca="1">IFERROR(__xludf.DUMMYFUNCTION("""COMPUTED_VALUE"""),262.75)</f>
        <v>262.75</v>
      </c>
    </row>
    <row r="2197" spans="1:2">
      <c r="A2197" s="3">
        <f ca="1">IFERROR(__xludf.DUMMYFUNCTION("""COMPUTED_VALUE"""),32367.6666666666)</f>
        <v>32367.666666666599</v>
      </c>
      <c r="B2197" s="1">
        <f ca="1">IFERROR(__xludf.DUMMYFUNCTION("""COMPUTED_VALUE"""),262.55)</f>
        <v>262.55</v>
      </c>
    </row>
    <row r="2198" spans="1:2">
      <c r="A2198" s="3">
        <f ca="1">IFERROR(__xludf.DUMMYFUNCTION("""COMPUTED_VALUE"""),32370.6666666666)</f>
        <v>32370.666666666599</v>
      </c>
      <c r="B2198" s="1">
        <f ca="1">IFERROR(__xludf.DUMMYFUNCTION("""COMPUTED_VALUE"""),258.69)</f>
        <v>258.69</v>
      </c>
    </row>
    <row r="2199" spans="1:2">
      <c r="A2199" s="3">
        <f ca="1">IFERROR(__xludf.DUMMYFUNCTION("""COMPUTED_VALUE"""),32371.6666666666)</f>
        <v>32371.666666666599</v>
      </c>
      <c r="B2199" s="1">
        <f ca="1">IFERROR(__xludf.DUMMYFUNCTION("""COMPUTED_VALUE"""),260.56)</f>
        <v>260.56</v>
      </c>
    </row>
    <row r="2200" spans="1:2">
      <c r="A2200" s="3">
        <f ca="1">IFERROR(__xludf.DUMMYFUNCTION("""COMPUTED_VALUE"""),32372.6666666666)</f>
        <v>32372.666666666599</v>
      </c>
      <c r="B2200" s="1">
        <f ca="1">IFERROR(__xludf.DUMMYFUNCTION("""COMPUTED_VALUE"""),260.77)</f>
        <v>260.77</v>
      </c>
    </row>
    <row r="2201" spans="1:2">
      <c r="A2201" s="3">
        <f ca="1">IFERROR(__xludf.DUMMYFUNCTION("""COMPUTED_VALUE"""),32373.6666666666)</f>
        <v>32373.666666666599</v>
      </c>
      <c r="B2201" s="1">
        <f ca="1">IFERROR(__xludf.DUMMYFUNCTION("""COMPUTED_VALUE"""),261.03)</f>
        <v>261.02999999999997</v>
      </c>
    </row>
    <row r="2202" spans="1:2">
      <c r="A2202" s="3">
        <f ca="1">IFERROR(__xludf.DUMMYFUNCTION("""COMPUTED_VALUE"""),32374.6666666666)</f>
        <v>32374.666666666599</v>
      </c>
      <c r="B2202" s="1">
        <f ca="1">IFERROR(__xludf.DUMMYFUNCTION("""COMPUTED_VALUE"""),260.24)</f>
        <v>260.24</v>
      </c>
    </row>
    <row r="2203" spans="1:2">
      <c r="A2203" s="3">
        <f ca="1">IFERROR(__xludf.DUMMYFUNCTION("""COMPUTED_VALUE"""),32377.6666666666)</f>
        <v>32377.666666666599</v>
      </c>
      <c r="B2203" s="1">
        <f ca="1">IFERROR(__xludf.DUMMYFUNCTION("""COMPUTED_VALUE"""),256.98)</f>
        <v>256.98</v>
      </c>
    </row>
    <row r="2204" spans="1:2">
      <c r="A2204" s="3">
        <f ca="1">IFERROR(__xludf.DUMMYFUNCTION("""COMPUTED_VALUE"""),32378.6666666666)</f>
        <v>32378.666666666599</v>
      </c>
      <c r="B2204" s="1">
        <f ca="1">IFERROR(__xludf.DUMMYFUNCTION("""COMPUTED_VALUE"""),257.09)</f>
        <v>257.08999999999997</v>
      </c>
    </row>
    <row r="2205" spans="1:2">
      <c r="A2205" s="3">
        <f ca="1">IFERROR(__xludf.DUMMYFUNCTION("""COMPUTED_VALUE"""),32379.6666666666)</f>
        <v>32379.666666666599</v>
      </c>
      <c r="B2205" s="1">
        <f ca="1">IFERROR(__xludf.DUMMYFUNCTION("""COMPUTED_VALUE"""),261.13)</f>
        <v>261.13</v>
      </c>
    </row>
    <row r="2206" spans="1:2">
      <c r="A2206" s="3">
        <f ca="1">IFERROR(__xludf.DUMMYFUNCTION("""COMPUTED_VALUE"""),32380.6666666666)</f>
        <v>32380.666666666599</v>
      </c>
      <c r="B2206" s="1">
        <f ca="1">IFERROR(__xludf.DUMMYFUNCTION("""COMPUTED_VALUE"""),259.18)</f>
        <v>259.18</v>
      </c>
    </row>
    <row r="2207" spans="1:2">
      <c r="A2207" s="3">
        <f ca="1">IFERROR(__xludf.DUMMYFUNCTION("""COMPUTED_VALUE"""),32381.6666666666)</f>
        <v>32381.666666666599</v>
      </c>
      <c r="B2207" s="1">
        <f ca="1">IFERROR(__xludf.DUMMYFUNCTION("""COMPUTED_VALUE"""),259.68)</f>
        <v>259.68</v>
      </c>
    </row>
    <row r="2208" spans="1:2">
      <c r="A2208" s="3">
        <f ca="1">IFERROR(__xludf.DUMMYFUNCTION("""COMPUTED_VALUE"""),32384.6666666666)</f>
        <v>32384.666666666599</v>
      </c>
      <c r="B2208" s="1">
        <f ca="1">IFERROR(__xludf.DUMMYFUNCTION("""COMPUTED_VALUE"""),262.33)</f>
        <v>262.33</v>
      </c>
    </row>
    <row r="2209" spans="1:2">
      <c r="A2209" s="3">
        <f ca="1">IFERROR(__xludf.DUMMYFUNCTION("""COMPUTED_VALUE"""),32385.6666666666)</f>
        <v>32385.666666666599</v>
      </c>
      <c r="B2209" s="1">
        <f ca="1">IFERROR(__xludf.DUMMYFUNCTION("""COMPUTED_VALUE"""),262.51)</f>
        <v>262.51</v>
      </c>
    </row>
    <row r="2210" spans="1:2">
      <c r="A2210" s="3">
        <f ca="1">IFERROR(__xludf.DUMMYFUNCTION("""COMPUTED_VALUE"""),32386.6666666666)</f>
        <v>32386.666666666599</v>
      </c>
      <c r="B2210" s="1">
        <f ca="1">IFERROR(__xludf.DUMMYFUNCTION("""COMPUTED_VALUE"""),261.52)</f>
        <v>261.52</v>
      </c>
    </row>
    <row r="2211" spans="1:2">
      <c r="A2211" s="3">
        <f ca="1">IFERROR(__xludf.DUMMYFUNCTION("""COMPUTED_VALUE"""),32387.6666666666)</f>
        <v>32387.666666666599</v>
      </c>
      <c r="B2211" s="1">
        <f ca="1">IFERROR(__xludf.DUMMYFUNCTION("""COMPUTED_VALUE"""),258.35)</f>
        <v>258.35000000000002</v>
      </c>
    </row>
    <row r="2212" spans="1:2">
      <c r="A2212" s="3">
        <f ca="1">IFERROR(__xludf.DUMMYFUNCTION("""COMPUTED_VALUE"""),32388.6666666666)</f>
        <v>32388.666666666599</v>
      </c>
      <c r="B2212" s="1">
        <f ca="1">IFERROR(__xludf.DUMMYFUNCTION("""COMPUTED_VALUE"""),264.48)</f>
        <v>264.48</v>
      </c>
    </row>
    <row r="2213" spans="1:2">
      <c r="A2213" s="3">
        <f ca="1">IFERROR(__xludf.DUMMYFUNCTION("""COMPUTED_VALUE"""),32392.6666666666)</f>
        <v>32392.666666666599</v>
      </c>
      <c r="B2213" s="1">
        <f ca="1">IFERROR(__xludf.DUMMYFUNCTION("""COMPUTED_VALUE"""),265.59)</f>
        <v>265.58999999999997</v>
      </c>
    </row>
    <row r="2214" spans="1:2">
      <c r="A2214" s="3">
        <f ca="1">IFERROR(__xludf.DUMMYFUNCTION("""COMPUTED_VALUE"""),32393.6666666666)</f>
        <v>32393.666666666599</v>
      </c>
      <c r="B2214" s="1">
        <f ca="1">IFERROR(__xludf.DUMMYFUNCTION("""COMPUTED_VALUE"""),265.87)</f>
        <v>265.87</v>
      </c>
    </row>
    <row r="2215" spans="1:2">
      <c r="A2215" s="3">
        <f ca="1">IFERROR(__xludf.DUMMYFUNCTION("""COMPUTED_VALUE"""),32394.6666666666)</f>
        <v>32394.666666666599</v>
      </c>
      <c r="B2215" s="1">
        <f ca="1">IFERROR(__xludf.DUMMYFUNCTION("""COMPUTED_VALUE"""),265.88)</f>
        <v>265.88</v>
      </c>
    </row>
    <row r="2216" spans="1:2">
      <c r="A2216" s="3">
        <f ca="1">IFERROR(__xludf.DUMMYFUNCTION("""COMPUTED_VALUE"""),32395.6666666666)</f>
        <v>32395.666666666599</v>
      </c>
      <c r="B2216" s="1">
        <f ca="1">IFERROR(__xludf.DUMMYFUNCTION("""COMPUTED_VALUE"""),266.84)</f>
        <v>266.83999999999997</v>
      </c>
    </row>
    <row r="2217" spans="1:2">
      <c r="A2217" s="3">
        <f ca="1">IFERROR(__xludf.DUMMYFUNCTION("""COMPUTED_VALUE"""),32398.6666666666)</f>
        <v>32398.666666666599</v>
      </c>
      <c r="B2217" s="1">
        <f ca="1">IFERROR(__xludf.DUMMYFUNCTION("""COMPUTED_VALUE"""),266.47)</f>
        <v>266.47000000000003</v>
      </c>
    </row>
    <row r="2218" spans="1:2">
      <c r="A2218" s="3">
        <f ca="1">IFERROR(__xludf.DUMMYFUNCTION("""COMPUTED_VALUE"""),32399.6666666666)</f>
        <v>32399.666666666599</v>
      </c>
      <c r="B2218" s="1">
        <f ca="1">IFERROR(__xludf.DUMMYFUNCTION("""COMPUTED_VALUE"""),267.43)</f>
        <v>267.43</v>
      </c>
    </row>
    <row r="2219" spans="1:2">
      <c r="A2219" s="3">
        <f ca="1">IFERROR(__xludf.DUMMYFUNCTION("""COMPUTED_VALUE"""),32400.6666666666)</f>
        <v>32400.666666666599</v>
      </c>
      <c r="B2219" s="1">
        <f ca="1">IFERROR(__xludf.DUMMYFUNCTION("""COMPUTED_VALUE"""),269.31)</f>
        <v>269.31</v>
      </c>
    </row>
    <row r="2220" spans="1:2">
      <c r="A2220" s="3">
        <f ca="1">IFERROR(__xludf.DUMMYFUNCTION("""COMPUTED_VALUE"""),32401.6666666666)</f>
        <v>32401.666666666599</v>
      </c>
      <c r="B2220" s="1">
        <f ca="1">IFERROR(__xludf.DUMMYFUNCTION("""COMPUTED_VALUE"""),268.13)</f>
        <v>268.13</v>
      </c>
    </row>
    <row r="2221" spans="1:2">
      <c r="A2221" s="3">
        <f ca="1">IFERROR(__xludf.DUMMYFUNCTION("""COMPUTED_VALUE"""),32402.6666666666)</f>
        <v>32402.666666666599</v>
      </c>
      <c r="B2221" s="1">
        <f ca="1">IFERROR(__xludf.DUMMYFUNCTION("""COMPUTED_VALUE"""),270.65)</f>
        <v>270.64999999999998</v>
      </c>
    </row>
    <row r="2222" spans="1:2">
      <c r="A2222" s="3">
        <f ca="1">IFERROR(__xludf.DUMMYFUNCTION("""COMPUTED_VALUE"""),32405.6666666666)</f>
        <v>32405.666666666599</v>
      </c>
      <c r="B2222" s="1">
        <f ca="1">IFERROR(__xludf.DUMMYFUNCTION("""COMPUTED_VALUE"""),268.82)</f>
        <v>268.82</v>
      </c>
    </row>
    <row r="2223" spans="1:2">
      <c r="A2223" s="3">
        <f ca="1">IFERROR(__xludf.DUMMYFUNCTION("""COMPUTED_VALUE"""),32406.6666666666)</f>
        <v>32406.666666666599</v>
      </c>
      <c r="B2223" s="1">
        <f ca="1">IFERROR(__xludf.DUMMYFUNCTION("""COMPUTED_VALUE"""),269.73)</f>
        <v>269.73</v>
      </c>
    </row>
    <row r="2224" spans="1:2">
      <c r="A2224" s="3">
        <f ca="1">IFERROR(__xludf.DUMMYFUNCTION("""COMPUTED_VALUE"""),32407.6666666666)</f>
        <v>32407.666666666599</v>
      </c>
      <c r="B2224" s="1">
        <f ca="1">IFERROR(__xludf.DUMMYFUNCTION("""COMPUTED_VALUE"""),270.16)</f>
        <v>270.16000000000003</v>
      </c>
    </row>
    <row r="2225" spans="1:2">
      <c r="A2225" s="3">
        <f ca="1">IFERROR(__xludf.DUMMYFUNCTION("""COMPUTED_VALUE"""),32408.6666666666)</f>
        <v>32408.666666666599</v>
      </c>
      <c r="B2225" s="1">
        <f ca="1">IFERROR(__xludf.DUMMYFUNCTION("""COMPUTED_VALUE"""),269.18)</f>
        <v>269.18</v>
      </c>
    </row>
    <row r="2226" spans="1:2">
      <c r="A2226" s="3">
        <f ca="1">IFERROR(__xludf.DUMMYFUNCTION("""COMPUTED_VALUE"""),32409.6666666666)</f>
        <v>32409.666666666599</v>
      </c>
      <c r="B2226" s="1">
        <f ca="1">IFERROR(__xludf.DUMMYFUNCTION("""COMPUTED_VALUE"""),269.76)</f>
        <v>269.76</v>
      </c>
    </row>
    <row r="2227" spans="1:2">
      <c r="A2227" s="3">
        <f ca="1">IFERROR(__xludf.DUMMYFUNCTION("""COMPUTED_VALUE"""),32412.6666666666)</f>
        <v>32412.666666666599</v>
      </c>
      <c r="B2227" s="1">
        <f ca="1">IFERROR(__xludf.DUMMYFUNCTION("""COMPUTED_VALUE"""),268.88)</f>
        <v>268.88</v>
      </c>
    </row>
    <row r="2228" spans="1:2">
      <c r="A2228" s="3">
        <f ca="1">IFERROR(__xludf.DUMMYFUNCTION("""COMPUTED_VALUE"""),32413.6666666666)</f>
        <v>32413.666666666599</v>
      </c>
      <c r="B2228" s="1">
        <f ca="1">IFERROR(__xludf.DUMMYFUNCTION("""COMPUTED_VALUE"""),268.26)</f>
        <v>268.26</v>
      </c>
    </row>
    <row r="2229" spans="1:2">
      <c r="A2229" s="3">
        <f ca="1">IFERROR(__xludf.DUMMYFUNCTION("""COMPUTED_VALUE"""),32414.6666666666)</f>
        <v>32414.666666666599</v>
      </c>
      <c r="B2229" s="1">
        <f ca="1">IFERROR(__xludf.DUMMYFUNCTION("""COMPUTED_VALUE"""),269.08)</f>
        <v>269.08</v>
      </c>
    </row>
    <row r="2230" spans="1:2">
      <c r="A2230" s="3">
        <f ca="1">IFERROR(__xludf.DUMMYFUNCTION("""COMPUTED_VALUE"""),32415.6666666666)</f>
        <v>32415.666666666599</v>
      </c>
      <c r="B2230" s="1">
        <f ca="1">IFERROR(__xludf.DUMMYFUNCTION("""COMPUTED_VALUE"""),272.59)</f>
        <v>272.58999999999997</v>
      </c>
    </row>
    <row r="2231" spans="1:2">
      <c r="A2231" s="3">
        <f ca="1">IFERROR(__xludf.DUMMYFUNCTION("""COMPUTED_VALUE"""),32416.6666666666)</f>
        <v>32416.666666666599</v>
      </c>
      <c r="B2231" s="1">
        <f ca="1">IFERROR(__xludf.DUMMYFUNCTION("""COMPUTED_VALUE"""),271.91)</f>
        <v>271.91000000000003</v>
      </c>
    </row>
    <row r="2232" spans="1:2">
      <c r="A2232" s="3">
        <f ca="1">IFERROR(__xludf.DUMMYFUNCTION("""COMPUTED_VALUE"""),32419.6666666666)</f>
        <v>32419.666666666599</v>
      </c>
      <c r="B2232" s="1">
        <f ca="1">IFERROR(__xludf.DUMMYFUNCTION("""COMPUTED_VALUE"""),271.38)</f>
        <v>271.38</v>
      </c>
    </row>
    <row r="2233" spans="1:2">
      <c r="A2233" s="3">
        <f ca="1">IFERROR(__xludf.DUMMYFUNCTION("""COMPUTED_VALUE"""),32420.6666666666)</f>
        <v>32420.666666666599</v>
      </c>
      <c r="B2233" s="1">
        <f ca="1">IFERROR(__xludf.DUMMYFUNCTION("""COMPUTED_VALUE"""),270.62)</f>
        <v>270.62</v>
      </c>
    </row>
    <row r="2234" spans="1:2">
      <c r="A2234" s="3">
        <f ca="1">IFERROR(__xludf.DUMMYFUNCTION("""COMPUTED_VALUE"""),32421.6666666666)</f>
        <v>32421.666666666599</v>
      </c>
      <c r="B2234" s="1">
        <f ca="1">IFERROR(__xludf.DUMMYFUNCTION("""COMPUTED_VALUE"""),271.86)</f>
        <v>271.86</v>
      </c>
    </row>
    <row r="2235" spans="1:2">
      <c r="A2235" s="3">
        <f ca="1">IFERROR(__xludf.DUMMYFUNCTION("""COMPUTED_VALUE"""),32422.6666666666)</f>
        <v>32422.666666666599</v>
      </c>
      <c r="B2235" s="1">
        <f ca="1">IFERROR(__xludf.DUMMYFUNCTION("""COMPUTED_VALUE"""),272.39)</f>
        <v>272.39</v>
      </c>
    </row>
    <row r="2236" spans="1:2">
      <c r="A2236" s="3">
        <f ca="1">IFERROR(__xludf.DUMMYFUNCTION("""COMPUTED_VALUE"""),32423.6666666666)</f>
        <v>32423.666666666599</v>
      </c>
      <c r="B2236" s="1">
        <f ca="1">IFERROR(__xludf.DUMMYFUNCTION("""COMPUTED_VALUE"""),278.07)</f>
        <v>278.07</v>
      </c>
    </row>
    <row r="2237" spans="1:2">
      <c r="A2237" s="3">
        <f ca="1">IFERROR(__xludf.DUMMYFUNCTION("""COMPUTED_VALUE"""),32426.6666666666)</f>
        <v>32426.666666666599</v>
      </c>
      <c r="B2237" s="1">
        <f ca="1">IFERROR(__xludf.DUMMYFUNCTION("""COMPUTED_VALUE"""),278.24)</f>
        <v>278.24</v>
      </c>
    </row>
    <row r="2238" spans="1:2">
      <c r="A2238" s="3">
        <f ca="1">IFERROR(__xludf.DUMMYFUNCTION("""COMPUTED_VALUE"""),32427.6666666666)</f>
        <v>32427.666666666599</v>
      </c>
      <c r="B2238" s="1">
        <f ca="1">IFERROR(__xludf.DUMMYFUNCTION("""COMPUTED_VALUE"""),277.93)</f>
        <v>277.93</v>
      </c>
    </row>
    <row r="2239" spans="1:2">
      <c r="A2239" s="3">
        <f ca="1">IFERROR(__xludf.DUMMYFUNCTION("""COMPUTED_VALUE"""),32428.6666666666)</f>
        <v>32428.666666666599</v>
      </c>
      <c r="B2239" s="1">
        <f ca="1">IFERROR(__xludf.DUMMYFUNCTION("""COMPUTED_VALUE"""),273.98)</f>
        <v>273.98</v>
      </c>
    </row>
    <row r="2240" spans="1:2">
      <c r="A2240" s="3">
        <f ca="1">IFERROR(__xludf.DUMMYFUNCTION("""COMPUTED_VALUE"""),32429.6666666666)</f>
        <v>32429.666666666599</v>
      </c>
      <c r="B2240" s="1">
        <f ca="1">IFERROR(__xludf.DUMMYFUNCTION("""COMPUTED_VALUE"""),275.22)</f>
        <v>275.22000000000003</v>
      </c>
    </row>
    <row r="2241" spans="1:2">
      <c r="A2241" s="3">
        <f ca="1">IFERROR(__xludf.DUMMYFUNCTION("""COMPUTED_VALUE"""),32430.6666666666)</f>
        <v>32430.666666666599</v>
      </c>
      <c r="B2241" s="1">
        <f ca="1">IFERROR(__xludf.DUMMYFUNCTION("""COMPUTED_VALUE"""),275.5)</f>
        <v>275.5</v>
      </c>
    </row>
    <row r="2242" spans="1:2">
      <c r="A2242" s="3">
        <f ca="1">IFERROR(__xludf.DUMMYFUNCTION("""COMPUTED_VALUE"""),32433.6666666666)</f>
        <v>32433.666666666599</v>
      </c>
      <c r="B2242" s="1">
        <f ca="1">IFERROR(__xludf.DUMMYFUNCTION("""COMPUTED_VALUE"""),276.41)</f>
        <v>276.41000000000003</v>
      </c>
    </row>
    <row r="2243" spans="1:2">
      <c r="A2243" s="3">
        <f ca="1">IFERROR(__xludf.DUMMYFUNCTION("""COMPUTED_VALUE"""),32434.6666666666)</f>
        <v>32434.666666666599</v>
      </c>
      <c r="B2243" s="1">
        <f ca="1">IFERROR(__xludf.DUMMYFUNCTION("""COMPUTED_VALUE"""),279.38)</f>
        <v>279.38</v>
      </c>
    </row>
    <row r="2244" spans="1:2">
      <c r="A2244" s="3">
        <f ca="1">IFERROR(__xludf.DUMMYFUNCTION("""COMPUTED_VALUE"""),32435.6666666666)</f>
        <v>32435.666666666599</v>
      </c>
      <c r="B2244" s="1">
        <f ca="1">IFERROR(__xludf.DUMMYFUNCTION("""COMPUTED_VALUE"""),276.97)</f>
        <v>276.97000000000003</v>
      </c>
    </row>
    <row r="2245" spans="1:2">
      <c r="A2245" s="3">
        <f ca="1">IFERROR(__xludf.DUMMYFUNCTION("""COMPUTED_VALUE"""),32436.6666666666)</f>
        <v>32436.666666666599</v>
      </c>
      <c r="B2245" s="1">
        <f ca="1">IFERROR(__xludf.DUMMYFUNCTION("""COMPUTED_VALUE"""),282.88)</f>
        <v>282.88</v>
      </c>
    </row>
    <row r="2246" spans="1:2">
      <c r="A2246" s="3">
        <f ca="1">IFERROR(__xludf.DUMMYFUNCTION("""COMPUTED_VALUE"""),32437.6666666666)</f>
        <v>32437.666666666599</v>
      </c>
      <c r="B2246" s="1">
        <f ca="1">IFERROR(__xludf.DUMMYFUNCTION("""COMPUTED_VALUE"""),283.66)</f>
        <v>283.66000000000003</v>
      </c>
    </row>
    <row r="2247" spans="1:2">
      <c r="A2247" s="3">
        <f ca="1">IFERROR(__xludf.DUMMYFUNCTION("""COMPUTED_VALUE"""),32440.6666666666)</f>
        <v>32440.666666666599</v>
      </c>
      <c r="B2247" s="1">
        <f ca="1">IFERROR(__xludf.DUMMYFUNCTION("""COMPUTED_VALUE"""),282.28)</f>
        <v>282.27999999999997</v>
      </c>
    </row>
    <row r="2248" spans="1:2">
      <c r="A2248" s="3">
        <f ca="1">IFERROR(__xludf.DUMMYFUNCTION("""COMPUTED_VALUE"""),32441.6666666666)</f>
        <v>32441.666666666599</v>
      </c>
      <c r="B2248" s="1">
        <f ca="1">IFERROR(__xludf.DUMMYFUNCTION("""COMPUTED_VALUE"""),282.38)</f>
        <v>282.38</v>
      </c>
    </row>
    <row r="2249" spans="1:2">
      <c r="A2249" s="3">
        <f ca="1">IFERROR(__xludf.DUMMYFUNCTION("""COMPUTED_VALUE"""),32442.6666666666)</f>
        <v>32442.666666666599</v>
      </c>
      <c r="B2249" s="1">
        <f ca="1">IFERROR(__xludf.DUMMYFUNCTION("""COMPUTED_VALUE"""),281.38)</f>
        <v>281.38</v>
      </c>
    </row>
    <row r="2250" spans="1:2">
      <c r="A2250" s="3">
        <f ca="1">IFERROR(__xludf.DUMMYFUNCTION("""COMPUTED_VALUE"""),32443.6666666666)</f>
        <v>32443.666666666599</v>
      </c>
      <c r="B2250" s="1">
        <f ca="1">IFERROR(__xludf.DUMMYFUNCTION("""COMPUTED_VALUE"""),277.28)</f>
        <v>277.27999999999997</v>
      </c>
    </row>
    <row r="2251" spans="1:2">
      <c r="A2251" s="3">
        <f ca="1">IFERROR(__xludf.DUMMYFUNCTION("""COMPUTED_VALUE"""),32444.6666666666)</f>
        <v>32444.666666666599</v>
      </c>
      <c r="B2251" s="1">
        <f ca="1">IFERROR(__xludf.DUMMYFUNCTION("""COMPUTED_VALUE"""),278.53)</f>
        <v>278.52999999999997</v>
      </c>
    </row>
    <row r="2252" spans="1:2">
      <c r="A2252" s="3">
        <f ca="1">IFERROR(__xludf.DUMMYFUNCTION("""COMPUTED_VALUE"""),32447.6666666666)</f>
        <v>32447.666666666599</v>
      </c>
      <c r="B2252" s="1">
        <f ca="1">IFERROR(__xludf.DUMMYFUNCTION("""COMPUTED_VALUE"""),278.97)</f>
        <v>278.97000000000003</v>
      </c>
    </row>
    <row r="2253" spans="1:2">
      <c r="A2253" s="3">
        <f ca="1">IFERROR(__xludf.DUMMYFUNCTION("""COMPUTED_VALUE"""),32448.6666666666)</f>
        <v>32448.666666666599</v>
      </c>
      <c r="B2253" s="1">
        <f ca="1">IFERROR(__xludf.DUMMYFUNCTION("""COMPUTED_VALUE"""),279.06)</f>
        <v>279.06</v>
      </c>
    </row>
    <row r="2254" spans="1:2">
      <c r="A2254" s="3">
        <f ca="1">IFERROR(__xludf.DUMMYFUNCTION("""COMPUTED_VALUE"""),32449.6666666666)</f>
        <v>32449.666666666599</v>
      </c>
      <c r="B2254" s="1">
        <f ca="1">IFERROR(__xludf.DUMMYFUNCTION("""COMPUTED_VALUE"""),279.06)</f>
        <v>279.06</v>
      </c>
    </row>
    <row r="2255" spans="1:2">
      <c r="A2255" s="3">
        <f ca="1">IFERROR(__xludf.DUMMYFUNCTION("""COMPUTED_VALUE"""),32450.6666666666)</f>
        <v>32450.666666666599</v>
      </c>
      <c r="B2255" s="1">
        <f ca="1">IFERROR(__xludf.DUMMYFUNCTION("""COMPUTED_VALUE"""),279.2)</f>
        <v>279.2</v>
      </c>
    </row>
    <row r="2256" spans="1:2">
      <c r="A2256" s="3">
        <f ca="1">IFERROR(__xludf.DUMMYFUNCTION("""COMPUTED_VALUE"""),32451.6666666666)</f>
        <v>32451.666666666599</v>
      </c>
      <c r="B2256" s="1">
        <f ca="1">IFERROR(__xludf.DUMMYFUNCTION("""COMPUTED_VALUE"""),276.31)</f>
        <v>276.31</v>
      </c>
    </row>
    <row r="2257" spans="1:2">
      <c r="A2257" s="3">
        <f ca="1">IFERROR(__xludf.DUMMYFUNCTION("""COMPUTED_VALUE"""),32454.6666666666)</f>
        <v>32454.666666666599</v>
      </c>
      <c r="B2257" s="1">
        <f ca="1">IFERROR(__xludf.DUMMYFUNCTION("""COMPUTED_VALUE"""),273.93)</f>
        <v>273.93</v>
      </c>
    </row>
    <row r="2258" spans="1:2">
      <c r="A2258" s="3">
        <f ca="1">IFERROR(__xludf.DUMMYFUNCTION("""COMPUTED_VALUE"""),32455.6666666666)</f>
        <v>32455.666666666599</v>
      </c>
      <c r="B2258" s="1">
        <f ca="1">IFERROR(__xludf.DUMMYFUNCTION("""COMPUTED_VALUE"""),275.15)</f>
        <v>275.14999999999998</v>
      </c>
    </row>
    <row r="2259" spans="1:2">
      <c r="A2259" s="3">
        <f ca="1">IFERROR(__xludf.DUMMYFUNCTION("""COMPUTED_VALUE"""),32456.6666666666)</f>
        <v>32456.666666666599</v>
      </c>
      <c r="B2259" s="1">
        <f ca="1">IFERROR(__xludf.DUMMYFUNCTION("""COMPUTED_VALUE"""),273.33)</f>
        <v>273.33</v>
      </c>
    </row>
    <row r="2260" spans="1:2">
      <c r="A2260" s="3">
        <f ca="1">IFERROR(__xludf.DUMMYFUNCTION("""COMPUTED_VALUE"""),32457.6666666666)</f>
        <v>32457.666666666599</v>
      </c>
      <c r="B2260" s="1">
        <f ca="1">IFERROR(__xludf.DUMMYFUNCTION("""COMPUTED_VALUE"""),273.69)</f>
        <v>273.69</v>
      </c>
    </row>
    <row r="2261" spans="1:2">
      <c r="A2261" s="3">
        <f ca="1">IFERROR(__xludf.DUMMYFUNCTION("""COMPUTED_VALUE"""),32458.6666666666)</f>
        <v>32458.666666666599</v>
      </c>
      <c r="B2261" s="1">
        <f ca="1">IFERROR(__xludf.DUMMYFUNCTION("""COMPUTED_VALUE"""),267.92)</f>
        <v>267.92</v>
      </c>
    </row>
    <row r="2262" spans="1:2">
      <c r="A2262" s="3">
        <f ca="1">IFERROR(__xludf.DUMMYFUNCTION("""COMPUTED_VALUE"""),32461.6666666666)</f>
        <v>32461.666666666599</v>
      </c>
      <c r="B2262" s="1">
        <f ca="1">IFERROR(__xludf.DUMMYFUNCTION("""COMPUTED_VALUE"""),267.72)</f>
        <v>267.72000000000003</v>
      </c>
    </row>
    <row r="2263" spans="1:2">
      <c r="A2263" s="3">
        <f ca="1">IFERROR(__xludf.DUMMYFUNCTION("""COMPUTED_VALUE"""),32462.6666666666)</f>
        <v>32462.666666666599</v>
      </c>
      <c r="B2263" s="1">
        <f ca="1">IFERROR(__xludf.DUMMYFUNCTION("""COMPUTED_VALUE"""),268.34)</f>
        <v>268.33999999999997</v>
      </c>
    </row>
    <row r="2264" spans="1:2">
      <c r="A2264" s="3">
        <f ca="1">IFERROR(__xludf.DUMMYFUNCTION("""COMPUTED_VALUE"""),32463.6666666666)</f>
        <v>32463.666666666599</v>
      </c>
      <c r="B2264" s="1">
        <f ca="1">IFERROR(__xludf.DUMMYFUNCTION("""COMPUTED_VALUE"""),263.82)</f>
        <v>263.82</v>
      </c>
    </row>
    <row r="2265" spans="1:2">
      <c r="A2265" s="3">
        <f ca="1">IFERROR(__xludf.DUMMYFUNCTION("""COMPUTED_VALUE"""),32464.6666666666)</f>
        <v>32464.666666666599</v>
      </c>
      <c r="B2265" s="1">
        <f ca="1">IFERROR(__xludf.DUMMYFUNCTION("""COMPUTED_VALUE"""),264.6)</f>
        <v>264.60000000000002</v>
      </c>
    </row>
    <row r="2266" spans="1:2">
      <c r="A2266" s="3">
        <f ca="1">IFERROR(__xludf.DUMMYFUNCTION("""COMPUTED_VALUE"""),32465.6666666666)</f>
        <v>32465.666666666599</v>
      </c>
      <c r="B2266" s="1">
        <f ca="1">IFERROR(__xludf.DUMMYFUNCTION("""COMPUTED_VALUE"""),266.47)</f>
        <v>266.47000000000003</v>
      </c>
    </row>
    <row r="2267" spans="1:2">
      <c r="A2267" s="3">
        <f ca="1">IFERROR(__xludf.DUMMYFUNCTION("""COMPUTED_VALUE"""),32468.6666666666)</f>
        <v>32468.666666666599</v>
      </c>
      <c r="B2267" s="1">
        <f ca="1">IFERROR(__xludf.DUMMYFUNCTION("""COMPUTED_VALUE"""),266.22)</f>
        <v>266.22000000000003</v>
      </c>
    </row>
    <row r="2268" spans="1:2">
      <c r="A2268" s="3">
        <f ca="1">IFERROR(__xludf.DUMMYFUNCTION("""COMPUTED_VALUE"""),32469.6666666666)</f>
        <v>32469.666666666599</v>
      </c>
      <c r="B2268" s="1">
        <f ca="1">IFERROR(__xludf.DUMMYFUNCTION("""COMPUTED_VALUE"""),267.21)</f>
        <v>267.20999999999998</v>
      </c>
    </row>
    <row r="2269" spans="1:2">
      <c r="A2269" s="3">
        <f ca="1">IFERROR(__xludf.DUMMYFUNCTION("""COMPUTED_VALUE"""),32470.6666666666)</f>
        <v>32470.666666666599</v>
      </c>
      <c r="B2269" s="1">
        <f ca="1">IFERROR(__xludf.DUMMYFUNCTION("""COMPUTED_VALUE"""),269)</f>
        <v>269</v>
      </c>
    </row>
    <row r="2270" spans="1:2">
      <c r="A2270" s="3">
        <f ca="1">IFERROR(__xludf.DUMMYFUNCTION("""COMPUTED_VALUE"""),32472.6666666666)</f>
        <v>32472.666666666599</v>
      </c>
      <c r="B2270" s="1">
        <f ca="1">IFERROR(__xludf.DUMMYFUNCTION("""COMPUTED_VALUE"""),267.23)</f>
        <v>267.23</v>
      </c>
    </row>
    <row r="2271" spans="1:2">
      <c r="A2271" s="3">
        <f ca="1">IFERROR(__xludf.DUMMYFUNCTION("""COMPUTED_VALUE"""),32475.6666666666)</f>
        <v>32475.666666666599</v>
      </c>
      <c r="B2271" s="1">
        <f ca="1">IFERROR(__xludf.DUMMYFUNCTION("""COMPUTED_VALUE"""),268.64)</f>
        <v>268.64</v>
      </c>
    </row>
    <row r="2272" spans="1:2">
      <c r="A2272" s="3">
        <f ca="1">IFERROR(__xludf.DUMMYFUNCTION("""COMPUTED_VALUE"""),32476.6666666666)</f>
        <v>32476.666666666599</v>
      </c>
      <c r="B2272" s="1">
        <f ca="1">IFERROR(__xludf.DUMMYFUNCTION("""COMPUTED_VALUE"""),270.91)</f>
        <v>270.91000000000003</v>
      </c>
    </row>
    <row r="2273" spans="1:2">
      <c r="A2273" s="3">
        <f ca="1">IFERROR(__xludf.DUMMYFUNCTION("""COMPUTED_VALUE"""),32477.6666666666)</f>
        <v>32477.666666666599</v>
      </c>
      <c r="B2273" s="1">
        <f ca="1">IFERROR(__xludf.DUMMYFUNCTION("""COMPUTED_VALUE"""),273.7)</f>
        <v>273.7</v>
      </c>
    </row>
    <row r="2274" spans="1:2">
      <c r="A2274" s="3">
        <f ca="1">IFERROR(__xludf.DUMMYFUNCTION("""COMPUTED_VALUE"""),32478.6666666666)</f>
        <v>32478.666666666599</v>
      </c>
      <c r="B2274" s="1">
        <f ca="1">IFERROR(__xludf.DUMMYFUNCTION("""COMPUTED_VALUE"""),272.49)</f>
        <v>272.49</v>
      </c>
    </row>
    <row r="2275" spans="1:2">
      <c r="A2275" s="3">
        <f ca="1">IFERROR(__xludf.DUMMYFUNCTION("""COMPUTED_VALUE"""),32479.6666666666)</f>
        <v>32479.666666666599</v>
      </c>
      <c r="B2275" s="1">
        <f ca="1">IFERROR(__xludf.DUMMYFUNCTION("""COMPUTED_VALUE"""),271.81)</f>
        <v>271.81</v>
      </c>
    </row>
    <row r="2276" spans="1:2">
      <c r="A2276" s="3">
        <f ca="1">IFERROR(__xludf.DUMMYFUNCTION("""COMPUTED_VALUE"""),32482.6666666666)</f>
        <v>32482.666666666599</v>
      </c>
      <c r="B2276" s="1">
        <f ca="1">IFERROR(__xludf.DUMMYFUNCTION("""COMPUTED_VALUE"""),274.93)</f>
        <v>274.93</v>
      </c>
    </row>
    <row r="2277" spans="1:2">
      <c r="A2277" s="3">
        <f ca="1">IFERROR(__xludf.DUMMYFUNCTION("""COMPUTED_VALUE"""),32483.6666666666)</f>
        <v>32483.666666666599</v>
      </c>
      <c r="B2277" s="1">
        <f ca="1">IFERROR(__xludf.DUMMYFUNCTION("""COMPUTED_VALUE"""),277.59)</f>
        <v>277.58999999999997</v>
      </c>
    </row>
    <row r="2278" spans="1:2">
      <c r="A2278" s="3">
        <f ca="1">IFERROR(__xludf.DUMMYFUNCTION("""COMPUTED_VALUE"""),32484.6666666666)</f>
        <v>32484.666666666599</v>
      </c>
      <c r="B2278" s="1">
        <f ca="1">IFERROR(__xludf.DUMMYFUNCTION("""COMPUTED_VALUE"""),278.13)</f>
        <v>278.13</v>
      </c>
    </row>
    <row r="2279" spans="1:2">
      <c r="A2279" s="3">
        <f ca="1">IFERROR(__xludf.DUMMYFUNCTION("""COMPUTED_VALUE"""),32485.6666666666)</f>
        <v>32485.666666666599</v>
      </c>
      <c r="B2279" s="1">
        <f ca="1">IFERROR(__xludf.DUMMYFUNCTION("""COMPUTED_VALUE"""),276.59)</f>
        <v>276.58999999999997</v>
      </c>
    </row>
    <row r="2280" spans="1:2">
      <c r="A2280" s="3">
        <f ca="1">IFERROR(__xludf.DUMMYFUNCTION("""COMPUTED_VALUE"""),32486.6666666666)</f>
        <v>32486.666666666599</v>
      </c>
      <c r="B2280" s="1">
        <f ca="1">IFERROR(__xludf.DUMMYFUNCTION("""COMPUTED_VALUE"""),277.03)</f>
        <v>277.02999999999997</v>
      </c>
    </row>
    <row r="2281" spans="1:2">
      <c r="A2281" s="3">
        <f ca="1">IFERROR(__xludf.DUMMYFUNCTION("""COMPUTED_VALUE"""),32489.6666666666)</f>
        <v>32489.666666666599</v>
      </c>
      <c r="B2281" s="1">
        <f ca="1">IFERROR(__xludf.DUMMYFUNCTION("""COMPUTED_VALUE"""),276.52)</f>
        <v>276.52</v>
      </c>
    </row>
    <row r="2282" spans="1:2">
      <c r="A2282" s="3">
        <f ca="1">IFERROR(__xludf.DUMMYFUNCTION("""COMPUTED_VALUE"""),32490.6666666666)</f>
        <v>32490.666666666599</v>
      </c>
      <c r="B2282" s="1">
        <f ca="1">IFERROR(__xludf.DUMMYFUNCTION("""COMPUTED_VALUE"""),276.31)</f>
        <v>276.31</v>
      </c>
    </row>
    <row r="2283" spans="1:2">
      <c r="A2283" s="3">
        <f ca="1">IFERROR(__xludf.DUMMYFUNCTION("""COMPUTED_VALUE"""),32491.6666666666)</f>
        <v>32491.666666666599</v>
      </c>
      <c r="B2283" s="1">
        <f ca="1">IFERROR(__xludf.DUMMYFUNCTION("""COMPUTED_VALUE"""),275.31)</f>
        <v>275.31</v>
      </c>
    </row>
    <row r="2284" spans="1:2">
      <c r="A2284" s="3">
        <f ca="1">IFERROR(__xludf.DUMMYFUNCTION("""COMPUTED_VALUE"""),32492.6666666666)</f>
        <v>32492.666666666599</v>
      </c>
      <c r="B2284" s="1">
        <f ca="1">IFERROR(__xludf.DUMMYFUNCTION("""COMPUTED_VALUE"""),274.28)</f>
        <v>274.27999999999997</v>
      </c>
    </row>
    <row r="2285" spans="1:2">
      <c r="A2285" s="3">
        <f ca="1">IFERROR(__xludf.DUMMYFUNCTION("""COMPUTED_VALUE"""),32493.6666666666)</f>
        <v>32493.666666666599</v>
      </c>
      <c r="B2285" s="1">
        <f ca="1">IFERROR(__xludf.DUMMYFUNCTION("""COMPUTED_VALUE"""),276.29)</f>
        <v>276.29000000000002</v>
      </c>
    </row>
    <row r="2286" spans="1:2">
      <c r="A2286" s="3">
        <f ca="1">IFERROR(__xludf.DUMMYFUNCTION("""COMPUTED_VALUE"""),32496.6666666666)</f>
        <v>32496.666666666599</v>
      </c>
      <c r="B2286" s="1">
        <f ca="1">IFERROR(__xludf.DUMMYFUNCTION("""COMPUTED_VALUE"""),278.91)</f>
        <v>278.91000000000003</v>
      </c>
    </row>
    <row r="2287" spans="1:2">
      <c r="A2287" s="3">
        <f ca="1">IFERROR(__xludf.DUMMYFUNCTION("""COMPUTED_VALUE"""),32497.6666666666)</f>
        <v>32497.666666666599</v>
      </c>
      <c r="B2287" s="1">
        <f ca="1">IFERROR(__xludf.DUMMYFUNCTION("""COMPUTED_VALUE"""),277.47)</f>
        <v>277.47000000000003</v>
      </c>
    </row>
    <row r="2288" spans="1:2">
      <c r="A2288" s="3">
        <f ca="1">IFERROR(__xludf.DUMMYFUNCTION("""COMPUTED_VALUE"""),32498.6666666666)</f>
        <v>32498.666666666599</v>
      </c>
      <c r="B2288" s="1">
        <f ca="1">IFERROR(__xludf.DUMMYFUNCTION("""COMPUTED_VALUE"""),277.38)</f>
        <v>277.38</v>
      </c>
    </row>
    <row r="2289" spans="1:2">
      <c r="A2289" s="3">
        <f ca="1">IFERROR(__xludf.DUMMYFUNCTION("""COMPUTED_VALUE"""),32499.6666666666)</f>
        <v>32499.666666666599</v>
      </c>
      <c r="B2289" s="1">
        <f ca="1">IFERROR(__xludf.DUMMYFUNCTION("""COMPUTED_VALUE"""),276.87)</f>
        <v>276.87</v>
      </c>
    </row>
    <row r="2290" spans="1:2">
      <c r="A2290" s="3">
        <f ca="1">IFERROR(__xludf.DUMMYFUNCTION("""COMPUTED_VALUE"""),32500.6666666666)</f>
        <v>32500.666666666599</v>
      </c>
      <c r="B2290" s="1">
        <f ca="1">IFERROR(__xludf.DUMMYFUNCTION("""COMPUTED_VALUE"""),277.87)</f>
        <v>277.87</v>
      </c>
    </row>
    <row r="2291" spans="1:2">
      <c r="A2291" s="3">
        <f ca="1">IFERROR(__xludf.DUMMYFUNCTION("""COMPUTED_VALUE"""),32504.6666666666)</f>
        <v>32504.666666666599</v>
      </c>
      <c r="B2291" s="1">
        <f ca="1">IFERROR(__xludf.DUMMYFUNCTION("""COMPUTED_VALUE"""),276.83)</f>
        <v>276.83</v>
      </c>
    </row>
    <row r="2292" spans="1:2">
      <c r="A2292" s="3">
        <f ca="1">IFERROR(__xludf.DUMMYFUNCTION("""COMPUTED_VALUE"""),32505.6666666666)</f>
        <v>32505.666666666599</v>
      </c>
      <c r="B2292" s="1">
        <f ca="1">IFERROR(__xludf.DUMMYFUNCTION("""COMPUTED_VALUE"""),277.08)</f>
        <v>277.08</v>
      </c>
    </row>
    <row r="2293" spans="1:2">
      <c r="A2293" s="3">
        <f ca="1">IFERROR(__xludf.DUMMYFUNCTION("""COMPUTED_VALUE"""),32506.6666666666)</f>
        <v>32506.666666666599</v>
      </c>
      <c r="B2293" s="1">
        <f ca="1">IFERROR(__xludf.DUMMYFUNCTION("""COMPUTED_VALUE"""),279.4)</f>
        <v>279.39999999999998</v>
      </c>
    </row>
    <row r="2294" spans="1:2">
      <c r="A2294" s="3">
        <f ca="1">IFERROR(__xludf.DUMMYFUNCTION("""COMPUTED_VALUE"""),32507.6666666666)</f>
        <v>32507.666666666599</v>
      </c>
      <c r="B2294" s="1">
        <f ca="1">IFERROR(__xludf.DUMMYFUNCTION("""COMPUTED_VALUE"""),277.72)</f>
        <v>277.72000000000003</v>
      </c>
    </row>
    <row r="2295" spans="1:2">
      <c r="A2295" s="3">
        <f ca="1">IFERROR(__xludf.DUMMYFUNCTION("""COMPUTED_VALUE"""),32511.6666666666)</f>
        <v>32511.666666666599</v>
      </c>
      <c r="B2295" s="1">
        <f ca="1">IFERROR(__xludf.DUMMYFUNCTION("""COMPUTED_VALUE"""),275.31)</f>
        <v>275.31</v>
      </c>
    </row>
    <row r="2296" spans="1:2">
      <c r="A2296" s="3">
        <f ca="1">IFERROR(__xludf.DUMMYFUNCTION("""COMPUTED_VALUE"""),32512.6666666666)</f>
        <v>32512.666666666599</v>
      </c>
      <c r="B2296" s="1">
        <f ca="1">IFERROR(__xludf.DUMMYFUNCTION("""COMPUTED_VALUE"""),279.43)</f>
        <v>279.43</v>
      </c>
    </row>
    <row r="2297" spans="1:2">
      <c r="A2297" s="3">
        <f ca="1">IFERROR(__xludf.DUMMYFUNCTION("""COMPUTED_VALUE"""),32513.6666666666)</f>
        <v>32513.666666666599</v>
      </c>
      <c r="B2297" s="1">
        <f ca="1">IFERROR(__xludf.DUMMYFUNCTION("""COMPUTED_VALUE"""),280.01)</f>
        <v>280.01</v>
      </c>
    </row>
    <row r="2298" spans="1:2">
      <c r="A2298" s="3">
        <f ca="1">IFERROR(__xludf.DUMMYFUNCTION("""COMPUTED_VALUE"""),32514.6666666666)</f>
        <v>32514.666666666599</v>
      </c>
      <c r="B2298" s="1">
        <f ca="1">IFERROR(__xludf.DUMMYFUNCTION("""COMPUTED_VALUE"""),280.67)</f>
        <v>280.67</v>
      </c>
    </row>
    <row r="2299" spans="1:2">
      <c r="A2299" s="3">
        <f ca="1">IFERROR(__xludf.DUMMYFUNCTION("""COMPUTED_VALUE"""),32517.6666666666)</f>
        <v>32517.666666666599</v>
      </c>
      <c r="B2299" s="1">
        <f ca="1">IFERROR(__xludf.DUMMYFUNCTION("""COMPUTED_VALUE"""),280.98)</f>
        <v>280.98</v>
      </c>
    </row>
    <row r="2300" spans="1:2">
      <c r="A2300" s="3">
        <f ca="1">IFERROR(__xludf.DUMMYFUNCTION("""COMPUTED_VALUE"""),32518.6666666666)</f>
        <v>32518.666666666599</v>
      </c>
      <c r="B2300" s="1">
        <f ca="1">IFERROR(__xludf.DUMMYFUNCTION("""COMPUTED_VALUE"""),280.38)</f>
        <v>280.38</v>
      </c>
    </row>
    <row r="2301" spans="1:2">
      <c r="A2301" s="3">
        <f ca="1">IFERROR(__xludf.DUMMYFUNCTION("""COMPUTED_VALUE"""),32519.6666666666)</f>
        <v>32519.666666666599</v>
      </c>
      <c r="B2301" s="1">
        <f ca="1">IFERROR(__xludf.DUMMYFUNCTION("""COMPUTED_VALUE"""),282.01)</f>
        <v>282.01</v>
      </c>
    </row>
    <row r="2302" spans="1:2">
      <c r="A2302" s="3">
        <f ca="1">IFERROR(__xludf.DUMMYFUNCTION("""COMPUTED_VALUE"""),32520.6666666666)</f>
        <v>32520.666666666599</v>
      </c>
      <c r="B2302" s="1">
        <f ca="1">IFERROR(__xludf.DUMMYFUNCTION("""COMPUTED_VALUE"""),283.17)</f>
        <v>283.17</v>
      </c>
    </row>
    <row r="2303" spans="1:2">
      <c r="A2303" s="3">
        <f ca="1">IFERROR(__xludf.DUMMYFUNCTION("""COMPUTED_VALUE"""),32521.6666666666)</f>
        <v>32521.666666666599</v>
      </c>
      <c r="B2303" s="1">
        <f ca="1">IFERROR(__xludf.DUMMYFUNCTION("""COMPUTED_VALUE"""),283.87)</f>
        <v>283.87</v>
      </c>
    </row>
    <row r="2304" spans="1:2">
      <c r="A2304" s="3">
        <f ca="1">IFERROR(__xludf.DUMMYFUNCTION("""COMPUTED_VALUE"""),32524.6666666666)</f>
        <v>32524.666666666599</v>
      </c>
      <c r="B2304" s="1">
        <f ca="1">IFERROR(__xludf.DUMMYFUNCTION("""COMPUTED_VALUE"""),284.14)</f>
        <v>284.14</v>
      </c>
    </row>
    <row r="2305" spans="1:2">
      <c r="A2305" s="3">
        <f ca="1">IFERROR(__xludf.DUMMYFUNCTION("""COMPUTED_VALUE"""),32525.6666666666)</f>
        <v>32525.666666666599</v>
      </c>
      <c r="B2305" s="1">
        <f ca="1">IFERROR(__xludf.DUMMYFUNCTION("""COMPUTED_VALUE"""),283.55)</f>
        <v>283.55</v>
      </c>
    </row>
    <row r="2306" spans="1:2">
      <c r="A2306" s="3">
        <f ca="1">IFERROR(__xludf.DUMMYFUNCTION("""COMPUTED_VALUE"""),32526.6666666666)</f>
        <v>32526.666666666599</v>
      </c>
      <c r="B2306" s="1">
        <f ca="1">IFERROR(__xludf.DUMMYFUNCTION("""COMPUTED_VALUE"""),286.53)</f>
        <v>286.52999999999997</v>
      </c>
    </row>
    <row r="2307" spans="1:2">
      <c r="A2307" s="3">
        <f ca="1">IFERROR(__xludf.DUMMYFUNCTION("""COMPUTED_VALUE"""),32527.6666666666)</f>
        <v>32527.666666666599</v>
      </c>
      <c r="B2307" s="1">
        <f ca="1">IFERROR(__xludf.DUMMYFUNCTION("""COMPUTED_VALUE"""),286.91)</f>
        <v>286.91000000000003</v>
      </c>
    </row>
    <row r="2308" spans="1:2">
      <c r="A2308" s="3">
        <f ca="1">IFERROR(__xludf.DUMMYFUNCTION("""COMPUTED_VALUE"""),32528.6666666666)</f>
        <v>32528.666666666599</v>
      </c>
      <c r="B2308" s="1">
        <f ca="1">IFERROR(__xludf.DUMMYFUNCTION("""COMPUTED_VALUE"""),286.63)</f>
        <v>286.63</v>
      </c>
    </row>
    <row r="2309" spans="1:2">
      <c r="A2309" s="3">
        <f ca="1">IFERROR(__xludf.DUMMYFUNCTION("""COMPUTED_VALUE"""),32531.6666666666)</f>
        <v>32531.666666666599</v>
      </c>
      <c r="B2309" s="1">
        <f ca="1">IFERROR(__xludf.DUMMYFUNCTION("""COMPUTED_VALUE"""),284.5)</f>
        <v>284.5</v>
      </c>
    </row>
    <row r="2310" spans="1:2">
      <c r="A2310" s="3">
        <f ca="1">IFERROR(__xludf.DUMMYFUNCTION("""COMPUTED_VALUE"""),32532.6666666666)</f>
        <v>32532.666666666599</v>
      </c>
      <c r="B2310" s="1">
        <f ca="1">IFERROR(__xludf.DUMMYFUNCTION("""COMPUTED_VALUE"""),288.49)</f>
        <v>288.49</v>
      </c>
    </row>
    <row r="2311" spans="1:2">
      <c r="A2311" s="3">
        <f ca="1">IFERROR(__xludf.DUMMYFUNCTION("""COMPUTED_VALUE"""),32533.6666666666)</f>
        <v>32533.666666666599</v>
      </c>
      <c r="B2311" s="1">
        <f ca="1">IFERROR(__xludf.DUMMYFUNCTION("""COMPUTED_VALUE"""),289.14)</f>
        <v>289.14</v>
      </c>
    </row>
    <row r="2312" spans="1:2">
      <c r="A2312" s="3">
        <f ca="1">IFERROR(__xludf.DUMMYFUNCTION("""COMPUTED_VALUE"""),32534.6666666666)</f>
        <v>32534.666666666599</v>
      </c>
      <c r="B2312" s="1">
        <f ca="1">IFERROR(__xludf.DUMMYFUNCTION("""COMPUTED_VALUE"""),291.69)</f>
        <v>291.69</v>
      </c>
    </row>
    <row r="2313" spans="1:2">
      <c r="A2313" s="3">
        <f ca="1">IFERROR(__xludf.DUMMYFUNCTION("""COMPUTED_VALUE"""),32535.6666666666)</f>
        <v>32535.666666666599</v>
      </c>
      <c r="B2313" s="1">
        <f ca="1">IFERROR(__xludf.DUMMYFUNCTION("""COMPUTED_VALUE"""),293.82)</f>
        <v>293.82</v>
      </c>
    </row>
    <row r="2314" spans="1:2">
      <c r="A2314" s="3">
        <f ca="1">IFERROR(__xludf.DUMMYFUNCTION("""COMPUTED_VALUE"""),32538.6666666666)</f>
        <v>32538.666666666599</v>
      </c>
      <c r="B2314" s="1">
        <f ca="1">IFERROR(__xludf.DUMMYFUNCTION("""COMPUTED_VALUE"""),294.99)</f>
        <v>294.99</v>
      </c>
    </row>
    <row r="2315" spans="1:2">
      <c r="A2315" s="3">
        <f ca="1">IFERROR(__xludf.DUMMYFUNCTION("""COMPUTED_VALUE"""),32539.6666666666)</f>
        <v>32539.666666666599</v>
      </c>
      <c r="B2315" s="1">
        <f ca="1">IFERROR(__xludf.DUMMYFUNCTION("""COMPUTED_VALUE"""),297.47)</f>
        <v>297.47000000000003</v>
      </c>
    </row>
    <row r="2316" spans="1:2">
      <c r="A2316" s="3">
        <f ca="1">IFERROR(__xludf.DUMMYFUNCTION("""COMPUTED_VALUE"""),32540.6666666666)</f>
        <v>32540.666666666599</v>
      </c>
      <c r="B2316" s="1">
        <f ca="1">IFERROR(__xludf.DUMMYFUNCTION("""COMPUTED_VALUE"""),297.09)</f>
        <v>297.08999999999997</v>
      </c>
    </row>
    <row r="2317" spans="1:2">
      <c r="A2317" s="3">
        <f ca="1">IFERROR(__xludf.DUMMYFUNCTION("""COMPUTED_VALUE"""),32541.6666666666)</f>
        <v>32541.666666666599</v>
      </c>
      <c r="B2317" s="1">
        <f ca="1">IFERROR(__xludf.DUMMYFUNCTION("""COMPUTED_VALUE"""),296.84)</f>
        <v>296.83999999999997</v>
      </c>
    </row>
    <row r="2318" spans="1:2">
      <c r="A2318" s="3">
        <f ca="1">IFERROR(__xludf.DUMMYFUNCTION("""COMPUTED_VALUE"""),32542.6666666666)</f>
        <v>32542.666666666599</v>
      </c>
      <c r="B2318" s="1">
        <f ca="1">IFERROR(__xludf.DUMMYFUNCTION("""COMPUTED_VALUE"""),296.97)</f>
        <v>296.97000000000003</v>
      </c>
    </row>
    <row r="2319" spans="1:2">
      <c r="A2319" s="3">
        <f ca="1">IFERROR(__xludf.DUMMYFUNCTION("""COMPUTED_VALUE"""),32545.6666666666)</f>
        <v>32545.666666666599</v>
      </c>
      <c r="B2319" s="1">
        <f ca="1">IFERROR(__xludf.DUMMYFUNCTION("""COMPUTED_VALUE"""),296.04)</f>
        <v>296.04000000000002</v>
      </c>
    </row>
    <row r="2320" spans="1:2">
      <c r="A2320" s="3">
        <f ca="1">IFERROR(__xludf.DUMMYFUNCTION("""COMPUTED_VALUE"""),32546.6666666666)</f>
        <v>32546.666666666599</v>
      </c>
      <c r="B2320" s="1">
        <f ca="1">IFERROR(__xludf.DUMMYFUNCTION("""COMPUTED_VALUE"""),299.63)</f>
        <v>299.63</v>
      </c>
    </row>
    <row r="2321" spans="1:2">
      <c r="A2321" s="3">
        <f ca="1">IFERROR(__xludf.DUMMYFUNCTION("""COMPUTED_VALUE"""),32547.6666666666)</f>
        <v>32547.666666666599</v>
      </c>
      <c r="B2321" s="1">
        <f ca="1">IFERROR(__xludf.DUMMYFUNCTION("""COMPUTED_VALUE"""),298.65)</f>
        <v>298.64999999999998</v>
      </c>
    </row>
    <row r="2322" spans="1:2">
      <c r="A2322" s="3">
        <f ca="1">IFERROR(__xludf.DUMMYFUNCTION("""COMPUTED_VALUE"""),32548.6666666666)</f>
        <v>32548.666666666599</v>
      </c>
      <c r="B2322" s="1">
        <f ca="1">IFERROR(__xludf.DUMMYFUNCTION("""COMPUTED_VALUE"""),296.06)</f>
        <v>296.06</v>
      </c>
    </row>
    <row r="2323" spans="1:2">
      <c r="A2323" s="3">
        <f ca="1">IFERROR(__xludf.DUMMYFUNCTION("""COMPUTED_VALUE"""),32549.6666666666)</f>
        <v>32549.666666666599</v>
      </c>
      <c r="B2323" s="1">
        <f ca="1">IFERROR(__xludf.DUMMYFUNCTION("""COMPUTED_VALUE"""),292.02)</f>
        <v>292.02</v>
      </c>
    </row>
    <row r="2324" spans="1:2">
      <c r="A2324" s="3">
        <f ca="1">IFERROR(__xludf.DUMMYFUNCTION("""COMPUTED_VALUE"""),32552.6666666666)</f>
        <v>32552.666666666599</v>
      </c>
      <c r="B2324" s="1">
        <f ca="1">IFERROR(__xludf.DUMMYFUNCTION("""COMPUTED_VALUE"""),292.54)</f>
        <v>292.54000000000002</v>
      </c>
    </row>
    <row r="2325" spans="1:2">
      <c r="A2325" s="3">
        <f ca="1">IFERROR(__xludf.DUMMYFUNCTION("""COMPUTED_VALUE"""),32553.6666666666)</f>
        <v>32553.666666666599</v>
      </c>
      <c r="B2325" s="1">
        <f ca="1">IFERROR(__xludf.DUMMYFUNCTION("""COMPUTED_VALUE"""),291.81)</f>
        <v>291.81</v>
      </c>
    </row>
    <row r="2326" spans="1:2">
      <c r="A2326" s="3">
        <f ca="1">IFERROR(__xludf.DUMMYFUNCTION("""COMPUTED_VALUE"""),32554.6666666666)</f>
        <v>32554.666666666599</v>
      </c>
      <c r="B2326" s="1">
        <f ca="1">IFERROR(__xludf.DUMMYFUNCTION("""COMPUTED_VALUE"""),294.24)</f>
        <v>294.24</v>
      </c>
    </row>
    <row r="2327" spans="1:2">
      <c r="A2327" s="3">
        <f ca="1">IFERROR(__xludf.DUMMYFUNCTION("""COMPUTED_VALUE"""),32555.6666666666)</f>
        <v>32555.666666666599</v>
      </c>
      <c r="B2327" s="1">
        <f ca="1">IFERROR(__xludf.DUMMYFUNCTION("""COMPUTED_VALUE"""),294.81)</f>
        <v>294.81</v>
      </c>
    </row>
    <row r="2328" spans="1:2">
      <c r="A2328" s="3">
        <f ca="1">IFERROR(__xludf.DUMMYFUNCTION("""COMPUTED_VALUE"""),32556.6666666666)</f>
        <v>32556.666666666599</v>
      </c>
      <c r="B2328" s="1">
        <f ca="1">IFERROR(__xludf.DUMMYFUNCTION("""COMPUTED_VALUE"""),296.76)</f>
        <v>296.76</v>
      </c>
    </row>
    <row r="2329" spans="1:2">
      <c r="A2329" s="3">
        <f ca="1">IFERROR(__xludf.DUMMYFUNCTION("""COMPUTED_VALUE"""),32560.6666666666)</f>
        <v>32560.666666666599</v>
      </c>
      <c r="B2329" s="1">
        <f ca="1">IFERROR(__xludf.DUMMYFUNCTION("""COMPUTED_VALUE"""),295.98)</f>
        <v>295.98</v>
      </c>
    </row>
    <row r="2330" spans="1:2">
      <c r="A2330" s="3">
        <f ca="1">IFERROR(__xludf.DUMMYFUNCTION("""COMPUTED_VALUE"""),32561.6666666666)</f>
        <v>32561.666666666599</v>
      </c>
      <c r="B2330" s="1">
        <f ca="1">IFERROR(__xludf.DUMMYFUNCTION("""COMPUTED_VALUE"""),290.91)</f>
        <v>290.91000000000003</v>
      </c>
    </row>
    <row r="2331" spans="1:2">
      <c r="A2331" s="3">
        <f ca="1">IFERROR(__xludf.DUMMYFUNCTION("""COMPUTED_VALUE"""),32562.6666666666)</f>
        <v>32562.666666666599</v>
      </c>
      <c r="B2331" s="1">
        <f ca="1">IFERROR(__xludf.DUMMYFUNCTION("""COMPUTED_VALUE"""),292.05)</f>
        <v>292.05</v>
      </c>
    </row>
    <row r="2332" spans="1:2">
      <c r="A2332" s="3">
        <f ca="1">IFERROR(__xludf.DUMMYFUNCTION("""COMPUTED_VALUE"""),32563.6666666666)</f>
        <v>32563.666666666599</v>
      </c>
      <c r="B2332" s="1">
        <f ca="1">IFERROR(__xludf.DUMMYFUNCTION("""COMPUTED_VALUE"""),287.13)</f>
        <v>287.13</v>
      </c>
    </row>
    <row r="2333" spans="1:2">
      <c r="A2333" s="3">
        <f ca="1">IFERROR(__xludf.DUMMYFUNCTION("""COMPUTED_VALUE"""),32566.6666666666)</f>
        <v>32566.666666666599</v>
      </c>
      <c r="B2333" s="1">
        <f ca="1">IFERROR(__xludf.DUMMYFUNCTION("""COMPUTED_VALUE"""),287.82)</f>
        <v>287.82</v>
      </c>
    </row>
    <row r="2334" spans="1:2">
      <c r="A2334" s="3">
        <f ca="1">IFERROR(__xludf.DUMMYFUNCTION("""COMPUTED_VALUE"""),32567.6666666666)</f>
        <v>32567.666666666599</v>
      </c>
      <c r="B2334" s="1">
        <f ca="1">IFERROR(__xludf.DUMMYFUNCTION("""COMPUTED_VALUE"""),288.86)</f>
        <v>288.86</v>
      </c>
    </row>
    <row r="2335" spans="1:2">
      <c r="A2335" s="3">
        <f ca="1">IFERROR(__xludf.DUMMYFUNCTION("""COMPUTED_VALUE"""),32568.6666666666)</f>
        <v>32568.666666666599</v>
      </c>
      <c r="B2335" s="1">
        <f ca="1">IFERROR(__xludf.DUMMYFUNCTION("""COMPUTED_VALUE"""),287.11)</f>
        <v>287.11</v>
      </c>
    </row>
    <row r="2336" spans="1:2">
      <c r="A2336" s="3">
        <f ca="1">IFERROR(__xludf.DUMMYFUNCTION("""COMPUTED_VALUE"""),32569.6666666666)</f>
        <v>32569.666666666599</v>
      </c>
      <c r="B2336" s="1">
        <f ca="1">IFERROR(__xludf.DUMMYFUNCTION("""COMPUTED_VALUE"""),289.95)</f>
        <v>289.95</v>
      </c>
    </row>
    <row r="2337" spans="1:2">
      <c r="A2337" s="3">
        <f ca="1">IFERROR(__xludf.DUMMYFUNCTION("""COMPUTED_VALUE"""),32570.6666666666)</f>
        <v>32570.666666666599</v>
      </c>
      <c r="B2337" s="1">
        <f ca="1">IFERROR(__xludf.DUMMYFUNCTION("""COMPUTED_VALUE"""),291.18)</f>
        <v>291.18</v>
      </c>
    </row>
    <row r="2338" spans="1:2">
      <c r="A2338" s="3">
        <f ca="1">IFERROR(__xludf.DUMMYFUNCTION("""COMPUTED_VALUE"""),32573.6666666666)</f>
        <v>32573.666666666599</v>
      </c>
      <c r="B2338" s="1">
        <f ca="1">IFERROR(__xludf.DUMMYFUNCTION("""COMPUTED_VALUE"""),294.81)</f>
        <v>294.81</v>
      </c>
    </row>
    <row r="2339" spans="1:2">
      <c r="A2339" s="3">
        <f ca="1">IFERROR(__xludf.DUMMYFUNCTION("""COMPUTED_VALUE"""),32574.6666666666)</f>
        <v>32574.666666666599</v>
      </c>
      <c r="B2339" s="1">
        <f ca="1">IFERROR(__xludf.DUMMYFUNCTION("""COMPUTED_VALUE"""),293.87)</f>
        <v>293.87</v>
      </c>
    </row>
    <row r="2340" spans="1:2">
      <c r="A2340" s="3">
        <f ca="1">IFERROR(__xludf.DUMMYFUNCTION("""COMPUTED_VALUE"""),32575.6666666666)</f>
        <v>32575.666666666599</v>
      </c>
      <c r="B2340" s="1">
        <f ca="1">IFERROR(__xludf.DUMMYFUNCTION("""COMPUTED_VALUE"""),294.08)</f>
        <v>294.08</v>
      </c>
    </row>
    <row r="2341" spans="1:2">
      <c r="A2341" s="3">
        <f ca="1">IFERROR(__xludf.DUMMYFUNCTION("""COMPUTED_VALUE"""),32576.6666666666)</f>
        <v>32576.666666666599</v>
      </c>
      <c r="B2341" s="1">
        <f ca="1">IFERROR(__xludf.DUMMYFUNCTION("""COMPUTED_VALUE"""),293.93)</f>
        <v>293.93</v>
      </c>
    </row>
    <row r="2342" spans="1:2">
      <c r="A2342" s="3">
        <f ca="1">IFERROR(__xludf.DUMMYFUNCTION("""COMPUTED_VALUE"""),32577.6666666666)</f>
        <v>32577.666666666599</v>
      </c>
      <c r="B2342" s="1">
        <f ca="1">IFERROR(__xludf.DUMMYFUNCTION("""COMPUTED_VALUE"""),292.88)</f>
        <v>292.88</v>
      </c>
    </row>
    <row r="2343" spans="1:2">
      <c r="A2343" s="3">
        <f ca="1">IFERROR(__xludf.DUMMYFUNCTION("""COMPUTED_VALUE"""),32580.6666666666)</f>
        <v>32580.666666666599</v>
      </c>
      <c r="B2343" s="1">
        <f ca="1">IFERROR(__xludf.DUMMYFUNCTION("""COMPUTED_VALUE"""),295.32)</f>
        <v>295.32</v>
      </c>
    </row>
    <row r="2344" spans="1:2">
      <c r="A2344" s="3">
        <f ca="1">IFERROR(__xludf.DUMMYFUNCTION("""COMPUTED_VALUE"""),32581.6666666666)</f>
        <v>32581.666666666599</v>
      </c>
      <c r="B2344" s="1">
        <f ca="1">IFERROR(__xludf.DUMMYFUNCTION("""COMPUTED_VALUE"""),295.14)</f>
        <v>295.14</v>
      </c>
    </row>
    <row r="2345" spans="1:2">
      <c r="A2345" s="3">
        <f ca="1">IFERROR(__xludf.DUMMYFUNCTION("""COMPUTED_VALUE"""),32582.6666666666)</f>
        <v>32582.666666666599</v>
      </c>
      <c r="B2345" s="1">
        <f ca="1">IFERROR(__xludf.DUMMYFUNCTION("""COMPUTED_VALUE"""),296.67)</f>
        <v>296.67</v>
      </c>
    </row>
    <row r="2346" spans="1:2">
      <c r="A2346" s="3">
        <f ca="1">IFERROR(__xludf.DUMMYFUNCTION("""COMPUTED_VALUE"""),32583.6666666666)</f>
        <v>32583.666666666599</v>
      </c>
      <c r="B2346" s="1">
        <f ca="1">IFERROR(__xludf.DUMMYFUNCTION("""COMPUTED_VALUE"""),299.44)</f>
        <v>299.44</v>
      </c>
    </row>
    <row r="2347" spans="1:2">
      <c r="A2347" s="3">
        <f ca="1">IFERROR(__xludf.DUMMYFUNCTION("""COMPUTED_VALUE"""),32584.6666666666)</f>
        <v>32584.666666666599</v>
      </c>
      <c r="B2347" s="1">
        <f ca="1">IFERROR(__xludf.DUMMYFUNCTION("""COMPUTED_VALUE"""),292.69)</f>
        <v>292.69</v>
      </c>
    </row>
    <row r="2348" spans="1:2">
      <c r="A2348" s="3">
        <f ca="1">IFERROR(__xludf.DUMMYFUNCTION("""COMPUTED_VALUE"""),32587.6666666666)</f>
        <v>32587.666666666599</v>
      </c>
      <c r="B2348" s="1">
        <f ca="1">IFERROR(__xludf.DUMMYFUNCTION("""COMPUTED_VALUE"""),289.92)</f>
        <v>289.92</v>
      </c>
    </row>
    <row r="2349" spans="1:2">
      <c r="A2349" s="3">
        <f ca="1">IFERROR(__xludf.DUMMYFUNCTION("""COMPUTED_VALUE"""),32588.6666666666)</f>
        <v>32588.666666666599</v>
      </c>
      <c r="B2349" s="1">
        <f ca="1">IFERROR(__xludf.DUMMYFUNCTION("""COMPUTED_VALUE"""),291.33)</f>
        <v>291.33</v>
      </c>
    </row>
    <row r="2350" spans="1:2">
      <c r="A2350" s="3">
        <f ca="1">IFERROR(__xludf.DUMMYFUNCTION("""COMPUTED_VALUE"""),32589.6666666666)</f>
        <v>32589.666666666599</v>
      </c>
      <c r="B2350" s="1">
        <f ca="1">IFERROR(__xludf.DUMMYFUNCTION("""COMPUTED_VALUE"""),290.49)</f>
        <v>290.49</v>
      </c>
    </row>
    <row r="2351" spans="1:2">
      <c r="A2351" s="3">
        <f ca="1">IFERROR(__xludf.DUMMYFUNCTION("""COMPUTED_VALUE"""),32590.6666666666)</f>
        <v>32590.666666666599</v>
      </c>
      <c r="B2351" s="1">
        <f ca="1">IFERROR(__xludf.DUMMYFUNCTION("""COMPUTED_VALUE"""),288.98)</f>
        <v>288.98</v>
      </c>
    </row>
    <row r="2352" spans="1:2">
      <c r="A2352" s="3">
        <f ca="1">IFERROR(__xludf.DUMMYFUNCTION("""COMPUTED_VALUE"""),32591.6666666666)</f>
        <v>32591.666666666599</v>
      </c>
      <c r="B2352" s="1">
        <f ca="1">IFERROR(__xludf.DUMMYFUNCTION("""COMPUTED_VALUE"""),290.58)</f>
        <v>290.58</v>
      </c>
    </row>
    <row r="2353" spans="1:2">
      <c r="A2353" s="3">
        <f ca="1">IFERROR(__xludf.DUMMYFUNCTION("""COMPUTED_VALUE"""),32594.6666666666)</f>
        <v>32594.666666666599</v>
      </c>
      <c r="B2353" s="1">
        <f ca="1">IFERROR(__xludf.DUMMYFUNCTION("""COMPUTED_VALUE"""),290.57)</f>
        <v>290.57</v>
      </c>
    </row>
    <row r="2354" spans="1:2">
      <c r="A2354" s="3">
        <f ca="1">IFERROR(__xludf.DUMMYFUNCTION("""COMPUTED_VALUE"""),32595.6666666666)</f>
        <v>32595.666666666599</v>
      </c>
      <c r="B2354" s="1">
        <f ca="1">IFERROR(__xludf.DUMMYFUNCTION("""COMPUTED_VALUE"""),291.59)</f>
        <v>291.58999999999997</v>
      </c>
    </row>
    <row r="2355" spans="1:2">
      <c r="A2355" s="3">
        <f ca="1">IFERROR(__xludf.DUMMYFUNCTION("""COMPUTED_VALUE"""),32596.6666666666)</f>
        <v>32596.666666666599</v>
      </c>
      <c r="B2355" s="1">
        <f ca="1">IFERROR(__xludf.DUMMYFUNCTION("""COMPUTED_VALUE"""),292.35)</f>
        <v>292.35000000000002</v>
      </c>
    </row>
    <row r="2356" spans="1:2">
      <c r="A2356" s="3">
        <f ca="1">IFERROR(__xludf.DUMMYFUNCTION("""COMPUTED_VALUE"""),32597.6666666666)</f>
        <v>32597.666666666599</v>
      </c>
      <c r="B2356" s="1">
        <f ca="1">IFERROR(__xludf.DUMMYFUNCTION("""COMPUTED_VALUE"""),292.52)</f>
        <v>292.52</v>
      </c>
    </row>
    <row r="2357" spans="1:2">
      <c r="A2357" s="3">
        <f ca="1">IFERROR(__xludf.DUMMYFUNCTION("""COMPUTED_VALUE"""),32598.6666666666)</f>
        <v>32598.666666666599</v>
      </c>
      <c r="B2357" s="1">
        <f ca="1">IFERROR(__xludf.DUMMYFUNCTION("""COMPUTED_VALUE"""),294.87)</f>
        <v>294.87</v>
      </c>
    </row>
    <row r="2358" spans="1:2">
      <c r="A2358" s="3">
        <f ca="1">IFERROR(__xludf.DUMMYFUNCTION("""COMPUTED_VALUE"""),32601.6666666666)</f>
        <v>32601.666666666599</v>
      </c>
      <c r="B2358" s="1">
        <f ca="1">IFERROR(__xludf.DUMMYFUNCTION("""COMPUTED_VALUE"""),296.39)</f>
        <v>296.39</v>
      </c>
    </row>
    <row r="2359" spans="1:2">
      <c r="A2359" s="3">
        <f ca="1">IFERROR(__xludf.DUMMYFUNCTION("""COMPUTED_VALUE"""),32602.6666666666)</f>
        <v>32602.666666666599</v>
      </c>
      <c r="B2359" s="1">
        <f ca="1">IFERROR(__xludf.DUMMYFUNCTION("""COMPUTED_VALUE"""),295.31)</f>
        <v>295.31</v>
      </c>
    </row>
    <row r="2360" spans="1:2">
      <c r="A2360" s="3">
        <f ca="1">IFERROR(__xludf.DUMMYFUNCTION("""COMPUTED_VALUE"""),32603.6666666666)</f>
        <v>32603.666666666599</v>
      </c>
      <c r="B2360" s="1">
        <f ca="1">IFERROR(__xludf.DUMMYFUNCTION("""COMPUTED_VALUE"""),296.24)</f>
        <v>296.24</v>
      </c>
    </row>
    <row r="2361" spans="1:2">
      <c r="A2361" s="3">
        <f ca="1">IFERROR(__xludf.DUMMYFUNCTION("""COMPUTED_VALUE"""),32604.6666666666)</f>
        <v>32604.666666666599</v>
      </c>
      <c r="B2361" s="1">
        <f ca="1">IFERROR(__xludf.DUMMYFUNCTION("""COMPUTED_VALUE"""),295.29)</f>
        <v>295.29000000000002</v>
      </c>
    </row>
    <row r="2362" spans="1:2">
      <c r="A2362" s="3">
        <f ca="1">IFERROR(__xludf.DUMMYFUNCTION("""COMPUTED_VALUE"""),32605.6666666666)</f>
        <v>32605.666666666599</v>
      </c>
      <c r="B2362" s="1">
        <f ca="1">IFERROR(__xludf.DUMMYFUNCTION("""COMPUTED_VALUE"""),297.16)</f>
        <v>297.16000000000003</v>
      </c>
    </row>
    <row r="2363" spans="1:2">
      <c r="A2363" s="3">
        <f ca="1">IFERROR(__xludf.DUMMYFUNCTION("""COMPUTED_VALUE"""),32608.6666666666)</f>
        <v>32608.666666666599</v>
      </c>
      <c r="B2363" s="1">
        <f ca="1">IFERROR(__xludf.DUMMYFUNCTION("""COMPUTED_VALUE"""),297.11)</f>
        <v>297.11</v>
      </c>
    </row>
    <row r="2364" spans="1:2">
      <c r="A2364" s="3">
        <f ca="1">IFERROR(__xludf.DUMMYFUNCTION("""COMPUTED_VALUE"""),32609.6666666666)</f>
        <v>32609.666666666599</v>
      </c>
      <c r="B2364" s="1">
        <f ca="1">IFERROR(__xludf.DUMMYFUNCTION("""COMPUTED_VALUE"""),298.49)</f>
        <v>298.49</v>
      </c>
    </row>
    <row r="2365" spans="1:2">
      <c r="A2365" s="3">
        <f ca="1">IFERROR(__xludf.DUMMYFUNCTION("""COMPUTED_VALUE"""),32610.6666666666)</f>
        <v>32610.666666666599</v>
      </c>
      <c r="B2365" s="1">
        <f ca="1">IFERROR(__xludf.DUMMYFUNCTION("""COMPUTED_VALUE"""),298.99)</f>
        <v>298.99</v>
      </c>
    </row>
    <row r="2366" spans="1:2">
      <c r="A2366" s="3">
        <f ca="1">IFERROR(__xludf.DUMMYFUNCTION("""COMPUTED_VALUE"""),32611.6666666666)</f>
        <v>32611.666666666599</v>
      </c>
      <c r="B2366" s="1">
        <f ca="1">IFERROR(__xludf.DUMMYFUNCTION("""COMPUTED_VALUE"""),296.4)</f>
        <v>296.39999999999998</v>
      </c>
    </row>
    <row r="2367" spans="1:2">
      <c r="A2367" s="3">
        <f ca="1">IFERROR(__xludf.DUMMYFUNCTION("""COMPUTED_VALUE"""),32612.6666666666)</f>
        <v>32612.666666666599</v>
      </c>
      <c r="B2367" s="1">
        <f ca="1">IFERROR(__xludf.DUMMYFUNCTION("""COMPUTED_VALUE"""),301.36)</f>
        <v>301.36</v>
      </c>
    </row>
    <row r="2368" spans="1:2">
      <c r="A2368" s="3">
        <f ca="1">IFERROR(__xludf.DUMMYFUNCTION("""COMPUTED_VALUE"""),32615.6666666666)</f>
        <v>32615.666666666599</v>
      </c>
      <c r="B2368" s="1">
        <f ca="1">IFERROR(__xludf.DUMMYFUNCTION("""COMPUTED_VALUE"""),301.72)</f>
        <v>301.72000000000003</v>
      </c>
    </row>
    <row r="2369" spans="1:2">
      <c r="A2369" s="3">
        <f ca="1">IFERROR(__xludf.DUMMYFUNCTION("""COMPUTED_VALUE"""),32616.6666666666)</f>
        <v>32616.666666666599</v>
      </c>
      <c r="B2369" s="1">
        <f ca="1">IFERROR(__xludf.DUMMYFUNCTION("""COMPUTED_VALUE"""),306.02)</f>
        <v>306.02</v>
      </c>
    </row>
    <row r="2370" spans="1:2">
      <c r="A2370" s="3">
        <f ca="1">IFERROR(__xludf.DUMMYFUNCTION("""COMPUTED_VALUE"""),32617.6666666666)</f>
        <v>32617.666666666599</v>
      </c>
      <c r="B2370" s="1">
        <f ca="1">IFERROR(__xludf.DUMMYFUNCTION("""COMPUTED_VALUE"""),307.15)</f>
        <v>307.14999999999998</v>
      </c>
    </row>
    <row r="2371" spans="1:2">
      <c r="A2371" s="3">
        <f ca="1">IFERROR(__xludf.DUMMYFUNCTION("""COMPUTED_VALUE"""),32618.6666666666)</f>
        <v>32618.666666666599</v>
      </c>
      <c r="B2371" s="1">
        <f ca="1">IFERROR(__xludf.DUMMYFUNCTION("""COMPUTED_VALUE"""),306.19)</f>
        <v>306.19</v>
      </c>
    </row>
    <row r="2372" spans="1:2">
      <c r="A2372" s="3">
        <f ca="1">IFERROR(__xludf.DUMMYFUNCTION("""COMPUTED_VALUE"""),32619.6666666666)</f>
        <v>32619.666666666599</v>
      </c>
      <c r="B2372" s="1">
        <f ca="1">IFERROR(__xludf.DUMMYFUNCTION("""COMPUTED_VALUE"""),309.61)</f>
        <v>309.61</v>
      </c>
    </row>
    <row r="2373" spans="1:2">
      <c r="A2373" s="3">
        <f ca="1">IFERROR(__xludf.DUMMYFUNCTION("""COMPUTED_VALUE"""),32622.6666666666)</f>
        <v>32622.666666666599</v>
      </c>
      <c r="B2373" s="1">
        <f ca="1">IFERROR(__xludf.DUMMYFUNCTION("""COMPUTED_VALUE"""),308.69)</f>
        <v>308.69</v>
      </c>
    </row>
    <row r="2374" spans="1:2">
      <c r="A2374" s="3">
        <f ca="1">IFERROR(__xludf.DUMMYFUNCTION("""COMPUTED_VALUE"""),32623.6666666666)</f>
        <v>32623.666666666599</v>
      </c>
      <c r="B2374" s="1">
        <f ca="1">IFERROR(__xludf.DUMMYFUNCTION("""COMPUTED_VALUE"""),306.75)</f>
        <v>306.75</v>
      </c>
    </row>
    <row r="2375" spans="1:2">
      <c r="A2375" s="3">
        <f ca="1">IFERROR(__xludf.DUMMYFUNCTION("""COMPUTED_VALUE"""),32624.6666666666)</f>
        <v>32624.666666666599</v>
      </c>
      <c r="B2375" s="1">
        <f ca="1">IFERROR(__xludf.DUMMYFUNCTION("""COMPUTED_VALUE"""),306.93)</f>
        <v>306.93</v>
      </c>
    </row>
    <row r="2376" spans="1:2">
      <c r="A2376" s="3">
        <f ca="1">IFERROR(__xludf.DUMMYFUNCTION("""COMPUTED_VALUE"""),32625.6666666666)</f>
        <v>32625.666666666599</v>
      </c>
      <c r="B2376" s="1">
        <f ca="1">IFERROR(__xludf.DUMMYFUNCTION("""COMPUTED_VALUE"""),309.58)</f>
        <v>309.58</v>
      </c>
    </row>
    <row r="2377" spans="1:2">
      <c r="A2377" s="3">
        <f ca="1">IFERROR(__xludf.DUMMYFUNCTION("""COMPUTED_VALUE"""),32626.6666666666)</f>
        <v>32626.666666666599</v>
      </c>
      <c r="B2377" s="1">
        <f ca="1">IFERROR(__xludf.DUMMYFUNCTION("""COMPUTED_VALUE"""),309.64)</f>
        <v>309.64</v>
      </c>
    </row>
    <row r="2378" spans="1:2">
      <c r="A2378" s="3">
        <f ca="1">IFERROR(__xludf.DUMMYFUNCTION("""COMPUTED_VALUE"""),32629.6666666666)</f>
        <v>32629.666666666599</v>
      </c>
      <c r="B2378" s="1">
        <f ca="1">IFERROR(__xludf.DUMMYFUNCTION("""COMPUTED_VALUE"""),309.12)</f>
        <v>309.12</v>
      </c>
    </row>
    <row r="2379" spans="1:2">
      <c r="A2379" s="3">
        <f ca="1">IFERROR(__xludf.DUMMYFUNCTION("""COMPUTED_VALUE"""),32630.6666666666)</f>
        <v>32630.666666666599</v>
      </c>
      <c r="B2379" s="1">
        <f ca="1">IFERROR(__xludf.DUMMYFUNCTION("""COMPUTED_VALUE"""),308.12)</f>
        <v>308.12</v>
      </c>
    </row>
    <row r="2380" spans="1:2">
      <c r="A2380" s="3">
        <f ca="1">IFERROR(__xludf.DUMMYFUNCTION("""COMPUTED_VALUE"""),32631.6666666666)</f>
        <v>32631.666666666599</v>
      </c>
      <c r="B2380" s="1">
        <f ca="1">IFERROR(__xludf.DUMMYFUNCTION("""COMPUTED_VALUE"""),308.16)</f>
        <v>308.16000000000003</v>
      </c>
    </row>
    <row r="2381" spans="1:2">
      <c r="A2381" s="3">
        <f ca="1">IFERROR(__xludf.DUMMYFUNCTION("""COMPUTED_VALUE"""),32632.6666666666)</f>
        <v>32632.666666666599</v>
      </c>
      <c r="B2381" s="1">
        <f ca="1">IFERROR(__xludf.DUMMYFUNCTION("""COMPUTED_VALUE"""),307.77)</f>
        <v>307.77</v>
      </c>
    </row>
    <row r="2382" spans="1:2">
      <c r="A2382" s="3">
        <f ca="1">IFERROR(__xludf.DUMMYFUNCTION("""COMPUTED_VALUE"""),32633.6666666666)</f>
        <v>32633.666666666599</v>
      </c>
      <c r="B2382" s="1">
        <f ca="1">IFERROR(__xludf.DUMMYFUNCTION("""COMPUTED_VALUE"""),307.61)</f>
        <v>307.61</v>
      </c>
    </row>
    <row r="2383" spans="1:2">
      <c r="A2383" s="3">
        <f ca="1">IFERROR(__xludf.DUMMYFUNCTION("""COMPUTED_VALUE"""),32636.6666666666)</f>
        <v>32636.666666666599</v>
      </c>
      <c r="B2383" s="1">
        <f ca="1">IFERROR(__xludf.DUMMYFUNCTION("""COMPUTED_VALUE"""),306)</f>
        <v>306</v>
      </c>
    </row>
    <row r="2384" spans="1:2">
      <c r="A2384" s="3">
        <f ca="1">IFERROR(__xludf.DUMMYFUNCTION("""COMPUTED_VALUE"""),32637.6666666666)</f>
        <v>32637.666666666599</v>
      </c>
      <c r="B2384" s="1">
        <f ca="1">IFERROR(__xludf.DUMMYFUNCTION("""COMPUTED_VALUE"""),305.19)</f>
        <v>305.19</v>
      </c>
    </row>
    <row r="2385" spans="1:2">
      <c r="A2385" s="3">
        <f ca="1">IFERROR(__xludf.DUMMYFUNCTION("""COMPUTED_VALUE"""),32638.6666666666)</f>
        <v>32638.666666666599</v>
      </c>
      <c r="B2385" s="1">
        <f ca="1">IFERROR(__xludf.DUMMYFUNCTION("""COMPUTED_VALUE"""),305.8)</f>
        <v>305.8</v>
      </c>
    </row>
    <row r="2386" spans="1:2">
      <c r="A2386" s="3">
        <f ca="1">IFERROR(__xludf.DUMMYFUNCTION("""COMPUTED_VALUE"""),32639.6666666666)</f>
        <v>32639.666666666599</v>
      </c>
      <c r="B2386" s="1">
        <f ca="1">IFERROR(__xludf.DUMMYFUNCTION("""COMPUTED_VALUE"""),306.95)</f>
        <v>306.95</v>
      </c>
    </row>
    <row r="2387" spans="1:2">
      <c r="A2387" s="3">
        <f ca="1">IFERROR(__xludf.DUMMYFUNCTION("""COMPUTED_VALUE"""),32640.6666666666)</f>
        <v>32640.666666666599</v>
      </c>
      <c r="B2387" s="1">
        <f ca="1">IFERROR(__xludf.DUMMYFUNCTION("""COMPUTED_VALUE"""),313.84)</f>
        <v>313.83999999999997</v>
      </c>
    </row>
    <row r="2388" spans="1:2">
      <c r="A2388" s="3">
        <f ca="1">IFERROR(__xludf.DUMMYFUNCTION("""COMPUTED_VALUE"""),32643.6666666666)</f>
        <v>32643.666666666599</v>
      </c>
      <c r="B2388" s="1">
        <f ca="1">IFERROR(__xludf.DUMMYFUNCTION("""COMPUTED_VALUE"""),316.16)</f>
        <v>316.16000000000003</v>
      </c>
    </row>
    <row r="2389" spans="1:2">
      <c r="A2389" s="3">
        <f ca="1">IFERROR(__xludf.DUMMYFUNCTION("""COMPUTED_VALUE"""),32644.6666666666)</f>
        <v>32644.666666666599</v>
      </c>
      <c r="B2389" s="1">
        <f ca="1">IFERROR(__xludf.DUMMYFUNCTION("""COMPUTED_VALUE"""),315.28)</f>
        <v>315.27999999999997</v>
      </c>
    </row>
    <row r="2390" spans="1:2">
      <c r="A2390" s="3">
        <f ca="1">IFERROR(__xludf.DUMMYFUNCTION("""COMPUTED_VALUE"""),32645.6666666666)</f>
        <v>32645.666666666599</v>
      </c>
      <c r="B2390" s="1">
        <f ca="1">IFERROR(__xludf.DUMMYFUNCTION("""COMPUTED_VALUE"""),317.48)</f>
        <v>317.48</v>
      </c>
    </row>
    <row r="2391" spans="1:2">
      <c r="A2391" s="3">
        <f ca="1">IFERROR(__xludf.DUMMYFUNCTION("""COMPUTED_VALUE"""),32646.6666666666)</f>
        <v>32646.666666666599</v>
      </c>
      <c r="B2391" s="1">
        <f ca="1">IFERROR(__xludf.DUMMYFUNCTION("""COMPUTED_VALUE"""),317.97)</f>
        <v>317.97000000000003</v>
      </c>
    </row>
    <row r="2392" spans="1:2">
      <c r="A2392" s="3">
        <f ca="1">IFERROR(__xludf.DUMMYFUNCTION("""COMPUTED_VALUE"""),32647.6666666666)</f>
        <v>32647.666666666599</v>
      </c>
      <c r="B2392" s="1">
        <f ca="1">IFERROR(__xludf.DUMMYFUNCTION("""COMPUTED_VALUE"""),321.24)</f>
        <v>321.24</v>
      </c>
    </row>
    <row r="2393" spans="1:2">
      <c r="A2393" s="3">
        <f ca="1">IFERROR(__xludf.DUMMYFUNCTION("""COMPUTED_VALUE"""),32650.6666666666)</f>
        <v>32650.666666666599</v>
      </c>
      <c r="B2393" s="1">
        <f ca="1">IFERROR(__xludf.DUMMYFUNCTION("""COMPUTED_VALUE"""),321.98)</f>
        <v>321.98</v>
      </c>
    </row>
    <row r="2394" spans="1:2">
      <c r="A2394" s="3">
        <f ca="1">IFERROR(__xludf.DUMMYFUNCTION("""COMPUTED_VALUE"""),32651.6666666666)</f>
        <v>32651.666666666599</v>
      </c>
      <c r="B2394" s="1">
        <f ca="1">IFERROR(__xludf.DUMMYFUNCTION("""COMPUTED_VALUE"""),318.32)</f>
        <v>318.32</v>
      </c>
    </row>
    <row r="2395" spans="1:2">
      <c r="A2395" s="3">
        <f ca="1">IFERROR(__xludf.DUMMYFUNCTION("""COMPUTED_VALUE"""),32652.6666666666)</f>
        <v>32652.666666666599</v>
      </c>
      <c r="B2395" s="1">
        <f ca="1">IFERROR(__xludf.DUMMYFUNCTION("""COMPUTED_VALUE"""),319.14)</f>
        <v>319.14</v>
      </c>
    </row>
    <row r="2396" spans="1:2">
      <c r="A2396" s="3">
        <f ca="1">IFERROR(__xludf.DUMMYFUNCTION("""COMPUTED_VALUE"""),32653.6666666666)</f>
        <v>32653.666666666599</v>
      </c>
      <c r="B2396" s="1">
        <f ca="1">IFERROR(__xludf.DUMMYFUNCTION("""COMPUTED_VALUE"""),319.17)</f>
        <v>319.17</v>
      </c>
    </row>
    <row r="2397" spans="1:2">
      <c r="A2397" s="3">
        <f ca="1">IFERROR(__xludf.DUMMYFUNCTION("""COMPUTED_VALUE"""),32654.6666666666)</f>
        <v>32654.666666666599</v>
      </c>
      <c r="B2397" s="1">
        <f ca="1">IFERROR(__xludf.DUMMYFUNCTION("""COMPUTED_VALUE"""),321.59)</f>
        <v>321.58999999999997</v>
      </c>
    </row>
    <row r="2398" spans="1:2">
      <c r="A2398" s="3">
        <f ca="1">IFERROR(__xludf.DUMMYFUNCTION("""COMPUTED_VALUE"""),32657.6666666666)</f>
        <v>32657.666666666599</v>
      </c>
      <c r="B2398" s="1">
        <f ca="1">IFERROR(__xludf.DUMMYFUNCTION("""COMPUTED_VALUE"""),319.05)</f>
        <v>319.05</v>
      </c>
    </row>
    <row r="2399" spans="1:2">
      <c r="A2399" s="3">
        <f ca="1">IFERROR(__xludf.DUMMYFUNCTION("""COMPUTED_VALUE"""),32658.6666666666)</f>
        <v>32658.666666666599</v>
      </c>
      <c r="B2399" s="1">
        <f ca="1">IFERROR(__xludf.DUMMYFUNCTION("""COMPUTED_VALUE"""),319.05)</f>
        <v>319.05</v>
      </c>
    </row>
    <row r="2400" spans="1:2">
      <c r="A2400" s="3">
        <f ca="1">IFERROR(__xludf.DUMMYFUNCTION("""COMPUTED_VALUE"""),32659.6666666666)</f>
        <v>32659.666666666599</v>
      </c>
      <c r="B2400" s="1">
        <f ca="1">IFERROR(__xludf.DUMMYFUNCTION("""COMPUTED_VALUE"""),320.52)</f>
        <v>320.52</v>
      </c>
    </row>
    <row r="2401" spans="1:2">
      <c r="A2401" s="3">
        <f ca="1">IFERROR(__xludf.DUMMYFUNCTION("""COMPUTED_VALUE"""),32660.6666666666)</f>
        <v>32660.666666666599</v>
      </c>
      <c r="B2401" s="1">
        <f ca="1">IFERROR(__xludf.DUMMYFUNCTION("""COMPUTED_VALUE"""),321.97)</f>
        <v>321.97000000000003</v>
      </c>
    </row>
    <row r="2402" spans="1:2">
      <c r="A2402" s="3">
        <f ca="1">IFERROR(__xludf.DUMMYFUNCTION("""COMPUTED_VALUE"""),32661.6666666666)</f>
        <v>32661.666666666599</v>
      </c>
      <c r="B2402" s="1">
        <f ca="1">IFERROR(__xludf.DUMMYFUNCTION("""COMPUTED_VALUE"""),325.52)</f>
        <v>325.52</v>
      </c>
    </row>
    <row r="2403" spans="1:2">
      <c r="A2403" s="3">
        <f ca="1">IFERROR(__xludf.DUMMYFUNCTION("""COMPUTED_VALUE"""),32664.6666666666)</f>
        <v>32664.666666666599</v>
      </c>
      <c r="B2403" s="1">
        <f ca="1">IFERROR(__xludf.DUMMYFUNCTION("""COMPUTED_VALUE"""),322.03)</f>
        <v>322.02999999999997</v>
      </c>
    </row>
    <row r="2404" spans="1:2">
      <c r="A2404" s="3">
        <f ca="1">IFERROR(__xludf.DUMMYFUNCTION("""COMPUTED_VALUE"""),32665.6666666666)</f>
        <v>32665.666666666599</v>
      </c>
      <c r="B2404" s="1">
        <f ca="1">IFERROR(__xludf.DUMMYFUNCTION("""COMPUTED_VALUE"""),324.24)</f>
        <v>324.24</v>
      </c>
    </row>
    <row r="2405" spans="1:2">
      <c r="A2405" s="3">
        <f ca="1">IFERROR(__xludf.DUMMYFUNCTION("""COMPUTED_VALUE"""),32666.6666666666)</f>
        <v>32666.666666666599</v>
      </c>
      <c r="B2405" s="1">
        <f ca="1">IFERROR(__xludf.DUMMYFUNCTION("""COMPUTED_VALUE"""),326.95)</f>
        <v>326.95</v>
      </c>
    </row>
    <row r="2406" spans="1:2">
      <c r="A2406" s="3">
        <f ca="1">IFERROR(__xludf.DUMMYFUNCTION("""COMPUTED_VALUE"""),32667.6666666666)</f>
        <v>32667.666666666599</v>
      </c>
      <c r="B2406" s="1">
        <f ca="1">IFERROR(__xludf.DUMMYFUNCTION("""COMPUTED_VALUE"""),326.75)</f>
        <v>326.75</v>
      </c>
    </row>
    <row r="2407" spans="1:2">
      <c r="A2407" s="3">
        <f ca="1">IFERROR(__xludf.DUMMYFUNCTION("""COMPUTED_VALUE"""),32668.6666666666)</f>
        <v>32668.666666666599</v>
      </c>
      <c r="B2407" s="1">
        <f ca="1">IFERROR(__xludf.DUMMYFUNCTION("""COMPUTED_VALUE"""),326.69)</f>
        <v>326.69</v>
      </c>
    </row>
    <row r="2408" spans="1:2">
      <c r="A2408" s="3">
        <f ca="1">IFERROR(__xludf.DUMMYFUNCTION("""COMPUTED_VALUE"""),32671.6666666666)</f>
        <v>32671.666666666599</v>
      </c>
      <c r="B2408" s="1">
        <f ca="1">IFERROR(__xludf.DUMMYFUNCTION("""COMPUTED_VALUE"""),326.24)</f>
        <v>326.24</v>
      </c>
    </row>
    <row r="2409" spans="1:2">
      <c r="A2409" s="3">
        <f ca="1">IFERROR(__xludf.DUMMYFUNCTION("""COMPUTED_VALUE"""),32672.6666666666)</f>
        <v>32672.666666666599</v>
      </c>
      <c r="B2409" s="1">
        <f ca="1">IFERROR(__xludf.DUMMYFUNCTION("""COMPUTED_VALUE"""),323.91)</f>
        <v>323.91000000000003</v>
      </c>
    </row>
    <row r="2410" spans="1:2">
      <c r="A2410" s="3">
        <f ca="1">IFERROR(__xludf.DUMMYFUNCTION("""COMPUTED_VALUE"""),32673.6666666666)</f>
        <v>32673.666666666599</v>
      </c>
      <c r="B2410" s="1">
        <f ca="1">IFERROR(__xludf.DUMMYFUNCTION("""COMPUTED_VALUE"""),323.83)</f>
        <v>323.83</v>
      </c>
    </row>
    <row r="2411" spans="1:2">
      <c r="A2411" s="3">
        <f ca="1">IFERROR(__xludf.DUMMYFUNCTION("""COMPUTED_VALUE"""),32674.6666666666)</f>
        <v>32674.666666666599</v>
      </c>
      <c r="B2411" s="1">
        <f ca="1">IFERROR(__xludf.DUMMYFUNCTION("""COMPUTED_VALUE"""),320.08)</f>
        <v>320.08</v>
      </c>
    </row>
    <row r="2412" spans="1:2">
      <c r="A2412" s="3">
        <f ca="1">IFERROR(__xludf.DUMMYFUNCTION("""COMPUTED_VALUE"""),32675.6666666666)</f>
        <v>32675.666666666599</v>
      </c>
      <c r="B2412" s="1">
        <f ca="1">IFERROR(__xludf.DUMMYFUNCTION("""COMPUTED_VALUE"""),321.35)</f>
        <v>321.35000000000002</v>
      </c>
    </row>
    <row r="2413" spans="1:2">
      <c r="A2413" s="3">
        <f ca="1">IFERROR(__xludf.DUMMYFUNCTION("""COMPUTED_VALUE"""),32678.6666666666)</f>
        <v>32678.666666666599</v>
      </c>
      <c r="B2413" s="1">
        <f ca="1">IFERROR(__xludf.DUMMYFUNCTION("""COMPUTED_VALUE"""),321.89)</f>
        <v>321.89</v>
      </c>
    </row>
    <row r="2414" spans="1:2">
      <c r="A2414" s="3">
        <f ca="1">IFERROR(__xludf.DUMMYFUNCTION("""COMPUTED_VALUE"""),32679.6666666666)</f>
        <v>32679.666666666599</v>
      </c>
      <c r="B2414" s="1">
        <f ca="1">IFERROR(__xludf.DUMMYFUNCTION("""COMPUTED_VALUE"""),321.25)</f>
        <v>321.25</v>
      </c>
    </row>
    <row r="2415" spans="1:2">
      <c r="A2415" s="3">
        <f ca="1">IFERROR(__xludf.DUMMYFUNCTION("""COMPUTED_VALUE"""),32680.6666666666)</f>
        <v>32680.666666666599</v>
      </c>
      <c r="B2415" s="1">
        <f ca="1">IFERROR(__xludf.DUMMYFUNCTION("""COMPUTED_VALUE"""),320.48)</f>
        <v>320.48</v>
      </c>
    </row>
    <row r="2416" spans="1:2">
      <c r="A2416" s="3">
        <f ca="1">IFERROR(__xludf.DUMMYFUNCTION("""COMPUTED_VALUE"""),32681.6666666666)</f>
        <v>32681.666666666599</v>
      </c>
      <c r="B2416" s="1">
        <f ca="1">IFERROR(__xludf.DUMMYFUNCTION("""COMPUTED_VALUE"""),322.32)</f>
        <v>322.32</v>
      </c>
    </row>
    <row r="2417" spans="1:2">
      <c r="A2417" s="3">
        <f ca="1">IFERROR(__xludf.DUMMYFUNCTION("""COMPUTED_VALUE"""),32682.6666666666)</f>
        <v>32682.666666666599</v>
      </c>
      <c r="B2417" s="1">
        <f ca="1">IFERROR(__xludf.DUMMYFUNCTION("""COMPUTED_VALUE"""),328)</f>
        <v>328</v>
      </c>
    </row>
    <row r="2418" spans="1:2">
      <c r="A2418" s="3">
        <f ca="1">IFERROR(__xludf.DUMMYFUNCTION("""COMPUTED_VALUE"""),32685.6666666666)</f>
        <v>32685.666666666599</v>
      </c>
      <c r="B2418" s="1">
        <f ca="1">IFERROR(__xludf.DUMMYFUNCTION("""COMPUTED_VALUE"""),326.6)</f>
        <v>326.60000000000002</v>
      </c>
    </row>
    <row r="2419" spans="1:2">
      <c r="A2419" s="3">
        <f ca="1">IFERROR(__xludf.DUMMYFUNCTION("""COMPUTED_VALUE"""),32686.6666666666)</f>
        <v>32686.666666666599</v>
      </c>
      <c r="B2419" s="1">
        <f ca="1">IFERROR(__xludf.DUMMYFUNCTION("""COMPUTED_VALUE"""),328.44)</f>
        <v>328.44</v>
      </c>
    </row>
    <row r="2420" spans="1:2">
      <c r="A2420" s="3">
        <f ca="1">IFERROR(__xludf.DUMMYFUNCTION("""COMPUTED_VALUE"""),32687.6666666666)</f>
        <v>32687.666666666599</v>
      </c>
      <c r="B2420" s="1">
        <f ca="1">IFERROR(__xludf.DUMMYFUNCTION("""COMPUTED_VALUE"""),325.81)</f>
        <v>325.81</v>
      </c>
    </row>
    <row r="2421" spans="1:2">
      <c r="A2421" s="3">
        <f ca="1">IFERROR(__xludf.DUMMYFUNCTION("""COMPUTED_VALUE"""),32688.6666666666)</f>
        <v>32688.666666666599</v>
      </c>
      <c r="B2421" s="1">
        <f ca="1">IFERROR(__xludf.DUMMYFUNCTION("""COMPUTED_VALUE"""),319.68)</f>
        <v>319.68</v>
      </c>
    </row>
    <row r="2422" spans="1:2">
      <c r="A2422" s="3">
        <f ca="1">IFERROR(__xludf.DUMMYFUNCTION("""COMPUTED_VALUE"""),32689.6666666666)</f>
        <v>32689.666666666599</v>
      </c>
      <c r="B2422" s="1">
        <f ca="1">IFERROR(__xludf.DUMMYFUNCTION("""COMPUTED_VALUE"""),317.98)</f>
        <v>317.98</v>
      </c>
    </row>
    <row r="2423" spans="1:2">
      <c r="A2423" s="3">
        <f ca="1">IFERROR(__xludf.DUMMYFUNCTION("""COMPUTED_VALUE"""),32692.6666666666)</f>
        <v>32692.666666666599</v>
      </c>
      <c r="B2423" s="1">
        <f ca="1">IFERROR(__xludf.DUMMYFUNCTION("""COMPUTED_VALUE"""),319.23)</f>
        <v>319.23</v>
      </c>
    </row>
    <row r="2424" spans="1:2">
      <c r="A2424" s="3">
        <f ca="1">IFERROR(__xludf.DUMMYFUNCTION("""COMPUTED_VALUE"""),32693.6666666666)</f>
        <v>32693.666666666599</v>
      </c>
      <c r="B2424" s="1">
        <f ca="1">IFERROR(__xludf.DUMMYFUNCTION("""COMPUTED_VALUE"""),320.64)</f>
        <v>320.64</v>
      </c>
    </row>
    <row r="2425" spans="1:2">
      <c r="A2425" s="3">
        <f ca="1">IFERROR(__xludf.DUMMYFUNCTION("""COMPUTED_VALUE"""),32694.6666666666)</f>
        <v>32694.666666666599</v>
      </c>
      <c r="B2425" s="1">
        <f ca="1">IFERROR(__xludf.DUMMYFUNCTION("""COMPUTED_VALUE"""),320.64)</f>
        <v>320.64</v>
      </c>
    </row>
    <row r="2426" spans="1:2">
      <c r="A2426" s="3">
        <f ca="1">IFERROR(__xludf.DUMMYFUNCTION("""COMPUTED_VALUE"""),32695.6666666666)</f>
        <v>32695.666666666599</v>
      </c>
      <c r="B2426" s="1">
        <f ca="1">IFERROR(__xludf.DUMMYFUNCTION("""COMPUTED_VALUE"""),321.55)</f>
        <v>321.55</v>
      </c>
    </row>
    <row r="2427" spans="1:2">
      <c r="A2427" s="3">
        <f ca="1">IFERROR(__xludf.DUMMYFUNCTION("""COMPUTED_VALUE"""),32696.6666666666)</f>
        <v>32696.666666666599</v>
      </c>
      <c r="B2427" s="1">
        <f ca="1">IFERROR(__xludf.DUMMYFUNCTION("""COMPUTED_VALUE"""),324.91)</f>
        <v>324.91000000000003</v>
      </c>
    </row>
    <row r="2428" spans="1:2">
      <c r="A2428" s="3">
        <f ca="1">IFERROR(__xludf.DUMMYFUNCTION("""COMPUTED_VALUE"""),32699.6666666666)</f>
        <v>32699.666666666599</v>
      </c>
      <c r="B2428" s="1">
        <f ca="1">IFERROR(__xludf.DUMMYFUNCTION("""COMPUTED_VALUE"""),327.07)</f>
        <v>327.07</v>
      </c>
    </row>
    <row r="2429" spans="1:2">
      <c r="A2429" s="3">
        <f ca="1">IFERROR(__xludf.DUMMYFUNCTION("""COMPUTED_VALUE"""),32700.6666666666)</f>
        <v>32700.666666666599</v>
      </c>
      <c r="B2429" s="1">
        <f ca="1">IFERROR(__xludf.DUMMYFUNCTION("""COMPUTED_VALUE"""),328.78)</f>
        <v>328.78</v>
      </c>
    </row>
    <row r="2430" spans="1:2">
      <c r="A2430" s="3">
        <f ca="1">IFERROR(__xludf.DUMMYFUNCTION("""COMPUTED_VALUE"""),32701.6666666666)</f>
        <v>32701.666666666599</v>
      </c>
      <c r="B2430" s="1">
        <f ca="1">IFERROR(__xludf.DUMMYFUNCTION("""COMPUTED_VALUE"""),329.81)</f>
        <v>329.81</v>
      </c>
    </row>
    <row r="2431" spans="1:2">
      <c r="A2431" s="3">
        <f ca="1">IFERROR(__xludf.DUMMYFUNCTION("""COMPUTED_VALUE"""),32702.6666666666)</f>
        <v>32702.666666666599</v>
      </c>
      <c r="B2431" s="1">
        <f ca="1">IFERROR(__xludf.DUMMYFUNCTION("""COMPUTED_VALUE"""),329.95)</f>
        <v>329.95</v>
      </c>
    </row>
    <row r="2432" spans="1:2">
      <c r="A2432" s="3">
        <f ca="1">IFERROR(__xludf.DUMMYFUNCTION("""COMPUTED_VALUE"""),32703.6666666666)</f>
        <v>32703.666666666599</v>
      </c>
      <c r="B2432" s="1">
        <f ca="1">IFERROR(__xludf.DUMMYFUNCTION("""COMPUTED_VALUE"""),331.84)</f>
        <v>331.84</v>
      </c>
    </row>
    <row r="2433" spans="1:2">
      <c r="A2433" s="3">
        <f ca="1">IFERROR(__xludf.DUMMYFUNCTION("""COMPUTED_VALUE"""),32706.6666666666)</f>
        <v>32706.666666666599</v>
      </c>
      <c r="B2433" s="1">
        <f ca="1">IFERROR(__xludf.DUMMYFUNCTION("""COMPUTED_VALUE"""),332.44)</f>
        <v>332.44</v>
      </c>
    </row>
    <row r="2434" spans="1:2">
      <c r="A2434" s="3">
        <f ca="1">IFERROR(__xludf.DUMMYFUNCTION("""COMPUTED_VALUE"""),32707.6666666666)</f>
        <v>32707.666666666599</v>
      </c>
      <c r="B2434" s="1">
        <f ca="1">IFERROR(__xludf.DUMMYFUNCTION("""COMPUTED_VALUE"""),331.35)</f>
        <v>331.35</v>
      </c>
    </row>
    <row r="2435" spans="1:2">
      <c r="A2435" s="3">
        <f ca="1">IFERROR(__xludf.DUMMYFUNCTION("""COMPUTED_VALUE"""),32708.6666666666)</f>
        <v>32708.666666666599</v>
      </c>
      <c r="B2435" s="1">
        <f ca="1">IFERROR(__xludf.DUMMYFUNCTION("""COMPUTED_VALUE"""),335.73)</f>
        <v>335.73</v>
      </c>
    </row>
    <row r="2436" spans="1:2">
      <c r="A2436" s="3">
        <f ca="1">IFERROR(__xludf.DUMMYFUNCTION("""COMPUTED_VALUE"""),32709.6666666666)</f>
        <v>32709.666666666599</v>
      </c>
      <c r="B2436" s="1">
        <f ca="1">IFERROR(__xludf.DUMMYFUNCTION("""COMPUTED_VALUE"""),333.51)</f>
        <v>333.51</v>
      </c>
    </row>
    <row r="2437" spans="1:2">
      <c r="A2437" s="3">
        <f ca="1">IFERROR(__xludf.DUMMYFUNCTION("""COMPUTED_VALUE"""),32710.6666666666)</f>
        <v>32710.666666666599</v>
      </c>
      <c r="B2437" s="1">
        <f ca="1">IFERROR(__xludf.DUMMYFUNCTION("""COMPUTED_VALUE"""),335.9)</f>
        <v>335.9</v>
      </c>
    </row>
    <row r="2438" spans="1:2">
      <c r="A2438" s="3">
        <f ca="1">IFERROR(__xludf.DUMMYFUNCTION("""COMPUTED_VALUE"""),32713.6666666666)</f>
        <v>32713.666666666599</v>
      </c>
      <c r="B2438" s="1">
        <f ca="1">IFERROR(__xludf.DUMMYFUNCTION("""COMPUTED_VALUE"""),333.67)</f>
        <v>333.67</v>
      </c>
    </row>
    <row r="2439" spans="1:2">
      <c r="A2439" s="3">
        <f ca="1">IFERROR(__xludf.DUMMYFUNCTION("""COMPUTED_VALUE"""),32714.6666666666)</f>
        <v>32714.666666666599</v>
      </c>
      <c r="B2439" s="1">
        <f ca="1">IFERROR(__xludf.DUMMYFUNCTION("""COMPUTED_VALUE"""),333.88)</f>
        <v>333.88</v>
      </c>
    </row>
    <row r="2440" spans="1:2">
      <c r="A2440" s="3">
        <f ca="1">IFERROR(__xludf.DUMMYFUNCTION("""COMPUTED_VALUE"""),32715.6666666666)</f>
        <v>32715.666666666599</v>
      </c>
      <c r="B2440" s="1">
        <f ca="1">IFERROR(__xludf.DUMMYFUNCTION("""COMPUTED_VALUE"""),338.05)</f>
        <v>338.05</v>
      </c>
    </row>
    <row r="2441" spans="1:2">
      <c r="A2441" s="3">
        <f ca="1">IFERROR(__xludf.DUMMYFUNCTION("""COMPUTED_VALUE"""),32716.6666666666)</f>
        <v>32716.666666666599</v>
      </c>
      <c r="B2441" s="1">
        <f ca="1">IFERROR(__xludf.DUMMYFUNCTION("""COMPUTED_VALUE"""),341.99)</f>
        <v>341.99</v>
      </c>
    </row>
    <row r="2442" spans="1:2">
      <c r="A2442" s="3">
        <f ca="1">IFERROR(__xludf.DUMMYFUNCTION("""COMPUTED_VALUE"""),32717.6666666666)</f>
        <v>32717.666666666599</v>
      </c>
      <c r="B2442" s="1">
        <f ca="1">IFERROR(__xludf.DUMMYFUNCTION("""COMPUTED_VALUE"""),342.15)</f>
        <v>342.15</v>
      </c>
    </row>
    <row r="2443" spans="1:2">
      <c r="A2443" s="3">
        <f ca="1">IFERROR(__xludf.DUMMYFUNCTION("""COMPUTED_VALUE"""),32720.6666666666)</f>
        <v>32720.666666666599</v>
      </c>
      <c r="B2443" s="1">
        <f ca="1">IFERROR(__xludf.DUMMYFUNCTION("""COMPUTED_VALUE"""),346.08)</f>
        <v>346.08</v>
      </c>
    </row>
    <row r="2444" spans="1:2">
      <c r="A2444" s="3">
        <f ca="1">IFERROR(__xludf.DUMMYFUNCTION("""COMPUTED_VALUE"""),32721.6666666666)</f>
        <v>32721.666666666599</v>
      </c>
      <c r="B2444" s="1">
        <f ca="1">IFERROR(__xludf.DUMMYFUNCTION("""COMPUTED_VALUE"""),343.75)</f>
        <v>343.75</v>
      </c>
    </row>
    <row r="2445" spans="1:2">
      <c r="A2445" s="3">
        <f ca="1">IFERROR(__xludf.DUMMYFUNCTION("""COMPUTED_VALUE"""),32722.6666666666)</f>
        <v>32722.666666666599</v>
      </c>
      <c r="B2445" s="1">
        <f ca="1">IFERROR(__xludf.DUMMYFUNCTION("""COMPUTED_VALUE"""),344.34)</f>
        <v>344.34</v>
      </c>
    </row>
    <row r="2446" spans="1:2">
      <c r="A2446" s="3">
        <f ca="1">IFERROR(__xludf.DUMMYFUNCTION("""COMPUTED_VALUE"""),32723.6666666666)</f>
        <v>32723.666666666599</v>
      </c>
      <c r="B2446" s="1">
        <f ca="1">IFERROR(__xludf.DUMMYFUNCTION("""COMPUTED_VALUE"""),344.74)</f>
        <v>344.74</v>
      </c>
    </row>
    <row r="2447" spans="1:2">
      <c r="A2447" s="3">
        <f ca="1">IFERROR(__xludf.DUMMYFUNCTION("""COMPUTED_VALUE"""),32724.6666666666)</f>
        <v>32724.666666666599</v>
      </c>
      <c r="B2447" s="1">
        <f ca="1">IFERROR(__xludf.DUMMYFUNCTION("""COMPUTED_VALUE"""),343.92)</f>
        <v>343.92</v>
      </c>
    </row>
    <row r="2448" spans="1:2">
      <c r="A2448" s="3">
        <f ca="1">IFERROR(__xludf.DUMMYFUNCTION("""COMPUTED_VALUE"""),32727.6666666666)</f>
        <v>32727.666666666599</v>
      </c>
      <c r="B2448" s="1">
        <f ca="1">IFERROR(__xludf.DUMMYFUNCTION("""COMPUTED_VALUE"""),349.41)</f>
        <v>349.41</v>
      </c>
    </row>
    <row r="2449" spans="1:2">
      <c r="A2449" s="3">
        <f ca="1">IFERROR(__xludf.DUMMYFUNCTION("""COMPUTED_VALUE"""),32728.6666666666)</f>
        <v>32728.666666666599</v>
      </c>
      <c r="B2449" s="1">
        <f ca="1">IFERROR(__xludf.DUMMYFUNCTION("""COMPUTED_VALUE"""),349.35)</f>
        <v>349.35</v>
      </c>
    </row>
    <row r="2450" spans="1:2">
      <c r="A2450" s="3">
        <f ca="1">IFERROR(__xludf.DUMMYFUNCTION("""COMPUTED_VALUE"""),32729.6666666666)</f>
        <v>32729.666666666599</v>
      </c>
      <c r="B2450" s="1">
        <f ca="1">IFERROR(__xludf.DUMMYFUNCTION("""COMPUTED_VALUE"""),346.94)</f>
        <v>346.94</v>
      </c>
    </row>
    <row r="2451" spans="1:2">
      <c r="A2451" s="3">
        <f ca="1">IFERROR(__xludf.DUMMYFUNCTION("""COMPUTED_VALUE"""),32730.6666666666)</f>
        <v>32730.666666666599</v>
      </c>
      <c r="B2451" s="1">
        <f ca="1">IFERROR(__xludf.DUMMYFUNCTION("""COMPUTED_VALUE"""),348.25)</f>
        <v>348.25</v>
      </c>
    </row>
    <row r="2452" spans="1:2">
      <c r="A2452" s="3">
        <f ca="1">IFERROR(__xludf.DUMMYFUNCTION("""COMPUTED_VALUE"""),32731.6666666666)</f>
        <v>32731.666666666599</v>
      </c>
      <c r="B2452" s="1">
        <f ca="1">IFERROR(__xludf.DUMMYFUNCTION("""COMPUTED_VALUE"""),344.74)</f>
        <v>344.74</v>
      </c>
    </row>
    <row r="2453" spans="1:2">
      <c r="A2453" s="3">
        <f ca="1">IFERROR(__xludf.DUMMYFUNCTION("""COMPUTED_VALUE"""),32734.6666666666)</f>
        <v>32734.666666666599</v>
      </c>
      <c r="B2453" s="1">
        <f ca="1">IFERROR(__xludf.DUMMYFUNCTION("""COMPUTED_VALUE"""),343.06)</f>
        <v>343.06</v>
      </c>
    </row>
    <row r="2454" spans="1:2">
      <c r="A2454" s="3">
        <f ca="1">IFERROR(__xludf.DUMMYFUNCTION("""COMPUTED_VALUE"""),32735.6666666666)</f>
        <v>32735.666666666599</v>
      </c>
      <c r="B2454" s="1">
        <f ca="1">IFERROR(__xludf.DUMMYFUNCTION("""COMPUTED_VALUE"""),344.71)</f>
        <v>344.71</v>
      </c>
    </row>
    <row r="2455" spans="1:2">
      <c r="A2455" s="3">
        <f ca="1">IFERROR(__xludf.DUMMYFUNCTION("""COMPUTED_VALUE"""),32736.6666666666)</f>
        <v>32736.666666666599</v>
      </c>
      <c r="B2455" s="1">
        <f ca="1">IFERROR(__xludf.DUMMYFUNCTION("""COMPUTED_VALUE"""),345.66)</f>
        <v>345.66</v>
      </c>
    </row>
    <row r="2456" spans="1:2">
      <c r="A2456" s="3">
        <f ca="1">IFERROR(__xludf.DUMMYFUNCTION("""COMPUTED_VALUE"""),32737.6666666666)</f>
        <v>32737.666666666599</v>
      </c>
      <c r="B2456" s="1">
        <f ca="1">IFERROR(__xludf.DUMMYFUNCTION("""COMPUTED_VALUE"""),344.45)</f>
        <v>344.45</v>
      </c>
    </row>
    <row r="2457" spans="1:2">
      <c r="A2457" s="3">
        <f ca="1">IFERROR(__xludf.DUMMYFUNCTION("""COMPUTED_VALUE"""),32738.6666666666)</f>
        <v>32738.666666666599</v>
      </c>
      <c r="B2457" s="1">
        <f ca="1">IFERROR(__xludf.DUMMYFUNCTION("""COMPUTED_VALUE"""),346.03)</f>
        <v>346.03</v>
      </c>
    </row>
    <row r="2458" spans="1:2">
      <c r="A2458" s="3">
        <f ca="1">IFERROR(__xludf.DUMMYFUNCTION("""COMPUTED_VALUE"""),32741.6666666666)</f>
        <v>32741.666666666599</v>
      </c>
      <c r="B2458" s="1">
        <f ca="1">IFERROR(__xludf.DUMMYFUNCTION("""COMPUTED_VALUE"""),340.67)</f>
        <v>340.67</v>
      </c>
    </row>
    <row r="2459" spans="1:2">
      <c r="A2459" s="3">
        <f ca="1">IFERROR(__xludf.DUMMYFUNCTION("""COMPUTED_VALUE"""),32742.6666666666)</f>
        <v>32742.666666666599</v>
      </c>
      <c r="B2459" s="1">
        <f ca="1">IFERROR(__xludf.DUMMYFUNCTION("""COMPUTED_VALUE"""),341.19)</f>
        <v>341.19</v>
      </c>
    </row>
    <row r="2460" spans="1:2">
      <c r="A2460" s="3">
        <f ca="1">IFERROR(__xludf.DUMMYFUNCTION("""COMPUTED_VALUE"""),32743.6666666666)</f>
        <v>32743.666666666599</v>
      </c>
      <c r="B2460" s="1">
        <f ca="1">IFERROR(__xludf.DUMMYFUNCTION("""COMPUTED_VALUE"""),344.7)</f>
        <v>344.7</v>
      </c>
    </row>
    <row r="2461" spans="1:2">
      <c r="A2461" s="3">
        <f ca="1">IFERROR(__xludf.DUMMYFUNCTION("""COMPUTED_VALUE"""),32744.6666666666)</f>
        <v>32744.666666666599</v>
      </c>
      <c r="B2461" s="1">
        <f ca="1">IFERROR(__xludf.DUMMYFUNCTION("""COMPUTED_VALUE"""),351.52)</f>
        <v>351.52</v>
      </c>
    </row>
    <row r="2462" spans="1:2">
      <c r="A2462" s="3">
        <f ca="1">IFERROR(__xludf.DUMMYFUNCTION("""COMPUTED_VALUE"""),32745.6666666666)</f>
        <v>32745.666666666599</v>
      </c>
      <c r="B2462" s="1">
        <f ca="1">IFERROR(__xludf.DUMMYFUNCTION("""COMPUTED_VALUE"""),350.52)</f>
        <v>350.52</v>
      </c>
    </row>
    <row r="2463" spans="1:2">
      <c r="A2463" s="3">
        <f ca="1">IFERROR(__xludf.DUMMYFUNCTION("""COMPUTED_VALUE"""),32748.6666666666)</f>
        <v>32748.666666666599</v>
      </c>
      <c r="B2463" s="1">
        <f ca="1">IFERROR(__xludf.DUMMYFUNCTION("""COMPUTED_VALUE"""),352.09)</f>
        <v>352.09</v>
      </c>
    </row>
    <row r="2464" spans="1:2">
      <c r="A2464" s="3">
        <f ca="1">IFERROR(__xludf.DUMMYFUNCTION("""COMPUTED_VALUE"""),32749.6666666666)</f>
        <v>32749.666666666599</v>
      </c>
      <c r="B2464" s="1">
        <f ca="1">IFERROR(__xludf.DUMMYFUNCTION("""COMPUTED_VALUE"""),349.84)</f>
        <v>349.84</v>
      </c>
    </row>
    <row r="2465" spans="1:2">
      <c r="A2465" s="3">
        <f ca="1">IFERROR(__xludf.DUMMYFUNCTION("""COMPUTED_VALUE"""),32750.6666666666)</f>
        <v>32750.666666666599</v>
      </c>
      <c r="B2465" s="1">
        <f ca="1">IFERROR(__xludf.DUMMYFUNCTION("""COMPUTED_VALUE"""),350.65)</f>
        <v>350.65</v>
      </c>
    </row>
    <row r="2466" spans="1:2">
      <c r="A2466" s="3">
        <f ca="1">IFERROR(__xludf.DUMMYFUNCTION("""COMPUTED_VALUE"""),32751.6666666666)</f>
        <v>32751.666666666599</v>
      </c>
      <c r="B2466" s="1">
        <f ca="1">IFERROR(__xludf.DUMMYFUNCTION("""COMPUTED_VALUE"""),351.45)</f>
        <v>351.45</v>
      </c>
    </row>
    <row r="2467" spans="1:2">
      <c r="A2467" s="3">
        <f ca="1">IFERROR(__xludf.DUMMYFUNCTION("""COMPUTED_VALUE"""),32752.6666666666)</f>
        <v>32752.666666666599</v>
      </c>
      <c r="B2467" s="1">
        <f ca="1">IFERROR(__xludf.DUMMYFUNCTION("""COMPUTED_VALUE"""),353.73)</f>
        <v>353.73</v>
      </c>
    </row>
    <row r="2468" spans="1:2">
      <c r="A2468" s="3">
        <f ca="1">IFERROR(__xludf.DUMMYFUNCTION("""COMPUTED_VALUE"""),32756.6666666666)</f>
        <v>32756.666666666599</v>
      </c>
      <c r="B2468" s="1">
        <f ca="1">IFERROR(__xludf.DUMMYFUNCTION("""COMPUTED_VALUE"""),352.56)</f>
        <v>352.56</v>
      </c>
    </row>
    <row r="2469" spans="1:2">
      <c r="A2469" s="3">
        <f ca="1">IFERROR(__xludf.DUMMYFUNCTION("""COMPUTED_VALUE"""),32757.6666666666)</f>
        <v>32757.666666666599</v>
      </c>
      <c r="B2469" s="1">
        <f ca="1">IFERROR(__xludf.DUMMYFUNCTION("""COMPUTED_VALUE"""),349.24)</f>
        <v>349.24</v>
      </c>
    </row>
    <row r="2470" spans="1:2">
      <c r="A2470" s="3">
        <f ca="1">IFERROR(__xludf.DUMMYFUNCTION("""COMPUTED_VALUE"""),32758.6666666666)</f>
        <v>32758.666666666599</v>
      </c>
      <c r="B2470" s="1">
        <f ca="1">IFERROR(__xludf.DUMMYFUNCTION("""COMPUTED_VALUE"""),348.35)</f>
        <v>348.35</v>
      </c>
    </row>
    <row r="2471" spans="1:2">
      <c r="A2471" s="3">
        <f ca="1">IFERROR(__xludf.DUMMYFUNCTION("""COMPUTED_VALUE"""),32759.6666666666)</f>
        <v>32759.666666666599</v>
      </c>
      <c r="B2471" s="1">
        <f ca="1">IFERROR(__xludf.DUMMYFUNCTION("""COMPUTED_VALUE"""),348.76)</f>
        <v>348.76</v>
      </c>
    </row>
    <row r="2472" spans="1:2">
      <c r="A2472" s="3">
        <f ca="1">IFERROR(__xludf.DUMMYFUNCTION("""COMPUTED_VALUE"""),32762.6666666666)</f>
        <v>32762.666666666599</v>
      </c>
      <c r="B2472" s="1">
        <f ca="1">IFERROR(__xludf.DUMMYFUNCTION("""COMPUTED_VALUE"""),347.66)</f>
        <v>347.66</v>
      </c>
    </row>
    <row r="2473" spans="1:2">
      <c r="A2473" s="3">
        <f ca="1">IFERROR(__xludf.DUMMYFUNCTION("""COMPUTED_VALUE"""),32763.6666666666)</f>
        <v>32763.666666666599</v>
      </c>
      <c r="B2473" s="1">
        <f ca="1">IFERROR(__xludf.DUMMYFUNCTION("""COMPUTED_VALUE"""),348.7)</f>
        <v>348.7</v>
      </c>
    </row>
    <row r="2474" spans="1:2">
      <c r="A2474" s="3">
        <f ca="1">IFERROR(__xludf.DUMMYFUNCTION("""COMPUTED_VALUE"""),32764.6666666666)</f>
        <v>32764.666666666599</v>
      </c>
      <c r="B2474" s="1">
        <f ca="1">IFERROR(__xludf.DUMMYFUNCTION("""COMPUTED_VALUE"""),345.46)</f>
        <v>345.46</v>
      </c>
    </row>
    <row r="2475" spans="1:2">
      <c r="A2475" s="3">
        <f ca="1">IFERROR(__xludf.DUMMYFUNCTION("""COMPUTED_VALUE"""),32765.6666666666)</f>
        <v>32765.666666666599</v>
      </c>
      <c r="B2475" s="1">
        <f ca="1">IFERROR(__xludf.DUMMYFUNCTION("""COMPUTED_VALUE"""),343.16)</f>
        <v>343.16</v>
      </c>
    </row>
    <row r="2476" spans="1:2">
      <c r="A2476" s="3">
        <f ca="1">IFERROR(__xludf.DUMMYFUNCTION("""COMPUTED_VALUE"""),32766.6666666666)</f>
        <v>32766.666666666599</v>
      </c>
      <c r="B2476" s="1">
        <f ca="1">IFERROR(__xludf.DUMMYFUNCTION("""COMPUTED_VALUE"""),345.06)</f>
        <v>345.06</v>
      </c>
    </row>
    <row r="2477" spans="1:2">
      <c r="A2477" s="3">
        <f ca="1">IFERROR(__xludf.DUMMYFUNCTION("""COMPUTED_VALUE"""),32769.6666666666)</f>
        <v>32769.666666666599</v>
      </c>
      <c r="B2477" s="1">
        <f ca="1">IFERROR(__xludf.DUMMYFUNCTION("""COMPUTED_VALUE"""),346.73)</f>
        <v>346.73</v>
      </c>
    </row>
    <row r="2478" spans="1:2">
      <c r="A2478" s="3">
        <f ca="1">IFERROR(__xludf.DUMMYFUNCTION("""COMPUTED_VALUE"""),32770.6666666666)</f>
        <v>32770.666666666599</v>
      </c>
      <c r="B2478" s="1">
        <f ca="1">IFERROR(__xludf.DUMMYFUNCTION("""COMPUTED_VALUE"""),346.55)</f>
        <v>346.55</v>
      </c>
    </row>
    <row r="2479" spans="1:2">
      <c r="A2479" s="3">
        <f ca="1">IFERROR(__xludf.DUMMYFUNCTION("""COMPUTED_VALUE"""),32771.6666666666)</f>
        <v>32771.666666666599</v>
      </c>
      <c r="B2479" s="1">
        <f ca="1">IFERROR(__xludf.DUMMYFUNCTION("""COMPUTED_VALUE"""),346.47)</f>
        <v>346.47</v>
      </c>
    </row>
    <row r="2480" spans="1:2">
      <c r="A2480" s="3">
        <f ca="1">IFERROR(__xludf.DUMMYFUNCTION("""COMPUTED_VALUE"""),32772.6666666666)</f>
        <v>32772.666666666599</v>
      </c>
      <c r="B2480" s="1">
        <f ca="1">IFERROR(__xludf.DUMMYFUNCTION("""COMPUTED_VALUE"""),345.7)</f>
        <v>345.7</v>
      </c>
    </row>
    <row r="2481" spans="1:2">
      <c r="A2481" s="3">
        <f ca="1">IFERROR(__xludf.DUMMYFUNCTION("""COMPUTED_VALUE"""),32773.6666666666)</f>
        <v>32773.666666666599</v>
      </c>
      <c r="B2481" s="1">
        <f ca="1">IFERROR(__xludf.DUMMYFUNCTION("""COMPUTED_VALUE"""),347.05)</f>
        <v>347.05</v>
      </c>
    </row>
    <row r="2482" spans="1:2">
      <c r="A2482" s="3">
        <f ca="1">IFERROR(__xludf.DUMMYFUNCTION("""COMPUTED_VALUE"""),32776.6666666666)</f>
        <v>32776.666666666599</v>
      </c>
      <c r="B2482" s="1">
        <f ca="1">IFERROR(__xludf.DUMMYFUNCTION("""COMPUTED_VALUE"""),344.23)</f>
        <v>344.23</v>
      </c>
    </row>
    <row r="2483" spans="1:2">
      <c r="A2483" s="3">
        <f ca="1">IFERROR(__xludf.DUMMYFUNCTION("""COMPUTED_VALUE"""),32777.6666666666)</f>
        <v>32777.666666666599</v>
      </c>
      <c r="B2483" s="1">
        <f ca="1">IFERROR(__xludf.DUMMYFUNCTION("""COMPUTED_VALUE"""),344.33)</f>
        <v>344.33</v>
      </c>
    </row>
    <row r="2484" spans="1:2">
      <c r="A2484" s="3">
        <f ca="1">IFERROR(__xludf.DUMMYFUNCTION("""COMPUTED_VALUE"""),32778.6666666666)</f>
        <v>32778.666666666599</v>
      </c>
      <c r="B2484" s="1">
        <f ca="1">IFERROR(__xludf.DUMMYFUNCTION("""COMPUTED_VALUE"""),345.1)</f>
        <v>345.1</v>
      </c>
    </row>
    <row r="2485" spans="1:2">
      <c r="A2485" s="3">
        <f ca="1">IFERROR(__xludf.DUMMYFUNCTION("""COMPUTED_VALUE"""),32779.6666666666)</f>
        <v>32779.666666666599</v>
      </c>
      <c r="B2485" s="1">
        <f ca="1">IFERROR(__xludf.DUMMYFUNCTION("""COMPUTED_VALUE"""),348.6)</f>
        <v>348.6</v>
      </c>
    </row>
    <row r="2486" spans="1:2">
      <c r="A2486" s="3">
        <f ca="1">IFERROR(__xludf.DUMMYFUNCTION("""COMPUTED_VALUE"""),32780.6666666666)</f>
        <v>32780.666666666599</v>
      </c>
      <c r="B2486" s="1">
        <f ca="1">IFERROR(__xludf.DUMMYFUNCTION("""COMPUTED_VALUE"""),349.15)</f>
        <v>349.15</v>
      </c>
    </row>
    <row r="2487" spans="1:2">
      <c r="A2487" s="3">
        <f ca="1">IFERROR(__xludf.DUMMYFUNCTION("""COMPUTED_VALUE"""),32783.6666666666)</f>
        <v>32783.666666666599</v>
      </c>
      <c r="B2487" s="1">
        <f ca="1">IFERROR(__xludf.DUMMYFUNCTION("""COMPUTED_VALUE"""),350.87)</f>
        <v>350.87</v>
      </c>
    </row>
    <row r="2488" spans="1:2">
      <c r="A2488" s="3">
        <f ca="1">IFERROR(__xludf.DUMMYFUNCTION("""COMPUTED_VALUE"""),32784.6666666666)</f>
        <v>32784.666666666599</v>
      </c>
      <c r="B2488" s="1">
        <f ca="1">IFERROR(__xludf.DUMMYFUNCTION("""COMPUTED_VALUE"""),354.71)</f>
        <v>354.71</v>
      </c>
    </row>
    <row r="2489" spans="1:2">
      <c r="A2489" s="3">
        <f ca="1">IFERROR(__xludf.DUMMYFUNCTION("""COMPUTED_VALUE"""),32785.6666666666)</f>
        <v>32785.666666666599</v>
      </c>
      <c r="B2489" s="1">
        <f ca="1">IFERROR(__xludf.DUMMYFUNCTION("""COMPUTED_VALUE"""),356.94)</f>
        <v>356.94</v>
      </c>
    </row>
    <row r="2490" spans="1:2">
      <c r="A2490" s="3">
        <f ca="1">IFERROR(__xludf.DUMMYFUNCTION("""COMPUTED_VALUE"""),32786.6666666666)</f>
        <v>32786.666666666599</v>
      </c>
      <c r="B2490" s="1">
        <f ca="1">IFERROR(__xludf.DUMMYFUNCTION("""COMPUTED_VALUE"""),356.97)</f>
        <v>356.97</v>
      </c>
    </row>
    <row r="2491" spans="1:2">
      <c r="A2491" s="3">
        <f ca="1">IFERROR(__xludf.DUMMYFUNCTION("""COMPUTED_VALUE"""),32787.6666666666)</f>
        <v>32787.666666666599</v>
      </c>
      <c r="B2491" s="1">
        <f ca="1">IFERROR(__xludf.DUMMYFUNCTION("""COMPUTED_VALUE"""),358.78)</f>
        <v>358.78</v>
      </c>
    </row>
    <row r="2492" spans="1:2">
      <c r="A2492" s="3">
        <f ca="1">IFERROR(__xludf.DUMMYFUNCTION("""COMPUTED_VALUE"""),32790.6666666666)</f>
        <v>32790.666666666599</v>
      </c>
      <c r="B2492" s="1">
        <f ca="1">IFERROR(__xludf.DUMMYFUNCTION("""COMPUTED_VALUE"""),359.8)</f>
        <v>359.8</v>
      </c>
    </row>
    <row r="2493" spans="1:2">
      <c r="A2493" s="3">
        <f ca="1">IFERROR(__xludf.DUMMYFUNCTION("""COMPUTED_VALUE"""),32791.6666666666)</f>
        <v>32791.666666666599</v>
      </c>
      <c r="B2493" s="1">
        <f ca="1">IFERROR(__xludf.DUMMYFUNCTION("""COMPUTED_VALUE"""),359.13)</f>
        <v>359.13</v>
      </c>
    </row>
    <row r="2494" spans="1:2">
      <c r="A2494" s="3">
        <f ca="1">IFERROR(__xludf.DUMMYFUNCTION("""COMPUTED_VALUE"""),32792.6666666666)</f>
        <v>32792.666666666599</v>
      </c>
      <c r="B2494" s="1">
        <f ca="1">IFERROR(__xludf.DUMMYFUNCTION("""COMPUTED_VALUE"""),356.99)</f>
        <v>356.99</v>
      </c>
    </row>
    <row r="2495" spans="1:2">
      <c r="A2495" s="3">
        <f ca="1">IFERROR(__xludf.DUMMYFUNCTION("""COMPUTED_VALUE"""),32793.6666666666)</f>
        <v>32793.666666666599</v>
      </c>
      <c r="B2495" s="1">
        <f ca="1">IFERROR(__xludf.DUMMYFUNCTION("""COMPUTED_VALUE"""),355.39)</f>
        <v>355.39</v>
      </c>
    </row>
    <row r="2496" spans="1:2">
      <c r="A2496" s="3">
        <f ca="1">IFERROR(__xludf.DUMMYFUNCTION("""COMPUTED_VALUE"""),32794.6666666666)</f>
        <v>32794.666666666599</v>
      </c>
      <c r="B2496" s="1">
        <f ca="1">IFERROR(__xludf.DUMMYFUNCTION("""COMPUTED_VALUE"""),333.65)</f>
        <v>333.65</v>
      </c>
    </row>
    <row r="2497" spans="1:2">
      <c r="A2497" s="3">
        <f ca="1">IFERROR(__xludf.DUMMYFUNCTION("""COMPUTED_VALUE"""),32797.6666666666)</f>
        <v>32797.666666666599</v>
      </c>
      <c r="B2497" s="1">
        <f ca="1">IFERROR(__xludf.DUMMYFUNCTION("""COMPUTED_VALUE"""),342.85)</f>
        <v>342.85</v>
      </c>
    </row>
    <row r="2498" spans="1:2">
      <c r="A2498" s="3">
        <f ca="1">IFERROR(__xludf.DUMMYFUNCTION("""COMPUTED_VALUE"""),32798.6666666666)</f>
        <v>32798.666666666599</v>
      </c>
      <c r="B2498" s="1">
        <f ca="1">IFERROR(__xludf.DUMMYFUNCTION("""COMPUTED_VALUE"""),341.16)</f>
        <v>341.16</v>
      </c>
    </row>
    <row r="2499" spans="1:2">
      <c r="A2499" s="3">
        <f ca="1">IFERROR(__xludf.DUMMYFUNCTION("""COMPUTED_VALUE"""),32799.6666666666)</f>
        <v>32799.666666666599</v>
      </c>
      <c r="B2499" s="1">
        <f ca="1">IFERROR(__xludf.DUMMYFUNCTION("""COMPUTED_VALUE"""),341.76)</f>
        <v>341.76</v>
      </c>
    </row>
    <row r="2500" spans="1:2">
      <c r="A2500" s="3">
        <f ca="1">IFERROR(__xludf.DUMMYFUNCTION("""COMPUTED_VALUE"""),32800.6666666666)</f>
        <v>32800.666666666599</v>
      </c>
      <c r="B2500" s="1">
        <f ca="1">IFERROR(__xludf.DUMMYFUNCTION("""COMPUTED_VALUE"""),347.13)</f>
        <v>347.13</v>
      </c>
    </row>
    <row r="2501" spans="1:2">
      <c r="A2501" s="3">
        <f ca="1">IFERROR(__xludf.DUMMYFUNCTION("""COMPUTED_VALUE"""),32801.6666666666)</f>
        <v>32801.666666666599</v>
      </c>
      <c r="B2501" s="1">
        <f ca="1">IFERROR(__xludf.DUMMYFUNCTION("""COMPUTED_VALUE"""),347.16)</f>
        <v>347.16</v>
      </c>
    </row>
    <row r="2502" spans="1:2">
      <c r="A2502" s="3">
        <f ca="1">IFERROR(__xludf.DUMMYFUNCTION("""COMPUTED_VALUE"""),32804.6666666666)</f>
        <v>32804.666666666599</v>
      </c>
      <c r="B2502" s="1">
        <f ca="1">IFERROR(__xludf.DUMMYFUNCTION("""COMPUTED_VALUE"""),344.83)</f>
        <v>344.83</v>
      </c>
    </row>
    <row r="2503" spans="1:2">
      <c r="A2503" s="3">
        <f ca="1">IFERROR(__xludf.DUMMYFUNCTION("""COMPUTED_VALUE"""),32805.6666666666)</f>
        <v>32805.666666666599</v>
      </c>
      <c r="B2503" s="1">
        <f ca="1">IFERROR(__xludf.DUMMYFUNCTION("""COMPUTED_VALUE"""),343.7)</f>
        <v>343.7</v>
      </c>
    </row>
    <row r="2504" spans="1:2">
      <c r="A2504" s="3">
        <f ca="1">IFERROR(__xludf.DUMMYFUNCTION("""COMPUTED_VALUE"""),32806.6666666666)</f>
        <v>32806.666666666599</v>
      </c>
      <c r="B2504" s="1">
        <f ca="1">IFERROR(__xludf.DUMMYFUNCTION("""COMPUTED_VALUE"""),342.5)</f>
        <v>342.5</v>
      </c>
    </row>
    <row r="2505" spans="1:2">
      <c r="A2505" s="3">
        <f ca="1">IFERROR(__xludf.DUMMYFUNCTION("""COMPUTED_VALUE"""),32807.6666666666)</f>
        <v>32807.666666666599</v>
      </c>
      <c r="B2505" s="1">
        <f ca="1">IFERROR(__xludf.DUMMYFUNCTION("""COMPUTED_VALUE"""),337.93)</f>
        <v>337.93</v>
      </c>
    </row>
    <row r="2506" spans="1:2">
      <c r="A2506" s="3">
        <f ca="1">IFERROR(__xludf.DUMMYFUNCTION("""COMPUTED_VALUE"""),32808.6666666666)</f>
        <v>32808.666666666599</v>
      </c>
      <c r="B2506" s="1">
        <f ca="1">IFERROR(__xludf.DUMMYFUNCTION("""COMPUTED_VALUE"""),335.06)</f>
        <v>335.06</v>
      </c>
    </row>
    <row r="2507" spans="1:2">
      <c r="A2507" s="3">
        <f ca="1">IFERROR(__xludf.DUMMYFUNCTION("""COMPUTED_VALUE"""),32811.6666666666)</f>
        <v>32811.666666666599</v>
      </c>
      <c r="B2507" s="1">
        <f ca="1">IFERROR(__xludf.DUMMYFUNCTION("""COMPUTED_VALUE"""),335.07)</f>
        <v>335.07</v>
      </c>
    </row>
    <row r="2508" spans="1:2">
      <c r="A2508" s="3">
        <f ca="1">IFERROR(__xludf.DUMMYFUNCTION("""COMPUTED_VALUE"""),32812.6666666666)</f>
        <v>32812.666666666599</v>
      </c>
      <c r="B2508" s="1">
        <f ca="1">IFERROR(__xludf.DUMMYFUNCTION("""COMPUTED_VALUE"""),340.36)</f>
        <v>340.36</v>
      </c>
    </row>
    <row r="2509" spans="1:2">
      <c r="A2509" s="3">
        <f ca="1">IFERROR(__xludf.DUMMYFUNCTION("""COMPUTED_VALUE"""),32813.6666666666)</f>
        <v>32813.666666666599</v>
      </c>
      <c r="B2509" s="1">
        <f ca="1">IFERROR(__xludf.DUMMYFUNCTION("""COMPUTED_VALUE"""),341.2)</f>
        <v>341.2</v>
      </c>
    </row>
    <row r="2510" spans="1:2">
      <c r="A2510" s="3">
        <f ca="1">IFERROR(__xludf.DUMMYFUNCTION("""COMPUTED_VALUE"""),32814.6666666666)</f>
        <v>32814.666666666599</v>
      </c>
      <c r="B2510" s="1">
        <f ca="1">IFERROR(__xludf.DUMMYFUNCTION("""COMPUTED_VALUE"""),338.48)</f>
        <v>338.48</v>
      </c>
    </row>
    <row r="2511" spans="1:2">
      <c r="A2511" s="3">
        <f ca="1">IFERROR(__xludf.DUMMYFUNCTION("""COMPUTED_VALUE"""),32815.6666666666)</f>
        <v>32815.666666666599</v>
      </c>
      <c r="B2511" s="1">
        <f ca="1">IFERROR(__xludf.DUMMYFUNCTION("""COMPUTED_VALUE"""),337.62)</f>
        <v>337.62</v>
      </c>
    </row>
    <row r="2512" spans="1:2">
      <c r="A2512" s="3">
        <f ca="1">IFERROR(__xludf.DUMMYFUNCTION("""COMPUTED_VALUE"""),32818.6666666666)</f>
        <v>32818.666666666599</v>
      </c>
      <c r="B2512" s="1">
        <f ca="1">IFERROR(__xludf.DUMMYFUNCTION("""COMPUTED_VALUE"""),332.61)</f>
        <v>332.61</v>
      </c>
    </row>
    <row r="2513" spans="1:2">
      <c r="A2513" s="3">
        <f ca="1">IFERROR(__xludf.DUMMYFUNCTION("""COMPUTED_VALUE"""),32819.6666666666)</f>
        <v>32819.666666666599</v>
      </c>
      <c r="B2513" s="1">
        <f ca="1">IFERROR(__xludf.DUMMYFUNCTION("""COMPUTED_VALUE"""),334.81)</f>
        <v>334.81</v>
      </c>
    </row>
    <row r="2514" spans="1:2">
      <c r="A2514" s="3">
        <f ca="1">IFERROR(__xludf.DUMMYFUNCTION("""COMPUTED_VALUE"""),32820.6666666666)</f>
        <v>32820.666666666599</v>
      </c>
      <c r="B2514" s="1">
        <f ca="1">IFERROR(__xludf.DUMMYFUNCTION("""COMPUTED_VALUE"""),338.15)</f>
        <v>338.15</v>
      </c>
    </row>
    <row r="2515" spans="1:2">
      <c r="A2515" s="3">
        <f ca="1">IFERROR(__xludf.DUMMYFUNCTION("""COMPUTED_VALUE"""),32821.6666666666)</f>
        <v>32821.666666666599</v>
      </c>
      <c r="B2515" s="1">
        <f ca="1">IFERROR(__xludf.DUMMYFUNCTION("""COMPUTED_VALUE"""),336.57)</f>
        <v>336.57</v>
      </c>
    </row>
    <row r="2516" spans="1:2">
      <c r="A2516" s="3">
        <f ca="1">IFERROR(__xludf.DUMMYFUNCTION("""COMPUTED_VALUE"""),32822.6666666666)</f>
        <v>32822.666666666599</v>
      </c>
      <c r="B2516" s="1">
        <f ca="1">IFERROR(__xludf.DUMMYFUNCTION("""COMPUTED_VALUE"""),339.1)</f>
        <v>339.1</v>
      </c>
    </row>
    <row r="2517" spans="1:2">
      <c r="A2517" s="3">
        <f ca="1">IFERROR(__xludf.DUMMYFUNCTION("""COMPUTED_VALUE"""),32825.6666666666)</f>
        <v>32825.666666666599</v>
      </c>
      <c r="B2517" s="1">
        <f ca="1">IFERROR(__xludf.DUMMYFUNCTION("""COMPUTED_VALUE"""),339.55)</f>
        <v>339.55</v>
      </c>
    </row>
    <row r="2518" spans="1:2">
      <c r="A2518" s="3">
        <f ca="1">IFERROR(__xludf.DUMMYFUNCTION("""COMPUTED_VALUE"""),32826.6666666666)</f>
        <v>32826.666666666599</v>
      </c>
      <c r="B2518" s="1">
        <f ca="1">IFERROR(__xludf.DUMMYFUNCTION("""COMPUTED_VALUE"""),337.99)</f>
        <v>337.99</v>
      </c>
    </row>
    <row r="2519" spans="1:2">
      <c r="A2519" s="3">
        <f ca="1">IFERROR(__xludf.DUMMYFUNCTION("""COMPUTED_VALUE"""),32827.6666666666)</f>
        <v>32827.666666666599</v>
      </c>
      <c r="B2519" s="1">
        <f ca="1">IFERROR(__xludf.DUMMYFUNCTION("""COMPUTED_VALUE"""),340.54)</f>
        <v>340.54</v>
      </c>
    </row>
    <row r="2520" spans="1:2">
      <c r="A2520" s="3">
        <f ca="1">IFERROR(__xludf.DUMMYFUNCTION("""COMPUTED_VALUE"""),32828.6666666666)</f>
        <v>32828.666666666599</v>
      </c>
      <c r="B2520" s="1">
        <f ca="1">IFERROR(__xludf.DUMMYFUNCTION("""COMPUTED_VALUE"""),340.58)</f>
        <v>340.58</v>
      </c>
    </row>
    <row r="2521" spans="1:2">
      <c r="A2521" s="3">
        <f ca="1">IFERROR(__xludf.DUMMYFUNCTION("""COMPUTED_VALUE"""),32829.6666666666)</f>
        <v>32829.666666666599</v>
      </c>
      <c r="B2521" s="1">
        <f ca="1">IFERROR(__xludf.DUMMYFUNCTION("""COMPUTED_VALUE"""),341.61)</f>
        <v>341.61</v>
      </c>
    </row>
    <row r="2522" spans="1:2">
      <c r="A2522" s="3">
        <f ca="1">IFERROR(__xludf.DUMMYFUNCTION("""COMPUTED_VALUE"""),32832.6666666666)</f>
        <v>32832.666666666599</v>
      </c>
      <c r="B2522" s="1">
        <f ca="1">IFERROR(__xludf.DUMMYFUNCTION("""COMPUTED_VALUE"""),339.35)</f>
        <v>339.35</v>
      </c>
    </row>
    <row r="2523" spans="1:2">
      <c r="A2523" s="3">
        <f ca="1">IFERROR(__xludf.DUMMYFUNCTION("""COMPUTED_VALUE"""),32833.6666666666)</f>
        <v>32833.666666666599</v>
      </c>
      <c r="B2523" s="1">
        <f ca="1">IFERROR(__xludf.DUMMYFUNCTION("""COMPUTED_VALUE"""),339.59)</f>
        <v>339.59</v>
      </c>
    </row>
    <row r="2524" spans="1:2">
      <c r="A2524" s="3">
        <f ca="1">IFERROR(__xludf.DUMMYFUNCTION("""COMPUTED_VALUE"""),32834.6666666666)</f>
        <v>32834.666666666599</v>
      </c>
      <c r="B2524" s="1">
        <f ca="1">IFERROR(__xludf.DUMMYFUNCTION("""COMPUTED_VALUE"""),341.91)</f>
        <v>341.91</v>
      </c>
    </row>
    <row r="2525" spans="1:2">
      <c r="A2525" s="3">
        <f ca="1">IFERROR(__xludf.DUMMYFUNCTION("""COMPUTED_VALUE"""),32836.6666666666)</f>
        <v>32836.666666666599</v>
      </c>
      <c r="B2525" s="1">
        <f ca="1">IFERROR(__xludf.DUMMYFUNCTION("""COMPUTED_VALUE"""),343.97)</f>
        <v>343.97</v>
      </c>
    </row>
    <row r="2526" spans="1:2">
      <c r="A2526" s="3">
        <f ca="1">IFERROR(__xludf.DUMMYFUNCTION("""COMPUTED_VALUE"""),32839.6666666666)</f>
        <v>32839.666666666599</v>
      </c>
      <c r="B2526" s="1">
        <f ca="1">IFERROR(__xludf.DUMMYFUNCTION("""COMPUTED_VALUE"""),345.61)</f>
        <v>345.61</v>
      </c>
    </row>
    <row r="2527" spans="1:2">
      <c r="A2527" s="3">
        <f ca="1">IFERROR(__xludf.DUMMYFUNCTION("""COMPUTED_VALUE"""),32840.6666666666)</f>
        <v>32840.666666666599</v>
      </c>
      <c r="B2527" s="1">
        <f ca="1">IFERROR(__xludf.DUMMYFUNCTION("""COMPUTED_VALUE"""),345.77)</f>
        <v>345.77</v>
      </c>
    </row>
    <row r="2528" spans="1:2">
      <c r="A2528" s="3">
        <f ca="1">IFERROR(__xludf.DUMMYFUNCTION("""COMPUTED_VALUE"""),32841.6666666666)</f>
        <v>32841.666666666599</v>
      </c>
      <c r="B2528" s="1">
        <f ca="1">IFERROR(__xludf.DUMMYFUNCTION("""COMPUTED_VALUE"""),343.6)</f>
        <v>343.6</v>
      </c>
    </row>
    <row r="2529" spans="1:2">
      <c r="A2529" s="3">
        <f ca="1">IFERROR(__xludf.DUMMYFUNCTION("""COMPUTED_VALUE"""),32842.6666666666)</f>
        <v>32842.666666666599</v>
      </c>
      <c r="B2529" s="1">
        <f ca="1">IFERROR(__xludf.DUMMYFUNCTION("""COMPUTED_VALUE"""),345.99)</f>
        <v>345.99</v>
      </c>
    </row>
    <row r="2530" spans="1:2">
      <c r="A2530" s="3">
        <f ca="1">IFERROR(__xludf.DUMMYFUNCTION("""COMPUTED_VALUE"""),32843.6666666666)</f>
        <v>32843.666666666599</v>
      </c>
      <c r="B2530" s="1">
        <f ca="1">IFERROR(__xludf.DUMMYFUNCTION("""COMPUTED_VALUE"""),350.63)</f>
        <v>350.63</v>
      </c>
    </row>
    <row r="2531" spans="1:2">
      <c r="A2531" s="3">
        <f ca="1">IFERROR(__xludf.DUMMYFUNCTION("""COMPUTED_VALUE"""),32846.6666666666)</f>
        <v>32846.666666666599</v>
      </c>
      <c r="B2531" s="1">
        <f ca="1">IFERROR(__xludf.DUMMYFUNCTION("""COMPUTED_VALUE"""),351.41)</f>
        <v>351.41</v>
      </c>
    </row>
    <row r="2532" spans="1:2">
      <c r="A2532" s="3">
        <f ca="1">IFERROR(__xludf.DUMMYFUNCTION("""COMPUTED_VALUE"""),32847.6666666666)</f>
        <v>32847.666666666599</v>
      </c>
      <c r="B2532" s="1">
        <f ca="1">IFERROR(__xludf.DUMMYFUNCTION("""COMPUTED_VALUE"""),349.58)</f>
        <v>349.58</v>
      </c>
    </row>
    <row r="2533" spans="1:2">
      <c r="A2533" s="3">
        <f ca="1">IFERROR(__xludf.DUMMYFUNCTION("""COMPUTED_VALUE"""),32848.6666666666)</f>
        <v>32848.666666666599</v>
      </c>
      <c r="B2533" s="1">
        <f ca="1">IFERROR(__xludf.DUMMYFUNCTION("""COMPUTED_VALUE"""),348.55)</f>
        <v>348.55</v>
      </c>
    </row>
    <row r="2534" spans="1:2">
      <c r="A2534" s="3">
        <f ca="1">IFERROR(__xludf.DUMMYFUNCTION("""COMPUTED_VALUE"""),32849.6666666666)</f>
        <v>32849.666666666599</v>
      </c>
      <c r="B2534" s="1">
        <f ca="1">IFERROR(__xludf.DUMMYFUNCTION("""COMPUTED_VALUE"""),347.59)</f>
        <v>347.59</v>
      </c>
    </row>
    <row r="2535" spans="1:2">
      <c r="A2535" s="3">
        <f ca="1">IFERROR(__xludf.DUMMYFUNCTION("""COMPUTED_VALUE"""),32850.6666666666)</f>
        <v>32850.666666666599</v>
      </c>
      <c r="B2535" s="1">
        <f ca="1">IFERROR(__xludf.DUMMYFUNCTION("""COMPUTED_VALUE"""),348.69)</f>
        <v>348.69</v>
      </c>
    </row>
    <row r="2536" spans="1:2">
      <c r="A2536" s="3">
        <f ca="1">IFERROR(__xludf.DUMMYFUNCTION("""COMPUTED_VALUE"""),32853.6666666666)</f>
        <v>32853.666666666599</v>
      </c>
      <c r="B2536" s="1">
        <f ca="1">IFERROR(__xludf.DUMMYFUNCTION("""COMPUTED_VALUE"""),348.56)</f>
        <v>348.56</v>
      </c>
    </row>
    <row r="2537" spans="1:2">
      <c r="A2537" s="3">
        <f ca="1">IFERROR(__xludf.DUMMYFUNCTION("""COMPUTED_VALUE"""),32854.6666666666)</f>
        <v>32854.666666666599</v>
      </c>
      <c r="B2537" s="1">
        <f ca="1">IFERROR(__xludf.DUMMYFUNCTION("""COMPUTED_VALUE"""),351.73)</f>
        <v>351.73</v>
      </c>
    </row>
    <row r="2538" spans="1:2">
      <c r="A2538" s="3">
        <f ca="1">IFERROR(__xludf.DUMMYFUNCTION("""COMPUTED_VALUE"""),32855.6666666666)</f>
        <v>32855.666666666599</v>
      </c>
      <c r="B2538" s="1">
        <f ca="1">IFERROR(__xludf.DUMMYFUNCTION("""COMPUTED_VALUE"""),352.75)</f>
        <v>352.75</v>
      </c>
    </row>
    <row r="2539" spans="1:2">
      <c r="A2539" s="3">
        <f ca="1">IFERROR(__xludf.DUMMYFUNCTION("""COMPUTED_VALUE"""),32856.6666666666)</f>
        <v>32856.666666666599</v>
      </c>
      <c r="B2539" s="1">
        <f ca="1">IFERROR(__xludf.DUMMYFUNCTION("""COMPUTED_VALUE"""),350.93)</f>
        <v>350.93</v>
      </c>
    </row>
    <row r="2540" spans="1:2">
      <c r="A2540" s="3">
        <f ca="1">IFERROR(__xludf.DUMMYFUNCTION("""COMPUTED_VALUE"""),32857.6666666666)</f>
        <v>32857.666666666599</v>
      </c>
      <c r="B2540" s="1">
        <f ca="1">IFERROR(__xludf.DUMMYFUNCTION("""COMPUTED_VALUE"""),350.14)</f>
        <v>350.14</v>
      </c>
    </row>
    <row r="2541" spans="1:2">
      <c r="A2541" s="3">
        <f ca="1">IFERROR(__xludf.DUMMYFUNCTION("""COMPUTED_VALUE"""),32860.6666666666)</f>
        <v>32860.666666666599</v>
      </c>
      <c r="B2541" s="1">
        <f ca="1">IFERROR(__xludf.DUMMYFUNCTION("""COMPUTED_VALUE"""),343.69)</f>
        <v>343.69</v>
      </c>
    </row>
    <row r="2542" spans="1:2">
      <c r="A2542" s="3">
        <f ca="1">IFERROR(__xludf.DUMMYFUNCTION("""COMPUTED_VALUE"""),32861.6666666666)</f>
        <v>32861.666666666599</v>
      </c>
      <c r="B2542" s="1">
        <f ca="1">IFERROR(__xludf.DUMMYFUNCTION("""COMPUTED_VALUE"""),342.46)</f>
        <v>342.46</v>
      </c>
    </row>
    <row r="2543" spans="1:2">
      <c r="A2543" s="3">
        <f ca="1">IFERROR(__xludf.DUMMYFUNCTION("""COMPUTED_VALUE"""),32862.6666666666)</f>
        <v>32862.666666666599</v>
      </c>
      <c r="B2543" s="1">
        <f ca="1">IFERROR(__xludf.DUMMYFUNCTION("""COMPUTED_VALUE"""),342.84)</f>
        <v>342.84</v>
      </c>
    </row>
    <row r="2544" spans="1:2">
      <c r="A2544" s="3">
        <f ca="1">IFERROR(__xludf.DUMMYFUNCTION("""COMPUTED_VALUE"""),32863.6666666666)</f>
        <v>32863.666666666599</v>
      </c>
      <c r="B2544" s="1">
        <f ca="1">IFERROR(__xludf.DUMMYFUNCTION("""COMPUTED_VALUE"""),344.78)</f>
        <v>344.78</v>
      </c>
    </row>
    <row r="2545" spans="1:2">
      <c r="A2545" s="3">
        <f ca="1">IFERROR(__xludf.DUMMYFUNCTION("""COMPUTED_VALUE"""),32864.6666666666)</f>
        <v>32864.666666666599</v>
      </c>
      <c r="B2545" s="1">
        <f ca="1">IFERROR(__xludf.DUMMYFUNCTION("""COMPUTED_VALUE"""),347.42)</f>
        <v>347.42</v>
      </c>
    </row>
    <row r="2546" spans="1:2">
      <c r="A2546" s="3">
        <f ca="1">IFERROR(__xludf.DUMMYFUNCTION("""COMPUTED_VALUE"""),32868.6666666666)</f>
        <v>32868.666666666599</v>
      </c>
      <c r="B2546" s="1">
        <f ca="1">IFERROR(__xludf.DUMMYFUNCTION("""COMPUTED_VALUE"""),346.81)</f>
        <v>346.81</v>
      </c>
    </row>
    <row r="2547" spans="1:2">
      <c r="A2547" s="3">
        <f ca="1">IFERROR(__xludf.DUMMYFUNCTION("""COMPUTED_VALUE"""),32869.6666666666)</f>
        <v>32869.666666666599</v>
      </c>
      <c r="B2547" s="1">
        <f ca="1">IFERROR(__xludf.DUMMYFUNCTION("""COMPUTED_VALUE"""),348.81)</f>
        <v>348.81</v>
      </c>
    </row>
    <row r="2548" spans="1:2">
      <c r="A2548" s="3">
        <f ca="1">IFERROR(__xludf.DUMMYFUNCTION("""COMPUTED_VALUE"""),32870.6666666666)</f>
        <v>32870.666666666599</v>
      </c>
      <c r="B2548" s="1">
        <f ca="1">IFERROR(__xludf.DUMMYFUNCTION("""COMPUTED_VALUE"""),350.67)</f>
        <v>350.67</v>
      </c>
    </row>
    <row r="2549" spans="1:2">
      <c r="A2549" s="3">
        <f ca="1">IFERROR(__xludf.DUMMYFUNCTION("""COMPUTED_VALUE"""),32871.6666666666)</f>
        <v>32871.666666666599</v>
      </c>
      <c r="B2549" s="1">
        <f ca="1">IFERROR(__xludf.DUMMYFUNCTION("""COMPUTED_VALUE"""),353.4)</f>
        <v>353.4</v>
      </c>
    </row>
    <row r="2550" spans="1:2">
      <c r="A2550" s="3">
        <f ca="1">IFERROR(__xludf.DUMMYFUNCTION("""COMPUTED_VALUE"""),32875.6666666666)</f>
        <v>32875.666666666599</v>
      </c>
      <c r="B2550" s="1">
        <f ca="1">IFERROR(__xludf.DUMMYFUNCTION("""COMPUTED_VALUE"""),359.69)</f>
        <v>359.69</v>
      </c>
    </row>
    <row r="2551" spans="1:2">
      <c r="A2551" s="3">
        <f ca="1">IFERROR(__xludf.DUMMYFUNCTION("""COMPUTED_VALUE"""),32876.6666666666)</f>
        <v>32876.666666666599</v>
      </c>
      <c r="B2551" s="1">
        <f ca="1">IFERROR(__xludf.DUMMYFUNCTION("""COMPUTED_VALUE"""),358.76)</f>
        <v>358.76</v>
      </c>
    </row>
    <row r="2552" spans="1:2">
      <c r="A2552" s="3">
        <f ca="1">IFERROR(__xludf.DUMMYFUNCTION("""COMPUTED_VALUE"""),32877.6666666666)</f>
        <v>32877.666666666599</v>
      </c>
      <c r="B2552" s="1">
        <f ca="1">IFERROR(__xludf.DUMMYFUNCTION("""COMPUTED_VALUE"""),355.67)</f>
        <v>355.67</v>
      </c>
    </row>
    <row r="2553" spans="1:2">
      <c r="A2553" s="3">
        <f ca="1">IFERROR(__xludf.DUMMYFUNCTION("""COMPUTED_VALUE"""),32878.6666666666)</f>
        <v>32878.666666666599</v>
      </c>
      <c r="B2553" s="1">
        <f ca="1">IFERROR(__xludf.DUMMYFUNCTION("""COMPUTED_VALUE"""),352.2)</f>
        <v>352.2</v>
      </c>
    </row>
    <row r="2554" spans="1:2">
      <c r="A2554" s="3">
        <f ca="1">IFERROR(__xludf.DUMMYFUNCTION("""COMPUTED_VALUE"""),32881.6666666666)</f>
        <v>32881.666666666599</v>
      </c>
      <c r="B2554" s="1">
        <f ca="1">IFERROR(__xludf.DUMMYFUNCTION("""COMPUTED_VALUE"""),353.79)</f>
        <v>353.79</v>
      </c>
    </row>
    <row r="2555" spans="1:2">
      <c r="A2555" s="3">
        <f ca="1">IFERROR(__xludf.DUMMYFUNCTION("""COMPUTED_VALUE"""),32882.6666666666)</f>
        <v>32882.666666666599</v>
      </c>
      <c r="B2555" s="1">
        <f ca="1">IFERROR(__xludf.DUMMYFUNCTION("""COMPUTED_VALUE"""),349.62)</f>
        <v>349.62</v>
      </c>
    </row>
    <row r="2556" spans="1:2">
      <c r="A2556" s="3">
        <f ca="1">IFERROR(__xludf.DUMMYFUNCTION("""COMPUTED_VALUE"""),32883.6666666666)</f>
        <v>32883.666666666599</v>
      </c>
      <c r="B2556" s="1">
        <f ca="1">IFERROR(__xludf.DUMMYFUNCTION("""COMPUTED_VALUE"""),347.31)</f>
        <v>347.31</v>
      </c>
    </row>
    <row r="2557" spans="1:2">
      <c r="A2557" s="3">
        <f ca="1">IFERROR(__xludf.DUMMYFUNCTION("""COMPUTED_VALUE"""),32884.6666666666)</f>
        <v>32884.666666666599</v>
      </c>
      <c r="B2557" s="1">
        <f ca="1">IFERROR(__xludf.DUMMYFUNCTION("""COMPUTED_VALUE"""),348.53)</f>
        <v>348.53</v>
      </c>
    </row>
    <row r="2558" spans="1:2">
      <c r="A2558" s="3">
        <f ca="1">IFERROR(__xludf.DUMMYFUNCTION("""COMPUTED_VALUE"""),32885.6666666666)</f>
        <v>32885.666666666599</v>
      </c>
      <c r="B2558" s="1">
        <f ca="1">IFERROR(__xludf.DUMMYFUNCTION("""COMPUTED_VALUE"""),339.93)</f>
        <v>339.93</v>
      </c>
    </row>
    <row r="2559" spans="1:2">
      <c r="A2559" s="3">
        <f ca="1">IFERROR(__xludf.DUMMYFUNCTION("""COMPUTED_VALUE"""),32888.6666666666)</f>
        <v>32888.666666666599</v>
      </c>
      <c r="B2559" s="1">
        <f ca="1">IFERROR(__xludf.DUMMYFUNCTION("""COMPUTED_VALUE"""),337)</f>
        <v>337</v>
      </c>
    </row>
    <row r="2560" spans="1:2">
      <c r="A2560" s="3">
        <f ca="1">IFERROR(__xludf.DUMMYFUNCTION("""COMPUTED_VALUE"""),32889.6666666666)</f>
        <v>32889.666666666599</v>
      </c>
      <c r="B2560" s="1">
        <f ca="1">IFERROR(__xludf.DUMMYFUNCTION("""COMPUTED_VALUE"""),340.75)</f>
        <v>340.75</v>
      </c>
    </row>
    <row r="2561" spans="1:2">
      <c r="A2561" s="3">
        <f ca="1">IFERROR(__xludf.DUMMYFUNCTION("""COMPUTED_VALUE"""),32890.6666666666)</f>
        <v>32890.666666666599</v>
      </c>
      <c r="B2561" s="1">
        <f ca="1">IFERROR(__xludf.DUMMYFUNCTION("""COMPUTED_VALUE"""),337.4)</f>
        <v>337.4</v>
      </c>
    </row>
    <row r="2562" spans="1:2">
      <c r="A2562" s="3">
        <f ca="1">IFERROR(__xludf.DUMMYFUNCTION("""COMPUTED_VALUE"""),32891.6666666666)</f>
        <v>32891.666666666599</v>
      </c>
      <c r="B2562" s="1">
        <f ca="1">IFERROR(__xludf.DUMMYFUNCTION("""COMPUTED_VALUE"""),338.19)</f>
        <v>338.19</v>
      </c>
    </row>
    <row r="2563" spans="1:2">
      <c r="A2563" s="3">
        <f ca="1">IFERROR(__xludf.DUMMYFUNCTION("""COMPUTED_VALUE"""),32892.6666666666)</f>
        <v>32892.666666666599</v>
      </c>
      <c r="B2563" s="1">
        <f ca="1">IFERROR(__xludf.DUMMYFUNCTION("""COMPUTED_VALUE"""),339.15)</f>
        <v>339.15</v>
      </c>
    </row>
    <row r="2564" spans="1:2">
      <c r="A2564" s="3">
        <f ca="1">IFERROR(__xludf.DUMMYFUNCTION("""COMPUTED_VALUE"""),32895.6666666666)</f>
        <v>32895.666666666599</v>
      </c>
      <c r="B2564" s="1">
        <f ca="1">IFERROR(__xludf.DUMMYFUNCTION("""COMPUTED_VALUE"""),330.38)</f>
        <v>330.38</v>
      </c>
    </row>
    <row r="2565" spans="1:2">
      <c r="A2565" s="3">
        <f ca="1">IFERROR(__xludf.DUMMYFUNCTION("""COMPUTED_VALUE"""),32896.6666666666)</f>
        <v>32896.666666666599</v>
      </c>
      <c r="B2565" s="1">
        <f ca="1">IFERROR(__xludf.DUMMYFUNCTION("""COMPUTED_VALUE"""),331.61)</f>
        <v>331.61</v>
      </c>
    </row>
    <row r="2566" spans="1:2">
      <c r="A2566" s="3">
        <f ca="1">IFERROR(__xludf.DUMMYFUNCTION("""COMPUTED_VALUE"""),32897.6666666666)</f>
        <v>32897.666666666599</v>
      </c>
      <c r="B2566" s="1">
        <f ca="1">IFERROR(__xludf.DUMMYFUNCTION("""COMPUTED_VALUE"""),330.26)</f>
        <v>330.26</v>
      </c>
    </row>
    <row r="2567" spans="1:2">
      <c r="A2567" s="3">
        <f ca="1">IFERROR(__xludf.DUMMYFUNCTION("""COMPUTED_VALUE"""),32898.6666666666)</f>
        <v>32898.666666666599</v>
      </c>
      <c r="B2567" s="1">
        <f ca="1">IFERROR(__xludf.DUMMYFUNCTION("""COMPUTED_VALUE"""),326.08)</f>
        <v>326.08</v>
      </c>
    </row>
    <row r="2568" spans="1:2">
      <c r="A2568" s="3">
        <f ca="1">IFERROR(__xludf.DUMMYFUNCTION("""COMPUTED_VALUE"""),32899.6666666666)</f>
        <v>32899.666666666599</v>
      </c>
      <c r="B2568" s="1">
        <f ca="1">IFERROR(__xludf.DUMMYFUNCTION("""COMPUTED_VALUE"""),325.8)</f>
        <v>325.8</v>
      </c>
    </row>
    <row r="2569" spans="1:2">
      <c r="A2569" s="3">
        <f ca="1">IFERROR(__xludf.DUMMYFUNCTION("""COMPUTED_VALUE"""),32902.6666666666)</f>
        <v>32902.666666666599</v>
      </c>
      <c r="B2569" s="1">
        <f ca="1">IFERROR(__xludf.DUMMYFUNCTION("""COMPUTED_VALUE"""),325.2)</f>
        <v>325.2</v>
      </c>
    </row>
    <row r="2570" spans="1:2">
      <c r="A2570" s="3">
        <f ca="1">IFERROR(__xludf.DUMMYFUNCTION("""COMPUTED_VALUE"""),32903.6666666666)</f>
        <v>32903.666666666599</v>
      </c>
      <c r="B2570" s="1">
        <f ca="1">IFERROR(__xludf.DUMMYFUNCTION("""COMPUTED_VALUE"""),322.98)</f>
        <v>322.98</v>
      </c>
    </row>
    <row r="2571" spans="1:2">
      <c r="A2571" s="3">
        <f ca="1">IFERROR(__xludf.DUMMYFUNCTION("""COMPUTED_VALUE"""),32904.6666666666)</f>
        <v>32904.666666666599</v>
      </c>
      <c r="B2571" s="1">
        <f ca="1">IFERROR(__xludf.DUMMYFUNCTION("""COMPUTED_VALUE"""),329.08)</f>
        <v>329.08</v>
      </c>
    </row>
    <row r="2572" spans="1:2">
      <c r="A2572" s="3">
        <f ca="1">IFERROR(__xludf.DUMMYFUNCTION("""COMPUTED_VALUE"""),32905.6666666666)</f>
        <v>32905.666666666599</v>
      </c>
      <c r="B2572" s="1">
        <f ca="1">IFERROR(__xludf.DUMMYFUNCTION("""COMPUTED_VALUE"""),328.79)</f>
        <v>328.79</v>
      </c>
    </row>
    <row r="2573" spans="1:2">
      <c r="A2573" s="3">
        <f ca="1">IFERROR(__xludf.DUMMYFUNCTION("""COMPUTED_VALUE"""),32906.6666666666)</f>
        <v>32906.666666666599</v>
      </c>
      <c r="B2573" s="1">
        <f ca="1">IFERROR(__xludf.DUMMYFUNCTION("""COMPUTED_VALUE"""),330.92)</f>
        <v>330.92</v>
      </c>
    </row>
    <row r="2574" spans="1:2">
      <c r="A2574" s="3">
        <f ca="1">IFERROR(__xludf.DUMMYFUNCTION("""COMPUTED_VALUE"""),32909.6666666666)</f>
        <v>32909.666666666599</v>
      </c>
      <c r="B2574" s="1">
        <f ca="1">IFERROR(__xludf.DUMMYFUNCTION("""COMPUTED_VALUE"""),331.85)</f>
        <v>331.85</v>
      </c>
    </row>
    <row r="2575" spans="1:2">
      <c r="A2575" s="3">
        <f ca="1">IFERROR(__xludf.DUMMYFUNCTION("""COMPUTED_VALUE"""),32910.6666666666)</f>
        <v>32910.666666666599</v>
      </c>
      <c r="B2575" s="1">
        <f ca="1">IFERROR(__xludf.DUMMYFUNCTION("""COMPUTED_VALUE"""),329.66)</f>
        <v>329.66</v>
      </c>
    </row>
    <row r="2576" spans="1:2">
      <c r="A2576" s="3">
        <f ca="1">IFERROR(__xludf.DUMMYFUNCTION("""COMPUTED_VALUE"""),32911.6666666666)</f>
        <v>32911.666666666599</v>
      </c>
      <c r="B2576" s="1">
        <f ca="1">IFERROR(__xludf.DUMMYFUNCTION("""COMPUTED_VALUE"""),333.75)</f>
        <v>333.75</v>
      </c>
    </row>
    <row r="2577" spans="1:2">
      <c r="A2577" s="3">
        <f ca="1">IFERROR(__xludf.DUMMYFUNCTION("""COMPUTED_VALUE"""),32912.6666666666)</f>
        <v>32912.666666666599</v>
      </c>
      <c r="B2577" s="1">
        <f ca="1">IFERROR(__xludf.DUMMYFUNCTION("""COMPUTED_VALUE"""),332.96)</f>
        <v>332.96</v>
      </c>
    </row>
    <row r="2578" spans="1:2">
      <c r="A2578" s="3">
        <f ca="1">IFERROR(__xludf.DUMMYFUNCTION("""COMPUTED_VALUE"""),32913.6666666666)</f>
        <v>32913.666666666599</v>
      </c>
      <c r="B2578" s="1">
        <f ca="1">IFERROR(__xludf.DUMMYFUNCTION("""COMPUTED_VALUE"""),333.62)</f>
        <v>333.62</v>
      </c>
    </row>
    <row r="2579" spans="1:2">
      <c r="A2579" s="3">
        <f ca="1">IFERROR(__xludf.DUMMYFUNCTION("""COMPUTED_VALUE"""),32916.6666666666)</f>
        <v>32916.666666666599</v>
      </c>
      <c r="B2579" s="1">
        <f ca="1">IFERROR(__xludf.DUMMYFUNCTION("""COMPUTED_VALUE"""),330.08)</f>
        <v>330.08</v>
      </c>
    </row>
    <row r="2580" spans="1:2">
      <c r="A2580" s="3">
        <f ca="1">IFERROR(__xludf.DUMMYFUNCTION("""COMPUTED_VALUE"""),32917.6666666666)</f>
        <v>32917.666666666599</v>
      </c>
      <c r="B2580" s="1">
        <f ca="1">IFERROR(__xludf.DUMMYFUNCTION("""COMPUTED_VALUE"""),331.02)</f>
        <v>331.02</v>
      </c>
    </row>
    <row r="2581" spans="1:2">
      <c r="A2581" s="3">
        <f ca="1">IFERROR(__xludf.DUMMYFUNCTION("""COMPUTED_VALUE"""),32918.6666666666)</f>
        <v>32918.666666666599</v>
      </c>
      <c r="B2581" s="1">
        <f ca="1">IFERROR(__xludf.DUMMYFUNCTION("""COMPUTED_VALUE"""),332.01)</f>
        <v>332.01</v>
      </c>
    </row>
    <row r="2582" spans="1:2">
      <c r="A2582" s="3">
        <f ca="1">IFERROR(__xludf.DUMMYFUNCTION("""COMPUTED_VALUE"""),32919.6666666666)</f>
        <v>32919.666666666599</v>
      </c>
      <c r="B2582" s="1">
        <f ca="1">IFERROR(__xludf.DUMMYFUNCTION("""COMPUTED_VALUE"""),334.89)</f>
        <v>334.89</v>
      </c>
    </row>
    <row r="2583" spans="1:2">
      <c r="A2583" s="3">
        <f ca="1">IFERROR(__xludf.DUMMYFUNCTION("""COMPUTED_VALUE"""),32920.6666666666)</f>
        <v>32920.666666666599</v>
      </c>
      <c r="B2583" s="1">
        <f ca="1">IFERROR(__xludf.DUMMYFUNCTION("""COMPUTED_VALUE"""),332.72)</f>
        <v>332.72</v>
      </c>
    </row>
    <row r="2584" spans="1:2">
      <c r="A2584" s="3">
        <f ca="1">IFERROR(__xludf.DUMMYFUNCTION("""COMPUTED_VALUE"""),32924.6666666666)</f>
        <v>32924.666666666599</v>
      </c>
      <c r="B2584" s="1">
        <f ca="1">IFERROR(__xludf.DUMMYFUNCTION("""COMPUTED_VALUE"""),327.99)</f>
        <v>327.99</v>
      </c>
    </row>
    <row r="2585" spans="1:2">
      <c r="A2585" s="3">
        <f ca="1">IFERROR(__xludf.DUMMYFUNCTION("""COMPUTED_VALUE"""),32925.6666666666)</f>
        <v>32925.666666666599</v>
      </c>
      <c r="B2585" s="1">
        <f ca="1">IFERROR(__xludf.DUMMYFUNCTION("""COMPUTED_VALUE"""),327.67)</f>
        <v>327.67</v>
      </c>
    </row>
    <row r="2586" spans="1:2">
      <c r="A2586" s="3">
        <f ca="1">IFERROR(__xludf.DUMMYFUNCTION("""COMPUTED_VALUE"""),32926.6666666666)</f>
        <v>32926.666666666599</v>
      </c>
      <c r="B2586" s="1">
        <f ca="1">IFERROR(__xludf.DUMMYFUNCTION("""COMPUTED_VALUE"""),325.7)</f>
        <v>325.7</v>
      </c>
    </row>
    <row r="2587" spans="1:2">
      <c r="A2587" s="3">
        <f ca="1">IFERROR(__xludf.DUMMYFUNCTION("""COMPUTED_VALUE"""),32927.6666666666)</f>
        <v>32927.666666666599</v>
      </c>
      <c r="B2587" s="1">
        <f ca="1">IFERROR(__xludf.DUMMYFUNCTION("""COMPUTED_VALUE"""),324.15)</f>
        <v>324.14999999999998</v>
      </c>
    </row>
    <row r="2588" spans="1:2">
      <c r="A2588" s="3">
        <f ca="1">IFERROR(__xludf.DUMMYFUNCTION("""COMPUTED_VALUE"""),32930.6666666666)</f>
        <v>32930.666666666599</v>
      </c>
      <c r="B2588" s="1">
        <f ca="1">IFERROR(__xludf.DUMMYFUNCTION("""COMPUTED_VALUE"""),328.67)</f>
        <v>328.67</v>
      </c>
    </row>
    <row r="2589" spans="1:2">
      <c r="A2589" s="3">
        <f ca="1">IFERROR(__xludf.DUMMYFUNCTION("""COMPUTED_VALUE"""),32931.6666666666)</f>
        <v>32931.666666666599</v>
      </c>
      <c r="B2589" s="1">
        <f ca="1">IFERROR(__xludf.DUMMYFUNCTION("""COMPUTED_VALUE"""),330.26)</f>
        <v>330.26</v>
      </c>
    </row>
    <row r="2590" spans="1:2">
      <c r="A2590" s="3">
        <f ca="1">IFERROR(__xludf.DUMMYFUNCTION("""COMPUTED_VALUE"""),32932.6666666666)</f>
        <v>32932.666666666599</v>
      </c>
      <c r="B2590" s="1">
        <f ca="1">IFERROR(__xludf.DUMMYFUNCTION("""COMPUTED_VALUE"""),331.89)</f>
        <v>331.89</v>
      </c>
    </row>
    <row r="2591" spans="1:2">
      <c r="A2591" s="3">
        <f ca="1">IFERROR(__xludf.DUMMYFUNCTION("""COMPUTED_VALUE"""),32933.6666666666)</f>
        <v>32933.666666666599</v>
      </c>
      <c r="B2591" s="1">
        <f ca="1">IFERROR(__xludf.DUMMYFUNCTION("""COMPUTED_VALUE"""),332.74)</f>
        <v>332.74</v>
      </c>
    </row>
    <row r="2592" spans="1:2">
      <c r="A2592" s="3">
        <f ca="1">IFERROR(__xludf.DUMMYFUNCTION("""COMPUTED_VALUE"""),32934.6666666666)</f>
        <v>32934.666666666599</v>
      </c>
      <c r="B2592" s="1">
        <f ca="1">IFERROR(__xludf.DUMMYFUNCTION("""COMPUTED_VALUE"""),335.54)</f>
        <v>335.54</v>
      </c>
    </row>
    <row r="2593" spans="1:2">
      <c r="A2593" s="3">
        <f ca="1">IFERROR(__xludf.DUMMYFUNCTION("""COMPUTED_VALUE"""),32937.6666666666)</f>
        <v>32937.666666666599</v>
      </c>
      <c r="B2593" s="1">
        <f ca="1">IFERROR(__xludf.DUMMYFUNCTION("""COMPUTED_VALUE"""),333.74)</f>
        <v>333.74</v>
      </c>
    </row>
    <row r="2594" spans="1:2">
      <c r="A2594" s="3">
        <f ca="1">IFERROR(__xludf.DUMMYFUNCTION("""COMPUTED_VALUE"""),32938.6666666666)</f>
        <v>32938.666666666599</v>
      </c>
      <c r="B2594" s="1">
        <f ca="1">IFERROR(__xludf.DUMMYFUNCTION("""COMPUTED_VALUE"""),337.93)</f>
        <v>337.93</v>
      </c>
    </row>
    <row r="2595" spans="1:2">
      <c r="A2595" s="3">
        <f ca="1">IFERROR(__xludf.DUMMYFUNCTION("""COMPUTED_VALUE"""),32939.6666666666)</f>
        <v>32939.666666666599</v>
      </c>
      <c r="B2595" s="1">
        <f ca="1">IFERROR(__xludf.DUMMYFUNCTION("""COMPUTED_VALUE"""),336.95)</f>
        <v>336.95</v>
      </c>
    </row>
    <row r="2596" spans="1:2">
      <c r="A2596" s="3">
        <f ca="1">IFERROR(__xludf.DUMMYFUNCTION("""COMPUTED_VALUE"""),32940.6666666666)</f>
        <v>32940.666666666599</v>
      </c>
      <c r="B2596" s="1">
        <f ca="1">IFERROR(__xludf.DUMMYFUNCTION("""COMPUTED_VALUE"""),340.27)</f>
        <v>340.27</v>
      </c>
    </row>
    <row r="2597" spans="1:2">
      <c r="A2597" s="3">
        <f ca="1">IFERROR(__xludf.DUMMYFUNCTION("""COMPUTED_VALUE"""),32941.6666666666)</f>
        <v>32941.666666666599</v>
      </c>
      <c r="B2597" s="1">
        <f ca="1">IFERROR(__xludf.DUMMYFUNCTION("""COMPUTED_VALUE"""),337.93)</f>
        <v>337.93</v>
      </c>
    </row>
    <row r="2598" spans="1:2">
      <c r="A2598" s="3">
        <f ca="1">IFERROR(__xludf.DUMMYFUNCTION("""COMPUTED_VALUE"""),32944.6666666666)</f>
        <v>32944.666666666599</v>
      </c>
      <c r="B2598" s="1">
        <f ca="1">IFERROR(__xludf.DUMMYFUNCTION("""COMPUTED_VALUE"""),338.67)</f>
        <v>338.67</v>
      </c>
    </row>
    <row r="2599" spans="1:2">
      <c r="A2599" s="3">
        <f ca="1">IFERROR(__xludf.DUMMYFUNCTION("""COMPUTED_VALUE"""),32945.6666666666)</f>
        <v>32945.666666666599</v>
      </c>
      <c r="B2599" s="1">
        <f ca="1">IFERROR(__xludf.DUMMYFUNCTION("""COMPUTED_VALUE"""),336)</f>
        <v>336</v>
      </c>
    </row>
    <row r="2600" spans="1:2">
      <c r="A2600" s="3">
        <f ca="1">IFERROR(__xludf.DUMMYFUNCTION("""COMPUTED_VALUE"""),32946.6666666666)</f>
        <v>32946.666666666599</v>
      </c>
      <c r="B2600" s="1">
        <f ca="1">IFERROR(__xludf.DUMMYFUNCTION("""COMPUTED_VALUE"""),336.87)</f>
        <v>336.87</v>
      </c>
    </row>
    <row r="2601" spans="1:2">
      <c r="A2601" s="3">
        <f ca="1">IFERROR(__xludf.DUMMYFUNCTION("""COMPUTED_VALUE"""),32947.6666666666)</f>
        <v>32947.666666666599</v>
      </c>
      <c r="B2601" s="1">
        <f ca="1">IFERROR(__xludf.DUMMYFUNCTION("""COMPUTED_VALUE"""),338.07)</f>
        <v>338.07</v>
      </c>
    </row>
    <row r="2602" spans="1:2">
      <c r="A2602" s="3">
        <f ca="1">IFERROR(__xludf.DUMMYFUNCTION("""COMPUTED_VALUE"""),32948.6666666666)</f>
        <v>32948.666666666599</v>
      </c>
      <c r="B2602" s="1">
        <f ca="1">IFERROR(__xludf.DUMMYFUNCTION("""COMPUTED_VALUE"""),341.91)</f>
        <v>341.91</v>
      </c>
    </row>
    <row r="2603" spans="1:2">
      <c r="A2603" s="3">
        <f ca="1">IFERROR(__xludf.DUMMYFUNCTION("""COMPUTED_VALUE"""),32951.6666666666)</f>
        <v>32951.666666666599</v>
      </c>
      <c r="B2603" s="1">
        <f ca="1">IFERROR(__xludf.DUMMYFUNCTION("""COMPUTED_VALUE"""),343.53)</f>
        <v>343.53</v>
      </c>
    </row>
    <row r="2604" spans="1:2">
      <c r="A2604" s="3">
        <f ca="1">IFERROR(__xludf.DUMMYFUNCTION("""COMPUTED_VALUE"""),32952.6666666666)</f>
        <v>32952.666666666599</v>
      </c>
      <c r="B2604" s="1">
        <f ca="1">IFERROR(__xludf.DUMMYFUNCTION("""COMPUTED_VALUE"""),341.57)</f>
        <v>341.57</v>
      </c>
    </row>
    <row r="2605" spans="1:2">
      <c r="A2605" s="3">
        <f ca="1">IFERROR(__xludf.DUMMYFUNCTION("""COMPUTED_VALUE"""),32953.6666666666)</f>
        <v>32953.666666666599</v>
      </c>
      <c r="B2605" s="1">
        <f ca="1">IFERROR(__xludf.DUMMYFUNCTION("""COMPUTED_VALUE"""),339.74)</f>
        <v>339.74</v>
      </c>
    </row>
    <row r="2606" spans="1:2">
      <c r="A2606" s="3">
        <f ca="1">IFERROR(__xludf.DUMMYFUNCTION("""COMPUTED_VALUE"""),32954.6666666666)</f>
        <v>32954.666666666599</v>
      </c>
      <c r="B2606" s="1">
        <f ca="1">IFERROR(__xludf.DUMMYFUNCTION("""COMPUTED_VALUE"""),335.69)</f>
        <v>335.69</v>
      </c>
    </row>
    <row r="2607" spans="1:2">
      <c r="A2607" s="3">
        <f ca="1">IFERROR(__xludf.DUMMYFUNCTION("""COMPUTED_VALUE"""),32955.6666666666)</f>
        <v>32955.666666666599</v>
      </c>
      <c r="B2607" s="1">
        <f ca="1">IFERROR(__xludf.DUMMYFUNCTION("""COMPUTED_VALUE"""),337.22)</f>
        <v>337.22</v>
      </c>
    </row>
    <row r="2608" spans="1:2">
      <c r="A2608" s="3">
        <f ca="1">IFERROR(__xludf.DUMMYFUNCTION("""COMPUTED_VALUE"""),32958.6666666666)</f>
        <v>32958.666666666599</v>
      </c>
      <c r="B2608" s="1">
        <f ca="1">IFERROR(__xludf.DUMMYFUNCTION("""COMPUTED_VALUE"""),337.63)</f>
        <v>337.63</v>
      </c>
    </row>
    <row r="2609" spans="1:2">
      <c r="A2609" s="3">
        <f ca="1">IFERROR(__xludf.DUMMYFUNCTION("""COMPUTED_VALUE"""),32959.6666666666)</f>
        <v>32959.666666666599</v>
      </c>
      <c r="B2609" s="1">
        <f ca="1">IFERROR(__xludf.DUMMYFUNCTION("""COMPUTED_VALUE"""),341.5)</f>
        <v>341.5</v>
      </c>
    </row>
    <row r="2610" spans="1:2">
      <c r="A2610" s="3">
        <f ca="1">IFERROR(__xludf.DUMMYFUNCTION("""COMPUTED_VALUE"""),32960.6666666666)</f>
        <v>32960.666666666599</v>
      </c>
      <c r="B2610" s="1">
        <f ca="1">IFERROR(__xludf.DUMMYFUNCTION("""COMPUTED_VALUE"""),342)</f>
        <v>342</v>
      </c>
    </row>
    <row r="2611" spans="1:2">
      <c r="A2611" s="3">
        <f ca="1">IFERROR(__xludf.DUMMYFUNCTION("""COMPUTED_VALUE"""),32961.6666666666)</f>
        <v>32961.666666666599</v>
      </c>
      <c r="B2611" s="1">
        <f ca="1">IFERROR(__xludf.DUMMYFUNCTION("""COMPUTED_VALUE"""),340.79)</f>
        <v>340.79</v>
      </c>
    </row>
    <row r="2612" spans="1:2">
      <c r="A2612" s="3">
        <f ca="1">IFERROR(__xludf.DUMMYFUNCTION("""COMPUTED_VALUE"""),32962.6666666666)</f>
        <v>32962.666666666599</v>
      </c>
      <c r="B2612" s="1">
        <f ca="1">IFERROR(__xludf.DUMMYFUNCTION("""COMPUTED_VALUE"""),339.94)</f>
        <v>339.94</v>
      </c>
    </row>
    <row r="2613" spans="1:2">
      <c r="A2613" s="3">
        <f ca="1">IFERROR(__xludf.DUMMYFUNCTION("""COMPUTED_VALUE"""),32965.6666666666)</f>
        <v>32965.666666666599</v>
      </c>
      <c r="B2613" s="1">
        <f ca="1">IFERROR(__xludf.DUMMYFUNCTION("""COMPUTED_VALUE"""),338.7)</f>
        <v>338.7</v>
      </c>
    </row>
    <row r="2614" spans="1:2">
      <c r="A2614" s="3">
        <f ca="1">IFERROR(__xludf.DUMMYFUNCTION("""COMPUTED_VALUE"""),32966.6666666666)</f>
        <v>32966.666666666599</v>
      </c>
      <c r="B2614" s="1">
        <f ca="1">IFERROR(__xludf.DUMMYFUNCTION("""COMPUTED_VALUE"""),343.64)</f>
        <v>343.64</v>
      </c>
    </row>
    <row r="2615" spans="1:2">
      <c r="A2615" s="3">
        <f ca="1">IFERROR(__xludf.DUMMYFUNCTION("""COMPUTED_VALUE"""),32967.6666666666)</f>
        <v>32967.666666666599</v>
      </c>
      <c r="B2615" s="1">
        <f ca="1">IFERROR(__xludf.DUMMYFUNCTION("""COMPUTED_VALUE"""),341.09)</f>
        <v>341.09</v>
      </c>
    </row>
    <row r="2616" spans="1:2">
      <c r="A2616" s="3">
        <f ca="1">IFERROR(__xludf.DUMMYFUNCTION("""COMPUTED_VALUE"""),32968.6666666666)</f>
        <v>32968.666666666599</v>
      </c>
      <c r="B2616" s="1">
        <f ca="1">IFERROR(__xludf.DUMMYFUNCTION("""COMPUTED_VALUE"""),340.73)</f>
        <v>340.73</v>
      </c>
    </row>
    <row r="2617" spans="1:2">
      <c r="A2617" s="3">
        <f ca="1">IFERROR(__xludf.DUMMYFUNCTION("""COMPUTED_VALUE"""),32969.6666666666)</f>
        <v>32969.666666666599</v>
      </c>
      <c r="B2617" s="1">
        <f ca="1">IFERROR(__xludf.DUMMYFUNCTION("""COMPUTED_VALUE"""),340.08)</f>
        <v>340.08</v>
      </c>
    </row>
    <row r="2618" spans="1:2">
      <c r="A2618" s="3">
        <f ca="1">IFERROR(__xludf.DUMMYFUNCTION("""COMPUTED_VALUE"""),32972.6666666666)</f>
        <v>32972.666666666599</v>
      </c>
      <c r="B2618" s="1">
        <f ca="1">IFERROR(__xludf.DUMMYFUNCTION("""COMPUTED_VALUE"""),341.37)</f>
        <v>341.37</v>
      </c>
    </row>
    <row r="2619" spans="1:2">
      <c r="A2619" s="3">
        <f ca="1">IFERROR(__xludf.DUMMYFUNCTION("""COMPUTED_VALUE"""),32973.6666666666)</f>
        <v>32973.666666666599</v>
      </c>
      <c r="B2619" s="1">
        <f ca="1">IFERROR(__xludf.DUMMYFUNCTION("""COMPUTED_VALUE"""),342.07)</f>
        <v>342.07</v>
      </c>
    </row>
    <row r="2620" spans="1:2">
      <c r="A2620" s="3">
        <f ca="1">IFERROR(__xludf.DUMMYFUNCTION("""COMPUTED_VALUE"""),32974.6666666666)</f>
        <v>32974.666666666599</v>
      </c>
      <c r="B2620" s="1">
        <f ca="1">IFERROR(__xludf.DUMMYFUNCTION("""COMPUTED_VALUE"""),341.92)</f>
        <v>341.92</v>
      </c>
    </row>
    <row r="2621" spans="1:2">
      <c r="A2621" s="3">
        <f ca="1">IFERROR(__xludf.DUMMYFUNCTION("""COMPUTED_VALUE"""),32975.6666666666)</f>
        <v>32975.666666666599</v>
      </c>
      <c r="B2621" s="1">
        <f ca="1">IFERROR(__xludf.DUMMYFUNCTION("""COMPUTED_VALUE"""),344.34)</f>
        <v>344.34</v>
      </c>
    </row>
    <row r="2622" spans="1:2">
      <c r="A2622" s="3">
        <f ca="1">IFERROR(__xludf.DUMMYFUNCTION("""COMPUTED_VALUE"""),32979.6666666666)</f>
        <v>32979.666666666599</v>
      </c>
      <c r="B2622" s="1">
        <f ca="1">IFERROR(__xludf.DUMMYFUNCTION("""COMPUTED_VALUE"""),344.74)</f>
        <v>344.74</v>
      </c>
    </row>
    <row r="2623" spans="1:2">
      <c r="A2623" s="3">
        <f ca="1">IFERROR(__xludf.DUMMYFUNCTION("""COMPUTED_VALUE"""),32980.6666666666)</f>
        <v>32980.666666666599</v>
      </c>
      <c r="B2623" s="1">
        <f ca="1">IFERROR(__xludf.DUMMYFUNCTION("""COMPUTED_VALUE"""),344.68)</f>
        <v>344.68</v>
      </c>
    </row>
    <row r="2624" spans="1:2">
      <c r="A2624" s="3">
        <f ca="1">IFERROR(__xludf.DUMMYFUNCTION("""COMPUTED_VALUE"""),32981.6666666666)</f>
        <v>32981.666666666599</v>
      </c>
      <c r="B2624" s="1">
        <f ca="1">IFERROR(__xludf.DUMMYFUNCTION("""COMPUTED_VALUE"""),340.72)</f>
        <v>340.72</v>
      </c>
    </row>
    <row r="2625" spans="1:2">
      <c r="A2625" s="3">
        <f ca="1">IFERROR(__xludf.DUMMYFUNCTION("""COMPUTED_VALUE"""),32982.6666666666)</f>
        <v>32982.666666666599</v>
      </c>
      <c r="B2625" s="1">
        <f ca="1">IFERROR(__xludf.DUMMYFUNCTION("""COMPUTED_VALUE"""),338.09)</f>
        <v>338.09</v>
      </c>
    </row>
    <row r="2626" spans="1:2">
      <c r="A2626" s="3">
        <f ca="1">IFERROR(__xludf.DUMMYFUNCTION("""COMPUTED_VALUE"""),32983.6666666666)</f>
        <v>32983.666666666599</v>
      </c>
      <c r="B2626" s="1">
        <f ca="1">IFERROR(__xludf.DUMMYFUNCTION("""COMPUTED_VALUE"""),335.12)</f>
        <v>335.12</v>
      </c>
    </row>
    <row r="2627" spans="1:2">
      <c r="A2627" s="3">
        <f ca="1">IFERROR(__xludf.DUMMYFUNCTION("""COMPUTED_VALUE"""),32986.6666666666)</f>
        <v>32986.666666666599</v>
      </c>
      <c r="B2627" s="1">
        <f ca="1">IFERROR(__xludf.DUMMYFUNCTION("""COMPUTED_VALUE"""),331.05)</f>
        <v>331.05</v>
      </c>
    </row>
    <row r="2628" spans="1:2">
      <c r="A2628" s="3">
        <f ca="1">IFERROR(__xludf.DUMMYFUNCTION("""COMPUTED_VALUE"""),32987.6666666666)</f>
        <v>32987.666666666599</v>
      </c>
      <c r="B2628" s="1">
        <f ca="1">IFERROR(__xludf.DUMMYFUNCTION("""COMPUTED_VALUE"""),330.36)</f>
        <v>330.36</v>
      </c>
    </row>
    <row r="2629" spans="1:2">
      <c r="A2629" s="3">
        <f ca="1">IFERROR(__xludf.DUMMYFUNCTION("""COMPUTED_VALUE"""),32988.6666666666)</f>
        <v>32988.666666666599</v>
      </c>
      <c r="B2629" s="1">
        <f ca="1">IFERROR(__xludf.DUMMYFUNCTION("""COMPUTED_VALUE"""),332.03)</f>
        <v>332.03</v>
      </c>
    </row>
    <row r="2630" spans="1:2">
      <c r="A2630" s="3">
        <f ca="1">IFERROR(__xludf.DUMMYFUNCTION("""COMPUTED_VALUE"""),32989.6666666666)</f>
        <v>32989.666666666599</v>
      </c>
      <c r="B2630" s="1">
        <f ca="1">IFERROR(__xludf.DUMMYFUNCTION("""COMPUTED_VALUE"""),332.92)</f>
        <v>332.92</v>
      </c>
    </row>
    <row r="2631" spans="1:2">
      <c r="A2631" s="3">
        <f ca="1">IFERROR(__xludf.DUMMYFUNCTION("""COMPUTED_VALUE"""),32990.6666666666)</f>
        <v>32990.666666666599</v>
      </c>
      <c r="B2631" s="1">
        <f ca="1">IFERROR(__xludf.DUMMYFUNCTION("""COMPUTED_VALUE"""),329.11)</f>
        <v>329.11</v>
      </c>
    </row>
    <row r="2632" spans="1:2">
      <c r="A2632" s="3">
        <f ca="1">IFERROR(__xludf.DUMMYFUNCTION("""COMPUTED_VALUE"""),32993.6666666666)</f>
        <v>32993.666666666599</v>
      </c>
      <c r="B2632" s="1">
        <f ca="1">IFERROR(__xludf.DUMMYFUNCTION("""COMPUTED_VALUE"""),330.8)</f>
        <v>330.8</v>
      </c>
    </row>
    <row r="2633" spans="1:2">
      <c r="A2633" s="3">
        <f ca="1">IFERROR(__xludf.DUMMYFUNCTION("""COMPUTED_VALUE"""),32994.6666666666)</f>
        <v>32994.666666666599</v>
      </c>
      <c r="B2633" s="1">
        <f ca="1">IFERROR(__xludf.DUMMYFUNCTION("""COMPUTED_VALUE"""),332.25)</f>
        <v>332.25</v>
      </c>
    </row>
    <row r="2634" spans="1:2">
      <c r="A2634" s="3">
        <f ca="1">IFERROR(__xludf.DUMMYFUNCTION("""COMPUTED_VALUE"""),32995.6666666666)</f>
        <v>32995.666666666599</v>
      </c>
      <c r="B2634" s="1">
        <f ca="1">IFERROR(__xludf.DUMMYFUNCTION("""COMPUTED_VALUE"""),334.48)</f>
        <v>334.48</v>
      </c>
    </row>
    <row r="2635" spans="1:2">
      <c r="A2635" s="3">
        <f ca="1">IFERROR(__xludf.DUMMYFUNCTION("""COMPUTED_VALUE"""),32996.6666666666)</f>
        <v>32996.666666666599</v>
      </c>
      <c r="B2635" s="1">
        <f ca="1">IFERROR(__xludf.DUMMYFUNCTION("""COMPUTED_VALUE"""),335.57)</f>
        <v>335.57</v>
      </c>
    </row>
    <row r="2636" spans="1:2">
      <c r="A2636" s="3">
        <f ca="1">IFERROR(__xludf.DUMMYFUNCTION("""COMPUTED_VALUE"""),32997.6666666666)</f>
        <v>32997.666666666599</v>
      </c>
      <c r="B2636" s="1">
        <f ca="1">IFERROR(__xludf.DUMMYFUNCTION("""COMPUTED_VALUE"""),338.39)</f>
        <v>338.39</v>
      </c>
    </row>
    <row r="2637" spans="1:2">
      <c r="A2637" s="3">
        <f ca="1">IFERROR(__xludf.DUMMYFUNCTION("""COMPUTED_VALUE"""),33000.6666666666)</f>
        <v>33000.666666666599</v>
      </c>
      <c r="B2637" s="1">
        <f ca="1">IFERROR(__xludf.DUMMYFUNCTION("""COMPUTED_VALUE"""),340.53)</f>
        <v>340.53</v>
      </c>
    </row>
    <row r="2638" spans="1:2">
      <c r="A2638" s="3">
        <f ca="1">IFERROR(__xludf.DUMMYFUNCTION("""COMPUTED_VALUE"""),33001.6666666666)</f>
        <v>33001.666666666599</v>
      </c>
      <c r="B2638" s="1">
        <f ca="1">IFERROR(__xludf.DUMMYFUNCTION("""COMPUTED_VALUE"""),342.01)</f>
        <v>342.01</v>
      </c>
    </row>
    <row r="2639" spans="1:2">
      <c r="A2639" s="3">
        <f ca="1">IFERROR(__xludf.DUMMYFUNCTION("""COMPUTED_VALUE"""),33002.6666666666)</f>
        <v>33002.666666666599</v>
      </c>
      <c r="B2639" s="1">
        <f ca="1">IFERROR(__xludf.DUMMYFUNCTION("""COMPUTED_VALUE"""),342.86)</f>
        <v>342.86</v>
      </c>
    </row>
    <row r="2640" spans="1:2">
      <c r="A2640" s="3">
        <f ca="1">IFERROR(__xludf.DUMMYFUNCTION("""COMPUTED_VALUE"""),33003.6666666666)</f>
        <v>33003.666666666599</v>
      </c>
      <c r="B2640" s="1">
        <f ca="1">IFERROR(__xludf.DUMMYFUNCTION("""COMPUTED_VALUE"""),343.82)</f>
        <v>343.82</v>
      </c>
    </row>
    <row r="2641" spans="1:2">
      <c r="A2641" s="3">
        <f ca="1">IFERROR(__xludf.DUMMYFUNCTION("""COMPUTED_VALUE"""),33004.6666666666)</f>
        <v>33004.666666666599</v>
      </c>
      <c r="B2641" s="1">
        <f ca="1">IFERROR(__xludf.DUMMYFUNCTION("""COMPUTED_VALUE"""),352)</f>
        <v>352</v>
      </c>
    </row>
    <row r="2642" spans="1:2">
      <c r="A2642" s="3">
        <f ca="1">IFERROR(__xludf.DUMMYFUNCTION("""COMPUTED_VALUE"""),33007.6666666666)</f>
        <v>33007.666666666599</v>
      </c>
      <c r="B2642" s="1">
        <f ca="1">IFERROR(__xludf.DUMMYFUNCTION("""COMPUTED_VALUE"""),354.75)</f>
        <v>354.75</v>
      </c>
    </row>
    <row r="2643" spans="1:2">
      <c r="A2643" s="3">
        <f ca="1">IFERROR(__xludf.DUMMYFUNCTION("""COMPUTED_VALUE"""),33008.6666666666)</f>
        <v>33008.666666666599</v>
      </c>
      <c r="B2643" s="1">
        <f ca="1">IFERROR(__xludf.DUMMYFUNCTION("""COMPUTED_VALUE"""),354.28)</f>
        <v>354.28</v>
      </c>
    </row>
    <row r="2644" spans="1:2">
      <c r="A2644" s="3">
        <f ca="1">IFERROR(__xludf.DUMMYFUNCTION("""COMPUTED_VALUE"""),33009.6666666666)</f>
        <v>33009.666666666599</v>
      </c>
      <c r="B2644" s="1">
        <f ca="1">IFERROR(__xludf.DUMMYFUNCTION("""COMPUTED_VALUE"""),354)</f>
        <v>354</v>
      </c>
    </row>
    <row r="2645" spans="1:2">
      <c r="A2645" s="3">
        <f ca="1">IFERROR(__xludf.DUMMYFUNCTION("""COMPUTED_VALUE"""),33010.6666666666)</f>
        <v>33010.666666666599</v>
      </c>
      <c r="B2645" s="1">
        <f ca="1">IFERROR(__xludf.DUMMYFUNCTION("""COMPUTED_VALUE"""),354.47)</f>
        <v>354.47</v>
      </c>
    </row>
    <row r="2646" spans="1:2">
      <c r="A2646" s="3">
        <f ca="1">IFERROR(__xludf.DUMMYFUNCTION("""COMPUTED_VALUE"""),33011.6666666666)</f>
        <v>33011.666666666599</v>
      </c>
      <c r="B2646" s="1">
        <f ca="1">IFERROR(__xludf.DUMMYFUNCTION("""COMPUTED_VALUE"""),354.64)</f>
        <v>354.64</v>
      </c>
    </row>
    <row r="2647" spans="1:2">
      <c r="A2647" s="3">
        <f ca="1">IFERROR(__xludf.DUMMYFUNCTION("""COMPUTED_VALUE"""),33014.6666666666)</f>
        <v>33014.666666666599</v>
      </c>
      <c r="B2647" s="1">
        <f ca="1">IFERROR(__xludf.DUMMYFUNCTION("""COMPUTED_VALUE"""),358)</f>
        <v>358</v>
      </c>
    </row>
    <row r="2648" spans="1:2">
      <c r="A2648" s="3">
        <f ca="1">IFERROR(__xludf.DUMMYFUNCTION("""COMPUTED_VALUE"""),33015.6666666666)</f>
        <v>33015.666666666599</v>
      </c>
      <c r="B2648" s="1">
        <f ca="1">IFERROR(__xludf.DUMMYFUNCTION("""COMPUTED_VALUE"""),358.43)</f>
        <v>358.43</v>
      </c>
    </row>
    <row r="2649" spans="1:2">
      <c r="A2649" s="3">
        <f ca="1">IFERROR(__xludf.DUMMYFUNCTION("""COMPUTED_VALUE"""),33016.6666666666)</f>
        <v>33016.666666666599</v>
      </c>
      <c r="B2649" s="1">
        <f ca="1">IFERROR(__xludf.DUMMYFUNCTION("""COMPUTED_VALUE"""),359.29)</f>
        <v>359.29</v>
      </c>
    </row>
    <row r="2650" spans="1:2">
      <c r="A2650" s="3">
        <f ca="1">IFERROR(__xludf.DUMMYFUNCTION("""COMPUTED_VALUE"""),33017.6666666666)</f>
        <v>33017.666666666599</v>
      </c>
      <c r="B2650" s="1">
        <f ca="1">IFERROR(__xludf.DUMMYFUNCTION("""COMPUTED_VALUE"""),358.41)</f>
        <v>358.41</v>
      </c>
    </row>
    <row r="2651" spans="1:2">
      <c r="A2651" s="3">
        <f ca="1">IFERROR(__xludf.DUMMYFUNCTION("""COMPUTED_VALUE"""),33018.6666666666)</f>
        <v>33018.666666666599</v>
      </c>
      <c r="B2651" s="1">
        <f ca="1">IFERROR(__xludf.DUMMYFUNCTION("""COMPUTED_VALUE"""),354.58)</f>
        <v>354.58</v>
      </c>
    </row>
    <row r="2652" spans="1:2">
      <c r="A2652" s="3">
        <f ca="1">IFERROR(__xludf.DUMMYFUNCTION("""COMPUTED_VALUE"""),33022.6666666666)</f>
        <v>33022.666666666599</v>
      </c>
      <c r="B2652" s="1">
        <f ca="1">IFERROR(__xludf.DUMMYFUNCTION("""COMPUTED_VALUE"""),360.65)</f>
        <v>360.65</v>
      </c>
    </row>
    <row r="2653" spans="1:2">
      <c r="A2653" s="3">
        <f ca="1">IFERROR(__xludf.DUMMYFUNCTION("""COMPUTED_VALUE"""),33023.6666666666)</f>
        <v>33023.666666666599</v>
      </c>
      <c r="B2653" s="1">
        <f ca="1">IFERROR(__xludf.DUMMYFUNCTION("""COMPUTED_VALUE"""),360.86)</f>
        <v>360.86</v>
      </c>
    </row>
    <row r="2654" spans="1:2">
      <c r="A2654" s="3">
        <f ca="1">IFERROR(__xludf.DUMMYFUNCTION("""COMPUTED_VALUE"""),33024.6666666666)</f>
        <v>33024.666666666599</v>
      </c>
      <c r="B2654" s="1">
        <f ca="1">IFERROR(__xludf.DUMMYFUNCTION("""COMPUTED_VALUE"""),361.23)</f>
        <v>361.23</v>
      </c>
    </row>
    <row r="2655" spans="1:2">
      <c r="A2655" s="3">
        <f ca="1">IFERROR(__xludf.DUMMYFUNCTION("""COMPUTED_VALUE"""),33025.6666666666)</f>
        <v>33025.666666666599</v>
      </c>
      <c r="B2655" s="1">
        <f ca="1">IFERROR(__xludf.DUMMYFUNCTION("""COMPUTED_VALUE"""),363.16)</f>
        <v>363.16</v>
      </c>
    </row>
    <row r="2656" spans="1:2">
      <c r="A2656" s="3">
        <f ca="1">IFERROR(__xludf.DUMMYFUNCTION("""COMPUTED_VALUE"""),33028.6666666666)</f>
        <v>33028.666666666599</v>
      </c>
      <c r="B2656" s="1">
        <f ca="1">IFERROR(__xludf.DUMMYFUNCTION("""COMPUTED_VALUE"""),367.4)</f>
        <v>367.4</v>
      </c>
    </row>
    <row r="2657" spans="1:2">
      <c r="A2657" s="3">
        <f ca="1">IFERROR(__xludf.DUMMYFUNCTION("""COMPUTED_VALUE"""),33029.6666666666)</f>
        <v>33029.666666666599</v>
      </c>
      <c r="B2657" s="1">
        <f ca="1">IFERROR(__xludf.DUMMYFUNCTION("""COMPUTED_VALUE"""),366.64)</f>
        <v>366.64</v>
      </c>
    </row>
    <row r="2658" spans="1:2">
      <c r="A2658" s="3">
        <f ca="1">IFERROR(__xludf.DUMMYFUNCTION("""COMPUTED_VALUE"""),33030.6666666666)</f>
        <v>33030.666666666599</v>
      </c>
      <c r="B2658" s="1">
        <f ca="1">IFERROR(__xludf.DUMMYFUNCTION("""COMPUTED_VALUE"""),364.96)</f>
        <v>364.96</v>
      </c>
    </row>
    <row r="2659" spans="1:2">
      <c r="A2659" s="3">
        <f ca="1">IFERROR(__xludf.DUMMYFUNCTION("""COMPUTED_VALUE"""),33031.6666666666)</f>
        <v>33031.666666666599</v>
      </c>
      <c r="B2659" s="1">
        <f ca="1">IFERROR(__xludf.DUMMYFUNCTION("""COMPUTED_VALUE"""),363.15)</f>
        <v>363.15</v>
      </c>
    </row>
    <row r="2660" spans="1:2">
      <c r="A2660" s="3">
        <f ca="1">IFERROR(__xludf.DUMMYFUNCTION("""COMPUTED_VALUE"""),33032.6666666666)</f>
        <v>33032.666666666599</v>
      </c>
      <c r="B2660" s="1">
        <f ca="1">IFERROR(__xludf.DUMMYFUNCTION("""COMPUTED_VALUE"""),358.71)</f>
        <v>358.71</v>
      </c>
    </row>
    <row r="2661" spans="1:2">
      <c r="A2661" s="3">
        <f ca="1">IFERROR(__xludf.DUMMYFUNCTION("""COMPUTED_VALUE"""),33035.6666666666)</f>
        <v>33035.666666666599</v>
      </c>
      <c r="B2661" s="1">
        <f ca="1">IFERROR(__xludf.DUMMYFUNCTION("""COMPUTED_VALUE"""),361.63)</f>
        <v>361.63</v>
      </c>
    </row>
    <row r="2662" spans="1:2">
      <c r="A2662" s="3">
        <f ca="1">IFERROR(__xludf.DUMMYFUNCTION("""COMPUTED_VALUE"""),33036.6666666666)</f>
        <v>33036.666666666599</v>
      </c>
      <c r="B2662" s="1">
        <f ca="1">IFERROR(__xludf.DUMMYFUNCTION("""COMPUTED_VALUE"""),366.25)</f>
        <v>366.25</v>
      </c>
    </row>
    <row r="2663" spans="1:2">
      <c r="A2663" s="3">
        <f ca="1">IFERROR(__xludf.DUMMYFUNCTION("""COMPUTED_VALUE"""),33037.6666666666)</f>
        <v>33037.666666666599</v>
      </c>
      <c r="B2663" s="1">
        <f ca="1">IFERROR(__xludf.DUMMYFUNCTION("""COMPUTED_VALUE"""),364.9)</f>
        <v>364.9</v>
      </c>
    </row>
    <row r="2664" spans="1:2">
      <c r="A2664" s="3">
        <f ca="1">IFERROR(__xludf.DUMMYFUNCTION("""COMPUTED_VALUE"""),33038.6666666666)</f>
        <v>33038.666666666599</v>
      </c>
      <c r="B2664" s="1">
        <f ca="1">IFERROR(__xludf.DUMMYFUNCTION("""COMPUTED_VALUE"""),362.9)</f>
        <v>362.9</v>
      </c>
    </row>
    <row r="2665" spans="1:2">
      <c r="A2665" s="3">
        <f ca="1">IFERROR(__xludf.DUMMYFUNCTION("""COMPUTED_VALUE"""),33039.6666666666)</f>
        <v>33039.666666666599</v>
      </c>
      <c r="B2665" s="1">
        <f ca="1">IFERROR(__xludf.DUMMYFUNCTION("""COMPUTED_VALUE"""),362.91)</f>
        <v>362.91</v>
      </c>
    </row>
    <row r="2666" spans="1:2">
      <c r="A2666" s="3">
        <f ca="1">IFERROR(__xludf.DUMMYFUNCTION("""COMPUTED_VALUE"""),33042.6666666666)</f>
        <v>33042.666666666599</v>
      </c>
      <c r="B2666" s="1">
        <f ca="1">IFERROR(__xludf.DUMMYFUNCTION("""COMPUTED_VALUE"""),356.88)</f>
        <v>356.88</v>
      </c>
    </row>
    <row r="2667" spans="1:2">
      <c r="A2667" s="3">
        <f ca="1">IFERROR(__xludf.DUMMYFUNCTION("""COMPUTED_VALUE"""),33043.6666666666)</f>
        <v>33043.666666666599</v>
      </c>
      <c r="B2667" s="1">
        <f ca="1">IFERROR(__xludf.DUMMYFUNCTION("""COMPUTED_VALUE"""),358.47)</f>
        <v>358.47</v>
      </c>
    </row>
    <row r="2668" spans="1:2">
      <c r="A2668" s="3">
        <f ca="1">IFERROR(__xludf.DUMMYFUNCTION("""COMPUTED_VALUE"""),33044.6666666666)</f>
        <v>33044.666666666599</v>
      </c>
      <c r="B2668" s="1">
        <f ca="1">IFERROR(__xludf.DUMMYFUNCTION("""COMPUTED_VALUE"""),359.1)</f>
        <v>359.1</v>
      </c>
    </row>
    <row r="2669" spans="1:2">
      <c r="A2669" s="3">
        <f ca="1">IFERROR(__xludf.DUMMYFUNCTION("""COMPUTED_VALUE"""),33045.6666666666)</f>
        <v>33045.666666666599</v>
      </c>
      <c r="B2669" s="1">
        <f ca="1">IFERROR(__xludf.DUMMYFUNCTION("""COMPUTED_VALUE"""),360.47)</f>
        <v>360.47</v>
      </c>
    </row>
    <row r="2670" spans="1:2">
      <c r="A2670" s="3">
        <f ca="1">IFERROR(__xludf.DUMMYFUNCTION("""COMPUTED_VALUE"""),33046.6666666666)</f>
        <v>33046.666666666599</v>
      </c>
      <c r="B2670" s="1">
        <f ca="1">IFERROR(__xludf.DUMMYFUNCTION("""COMPUTED_VALUE"""),355.43)</f>
        <v>355.43</v>
      </c>
    </row>
    <row r="2671" spans="1:2">
      <c r="A2671" s="3">
        <f ca="1">IFERROR(__xludf.DUMMYFUNCTION("""COMPUTED_VALUE"""),33049.6666666666)</f>
        <v>33049.666666666599</v>
      </c>
      <c r="B2671" s="1">
        <f ca="1">IFERROR(__xludf.DUMMYFUNCTION("""COMPUTED_VALUE"""),352.31)</f>
        <v>352.31</v>
      </c>
    </row>
    <row r="2672" spans="1:2">
      <c r="A2672" s="3">
        <f ca="1">IFERROR(__xludf.DUMMYFUNCTION("""COMPUTED_VALUE"""),33050.6666666666)</f>
        <v>33050.666666666599</v>
      </c>
      <c r="B2672" s="1">
        <f ca="1">IFERROR(__xludf.DUMMYFUNCTION("""COMPUTED_VALUE"""),352.06)</f>
        <v>352.06</v>
      </c>
    </row>
    <row r="2673" spans="1:2">
      <c r="A2673" s="3">
        <f ca="1">IFERROR(__xludf.DUMMYFUNCTION("""COMPUTED_VALUE"""),33051.6666666666)</f>
        <v>33051.666666666599</v>
      </c>
      <c r="B2673" s="1">
        <f ca="1">IFERROR(__xludf.DUMMYFUNCTION("""COMPUTED_VALUE"""),355.14)</f>
        <v>355.14</v>
      </c>
    </row>
    <row r="2674" spans="1:2">
      <c r="A2674" s="3">
        <f ca="1">IFERROR(__xludf.DUMMYFUNCTION("""COMPUTED_VALUE"""),33052.6666666666)</f>
        <v>33052.666666666599</v>
      </c>
      <c r="B2674" s="1">
        <f ca="1">IFERROR(__xludf.DUMMYFUNCTION("""COMPUTED_VALUE"""),357.63)</f>
        <v>357.63</v>
      </c>
    </row>
    <row r="2675" spans="1:2">
      <c r="A2675" s="3">
        <f ca="1">IFERROR(__xludf.DUMMYFUNCTION("""COMPUTED_VALUE"""),33053.6666666666)</f>
        <v>33053.666666666599</v>
      </c>
      <c r="B2675" s="1">
        <f ca="1">IFERROR(__xludf.DUMMYFUNCTION("""COMPUTED_VALUE"""),358.02)</f>
        <v>358.02</v>
      </c>
    </row>
    <row r="2676" spans="1:2">
      <c r="A2676" s="3">
        <f ca="1">IFERROR(__xludf.DUMMYFUNCTION("""COMPUTED_VALUE"""),33056.6666666666)</f>
        <v>33056.666666666599</v>
      </c>
      <c r="B2676" s="1">
        <f ca="1">IFERROR(__xludf.DUMMYFUNCTION("""COMPUTED_VALUE"""),359.54)</f>
        <v>359.54</v>
      </c>
    </row>
    <row r="2677" spans="1:2">
      <c r="A2677" s="3">
        <f ca="1">IFERROR(__xludf.DUMMYFUNCTION("""COMPUTED_VALUE"""),33057.6666666666)</f>
        <v>33057.666666666599</v>
      </c>
      <c r="B2677" s="1">
        <f ca="1">IFERROR(__xludf.DUMMYFUNCTION("""COMPUTED_VALUE"""),360.16)</f>
        <v>360.16</v>
      </c>
    </row>
    <row r="2678" spans="1:2">
      <c r="A2678" s="3">
        <f ca="1">IFERROR(__xludf.DUMMYFUNCTION("""COMPUTED_VALUE"""),33059.6666666666)</f>
        <v>33059.666666666599</v>
      </c>
      <c r="B2678" s="1">
        <f ca="1">IFERROR(__xludf.DUMMYFUNCTION("""COMPUTED_VALUE"""),355.68)</f>
        <v>355.68</v>
      </c>
    </row>
    <row r="2679" spans="1:2">
      <c r="A2679" s="3">
        <f ca="1">IFERROR(__xludf.DUMMYFUNCTION("""COMPUTED_VALUE"""),33060.6666666666)</f>
        <v>33060.666666666599</v>
      </c>
      <c r="B2679" s="1">
        <f ca="1">IFERROR(__xludf.DUMMYFUNCTION("""COMPUTED_VALUE"""),358.42)</f>
        <v>358.42</v>
      </c>
    </row>
    <row r="2680" spans="1:2">
      <c r="A2680" s="3">
        <f ca="1">IFERROR(__xludf.DUMMYFUNCTION("""COMPUTED_VALUE"""),33063.6666666666)</f>
        <v>33063.666666666599</v>
      </c>
      <c r="B2680" s="1">
        <f ca="1">IFERROR(__xludf.DUMMYFUNCTION("""COMPUTED_VALUE"""),359.52)</f>
        <v>359.52</v>
      </c>
    </row>
    <row r="2681" spans="1:2">
      <c r="A2681" s="3">
        <f ca="1">IFERROR(__xludf.DUMMYFUNCTION("""COMPUTED_VALUE"""),33064.6666666666)</f>
        <v>33064.666666666599</v>
      </c>
      <c r="B2681" s="1">
        <f ca="1">IFERROR(__xludf.DUMMYFUNCTION("""COMPUTED_VALUE"""),356.49)</f>
        <v>356.49</v>
      </c>
    </row>
    <row r="2682" spans="1:2">
      <c r="A2682" s="3">
        <f ca="1">IFERROR(__xludf.DUMMYFUNCTION("""COMPUTED_VALUE"""),33065.6666666666)</f>
        <v>33065.666666666599</v>
      </c>
      <c r="B2682" s="1">
        <f ca="1">IFERROR(__xludf.DUMMYFUNCTION("""COMPUTED_VALUE"""),361.23)</f>
        <v>361.23</v>
      </c>
    </row>
    <row r="2683" spans="1:2">
      <c r="A2683" s="3">
        <f ca="1">IFERROR(__xludf.DUMMYFUNCTION("""COMPUTED_VALUE"""),33066.6666666666)</f>
        <v>33066.666666666599</v>
      </c>
      <c r="B2683" s="1">
        <f ca="1">IFERROR(__xludf.DUMMYFUNCTION("""COMPUTED_VALUE"""),365.44)</f>
        <v>365.44</v>
      </c>
    </row>
    <row r="2684" spans="1:2">
      <c r="A2684" s="3">
        <f ca="1">IFERROR(__xludf.DUMMYFUNCTION("""COMPUTED_VALUE"""),33067.6666666666)</f>
        <v>33067.666666666599</v>
      </c>
      <c r="B2684" s="1">
        <f ca="1">IFERROR(__xludf.DUMMYFUNCTION("""COMPUTED_VALUE"""),367.31)</f>
        <v>367.31</v>
      </c>
    </row>
    <row r="2685" spans="1:2">
      <c r="A2685" s="3">
        <f ca="1">IFERROR(__xludf.DUMMYFUNCTION("""COMPUTED_VALUE"""),33070.6666666666)</f>
        <v>33070.666666666599</v>
      </c>
      <c r="B2685" s="1">
        <f ca="1">IFERROR(__xludf.DUMMYFUNCTION("""COMPUTED_VALUE"""),368.95)</f>
        <v>368.95</v>
      </c>
    </row>
    <row r="2686" spans="1:2">
      <c r="A2686" s="3">
        <f ca="1">IFERROR(__xludf.DUMMYFUNCTION("""COMPUTED_VALUE"""),33071.6666666666)</f>
        <v>33071.666666666599</v>
      </c>
      <c r="B2686" s="1">
        <f ca="1">IFERROR(__xludf.DUMMYFUNCTION("""COMPUTED_VALUE"""),367.52)</f>
        <v>367.52</v>
      </c>
    </row>
    <row r="2687" spans="1:2">
      <c r="A2687" s="3">
        <f ca="1">IFERROR(__xludf.DUMMYFUNCTION("""COMPUTED_VALUE"""),33072.6666666666)</f>
        <v>33072.666666666599</v>
      </c>
      <c r="B2687" s="1">
        <f ca="1">IFERROR(__xludf.DUMMYFUNCTION("""COMPUTED_VALUE"""),364.22)</f>
        <v>364.22</v>
      </c>
    </row>
    <row r="2688" spans="1:2">
      <c r="A2688" s="3">
        <f ca="1">IFERROR(__xludf.DUMMYFUNCTION("""COMPUTED_VALUE"""),33073.6666666666)</f>
        <v>33073.666666666599</v>
      </c>
      <c r="B2688" s="1">
        <f ca="1">IFERROR(__xludf.DUMMYFUNCTION("""COMPUTED_VALUE"""),365.32)</f>
        <v>365.32</v>
      </c>
    </row>
    <row r="2689" spans="1:2">
      <c r="A2689" s="3">
        <f ca="1">IFERROR(__xludf.DUMMYFUNCTION("""COMPUTED_VALUE"""),33074.6666666666)</f>
        <v>33074.666666666599</v>
      </c>
      <c r="B2689" s="1">
        <f ca="1">IFERROR(__xludf.DUMMYFUNCTION("""COMPUTED_VALUE"""),361.61)</f>
        <v>361.61</v>
      </c>
    </row>
    <row r="2690" spans="1:2">
      <c r="A2690" s="3">
        <f ca="1">IFERROR(__xludf.DUMMYFUNCTION("""COMPUTED_VALUE"""),33077.6666666666)</f>
        <v>33077.666666666599</v>
      </c>
      <c r="B2690" s="1">
        <f ca="1">IFERROR(__xludf.DUMMYFUNCTION("""COMPUTED_VALUE"""),355.31)</f>
        <v>355.31</v>
      </c>
    </row>
    <row r="2691" spans="1:2">
      <c r="A2691" s="3">
        <f ca="1">IFERROR(__xludf.DUMMYFUNCTION("""COMPUTED_VALUE"""),33078.6666666666)</f>
        <v>33078.666666666599</v>
      </c>
      <c r="B2691" s="1">
        <f ca="1">IFERROR(__xludf.DUMMYFUNCTION("""COMPUTED_VALUE"""),355.79)</f>
        <v>355.79</v>
      </c>
    </row>
    <row r="2692" spans="1:2">
      <c r="A2692" s="3">
        <f ca="1">IFERROR(__xludf.DUMMYFUNCTION("""COMPUTED_VALUE"""),33079.6666666666)</f>
        <v>33079.666666666599</v>
      </c>
      <c r="B2692" s="1">
        <f ca="1">IFERROR(__xludf.DUMMYFUNCTION("""COMPUTED_VALUE"""),357.09)</f>
        <v>357.09</v>
      </c>
    </row>
    <row r="2693" spans="1:2">
      <c r="A2693" s="3">
        <f ca="1">IFERROR(__xludf.DUMMYFUNCTION("""COMPUTED_VALUE"""),33080.6666666666)</f>
        <v>33080.666666666599</v>
      </c>
      <c r="B2693" s="1">
        <f ca="1">IFERROR(__xludf.DUMMYFUNCTION("""COMPUTED_VALUE"""),355.91)</f>
        <v>355.91</v>
      </c>
    </row>
    <row r="2694" spans="1:2">
      <c r="A2694" s="3">
        <f ca="1">IFERROR(__xludf.DUMMYFUNCTION("""COMPUTED_VALUE"""),33081.6666666666)</f>
        <v>33081.666666666599</v>
      </c>
      <c r="B2694" s="1">
        <f ca="1">IFERROR(__xludf.DUMMYFUNCTION("""COMPUTED_VALUE"""),353.44)</f>
        <v>353.44</v>
      </c>
    </row>
    <row r="2695" spans="1:2">
      <c r="A2695" s="3">
        <f ca="1">IFERROR(__xludf.DUMMYFUNCTION("""COMPUTED_VALUE"""),33084.6666666666)</f>
        <v>33084.666666666599</v>
      </c>
      <c r="B2695" s="1">
        <f ca="1">IFERROR(__xludf.DUMMYFUNCTION("""COMPUTED_VALUE"""),355.55)</f>
        <v>355.55</v>
      </c>
    </row>
    <row r="2696" spans="1:2">
      <c r="A2696" s="3">
        <f ca="1">IFERROR(__xludf.DUMMYFUNCTION("""COMPUTED_VALUE"""),33085.6666666666)</f>
        <v>33085.666666666599</v>
      </c>
      <c r="B2696" s="1">
        <f ca="1">IFERROR(__xludf.DUMMYFUNCTION("""COMPUTED_VALUE"""),356.15)</f>
        <v>356.15</v>
      </c>
    </row>
    <row r="2697" spans="1:2">
      <c r="A2697" s="3">
        <f ca="1">IFERROR(__xludf.DUMMYFUNCTION("""COMPUTED_VALUE"""),33086.6666666666)</f>
        <v>33086.666666666599</v>
      </c>
      <c r="B2697" s="1">
        <f ca="1">IFERROR(__xludf.DUMMYFUNCTION("""COMPUTED_VALUE"""),355.52)</f>
        <v>355.52</v>
      </c>
    </row>
    <row r="2698" spans="1:2">
      <c r="A2698" s="3">
        <f ca="1">IFERROR(__xludf.DUMMYFUNCTION("""COMPUTED_VALUE"""),33087.6666666666)</f>
        <v>33087.666666666599</v>
      </c>
      <c r="B2698" s="1">
        <f ca="1">IFERROR(__xludf.DUMMYFUNCTION("""COMPUTED_VALUE"""),351.48)</f>
        <v>351.48</v>
      </c>
    </row>
    <row r="2699" spans="1:2">
      <c r="A2699" s="3">
        <f ca="1">IFERROR(__xludf.DUMMYFUNCTION("""COMPUTED_VALUE"""),33088.6666666666)</f>
        <v>33088.666666666599</v>
      </c>
      <c r="B2699" s="1">
        <f ca="1">IFERROR(__xludf.DUMMYFUNCTION("""COMPUTED_VALUE"""),344.86)</f>
        <v>344.86</v>
      </c>
    </row>
    <row r="2700" spans="1:2">
      <c r="A2700" s="3">
        <f ca="1">IFERROR(__xludf.DUMMYFUNCTION("""COMPUTED_VALUE"""),33091.6666666666)</f>
        <v>33091.666666666599</v>
      </c>
      <c r="B2700" s="1">
        <f ca="1">IFERROR(__xludf.DUMMYFUNCTION("""COMPUTED_VALUE"""),334.43)</f>
        <v>334.43</v>
      </c>
    </row>
    <row r="2701" spans="1:2">
      <c r="A2701" s="3">
        <f ca="1">IFERROR(__xludf.DUMMYFUNCTION("""COMPUTED_VALUE"""),33092.6666666666)</f>
        <v>33092.666666666599</v>
      </c>
      <c r="B2701" s="1">
        <f ca="1">IFERROR(__xludf.DUMMYFUNCTION("""COMPUTED_VALUE"""),334.83)</f>
        <v>334.83</v>
      </c>
    </row>
    <row r="2702" spans="1:2">
      <c r="A2702" s="3">
        <f ca="1">IFERROR(__xludf.DUMMYFUNCTION("""COMPUTED_VALUE"""),33093.6666666666)</f>
        <v>33093.666666666599</v>
      </c>
      <c r="B2702" s="1">
        <f ca="1">IFERROR(__xludf.DUMMYFUNCTION("""COMPUTED_VALUE"""),338.35)</f>
        <v>338.35</v>
      </c>
    </row>
    <row r="2703" spans="1:2">
      <c r="A2703" s="3">
        <f ca="1">IFERROR(__xludf.DUMMYFUNCTION("""COMPUTED_VALUE"""),33094.6666666666)</f>
        <v>33094.666666666599</v>
      </c>
      <c r="B2703" s="1">
        <f ca="1">IFERROR(__xludf.DUMMYFUNCTION("""COMPUTED_VALUE"""),339.94)</f>
        <v>339.94</v>
      </c>
    </row>
    <row r="2704" spans="1:2">
      <c r="A2704" s="3">
        <f ca="1">IFERROR(__xludf.DUMMYFUNCTION("""COMPUTED_VALUE"""),33095.6666666666)</f>
        <v>33095.666666666599</v>
      </c>
      <c r="B2704" s="1">
        <f ca="1">IFERROR(__xludf.DUMMYFUNCTION("""COMPUTED_VALUE"""),335.52)</f>
        <v>335.52</v>
      </c>
    </row>
    <row r="2705" spans="1:2">
      <c r="A2705" s="3">
        <f ca="1">IFERROR(__xludf.DUMMYFUNCTION("""COMPUTED_VALUE"""),33098.6666666666)</f>
        <v>33098.666666666599</v>
      </c>
      <c r="B2705" s="1">
        <f ca="1">IFERROR(__xludf.DUMMYFUNCTION("""COMPUTED_VALUE"""),338.84)</f>
        <v>338.84</v>
      </c>
    </row>
    <row r="2706" spans="1:2">
      <c r="A2706" s="3">
        <f ca="1">IFERROR(__xludf.DUMMYFUNCTION("""COMPUTED_VALUE"""),33099.6666666666)</f>
        <v>33099.666666666599</v>
      </c>
      <c r="B2706" s="1">
        <f ca="1">IFERROR(__xludf.DUMMYFUNCTION("""COMPUTED_VALUE"""),339.39)</f>
        <v>339.39</v>
      </c>
    </row>
    <row r="2707" spans="1:2">
      <c r="A2707" s="3">
        <f ca="1">IFERROR(__xludf.DUMMYFUNCTION("""COMPUTED_VALUE"""),33100.6666666666)</f>
        <v>33100.666666666599</v>
      </c>
      <c r="B2707" s="1">
        <f ca="1">IFERROR(__xludf.DUMMYFUNCTION("""COMPUTED_VALUE"""),340.06)</f>
        <v>340.06</v>
      </c>
    </row>
    <row r="2708" spans="1:2">
      <c r="A2708" s="3">
        <f ca="1">IFERROR(__xludf.DUMMYFUNCTION("""COMPUTED_VALUE"""),33101.6666666666)</f>
        <v>33101.666666666599</v>
      </c>
      <c r="B2708" s="1">
        <f ca="1">IFERROR(__xludf.DUMMYFUNCTION("""COMPUTED_VALUE"""),332.39)</f>
        <v>332.39</v>
      </c>
    </row>
    <row r="2709" spans="1:2">
      <c r="A2709" s="3">
        <f ca="1">IFERROR(__xludf.DUMMYFUNCTION("""COMPUTED_VALUE"""),33102.6666666666)</f>
        <v>33102.666666666599</v>
      </c>
      <c r="B2709" s="1">
        <f ca="1">IFERROR(__xludf.DUMMYFUNCTION("""COMPUTED_VALUE"""),327.83)</f>
        <v>327.83</v>
      </c>
    </row>
    <row r="2710" spans="1:2">
      <c r="A2710" s="3">
        <f ca="1">IFERROR(__xludf.DUMMYFUNCTION("""COMPUTED_VALUE"""),33105.6666666666)</f>
        <v>33105.666666666599</v>
      </c>
      <c r="B2710" s="1">
        <f ca="1">IFERROR(__xludf.DUMMYFUNCTION("""COMPUTED_VALUE"""),328.51)</f>
        <v>328.51</v>
      </c>
    </row>
    <row r="2711" spans="1:2">
      <c r="A2711" s="3">
        <f ca="1">IFERROR(__xludf.DUMMYFUNCTION("""COMPUTED_VALUE"""),33106.6666666666)</f>
        <v>33106.666666666599</v>
      </c>
      <c r="B2711" s="1">
        <f ca="1">IFERROR(__xludf.DUMMYFUNCTION("""COMPUTED_VALUE"""),321.86)</f>
        <v>321.86</v>
      </c>
    </row>
    <row r="2712" spans="1:2">
      <c r="A2712" s="3">
        <f ca="1">IFERROR(__xludf.DUMMYFUNCTION("""COMPUTED_VALUE"""),33107.6666666666)</f>
        <v>33107.666666666599</v>
      </c>
      <c r="B2712" s="1">
        <f ca="1">IFERROR(__xludf.DUMMYFUNCTION("""COMPUTED_VALUE"""),316.55)</f>
        <v>316.55</v>
      </c>
    </row>
    <row r="2713" spans="1:2">
      <c r="A2713" s="3">
        <f ca="1">IFERROR(__xludf.DUMMYFUNCTION("""COMPUTED_VALUE"""),33108.6666666666)</f>
        <v>33108.666666666599</v>
      </c>
      <c r="B2713" s="1">
        <f ca="1">IFERROR(__xludf.DUMMYFUNCTION("""COMPUTED_VALUE"""),307.06)</f>
        <v>307.06</v>
      </c>
    </row>
    <row r="2714" spans="1:2">
      <c r="A2714" s="3">
        <f ca="1">IFERROR(__xludf.DUMMYFUNCTION("""COMPUTED_VALUE"""),33109.6666666666)</f>
        <v>33109.666666666599</v>
      </c>
      <c r="B2714" s="1">
        <f ca="1">IFERROR(__xludf.DUMMYFUNCTION("""COMPUTED_VALUE"""),311.51)</f>
        <v>311.51</v>
      </c>
    </row>
    <row r="2715" spans="1:2">
      <c r="A2715" s="3">
        <f ca="1">IFERROR(__xludf.DUMMYFUNCTION("""COMPUTED_VALUE"""),33112.6666666666)</f>
        <v>33112.666666666599</v>
      </c>
      <c r="B2715" s="1">
        <f ca="1">IFERROR(__xludf.DUMMYFUNCTION("""COMPUTED_VALUE"""),321.44)</f>
        <v>321.44</v>
      </c>
    </row>
    <row r="2716" spans="1:2">
      <c r="A2716" s="3">
        <f ca="1">IFERROR(__xludf.DUMMYFUNCTION("""COMPUTED_VALUE"""),33113.6666666666)</f>
        <v>33113.666666666599</v>
      </c>
      <c r="B2716" s="1">
        <f ca="1">IFERROR(__xludf.DUMMYFUNCTION("""COMPUTED_VALUE"""),321.34)</f>
        <v>321.33999999999997</v>
      </c>
    </row>
    <row r="2717" spans="1:2">
      <c r="A2717" s="3">
        <f ca="1">IFERROR(__xludf.DUMMYFUNCTION("""COMPUTED_VALUE"""),33114.6666666666)</f>
        <v>33114.666666666599</v>
      </c>
      <c r="B2717" s="1">
        <f ca="1">IFERROR(__xludf.DUMMYFUNCTION("""COMPUTED_VALUE"""),324.19)</f>
        <v>324.19</v>
      </c>
    </row>
    <row r="2718" spans="1:2">
      <c r="A2718" s="3">
        <f ca="1">IFERROR(__xludf.DUMMYFUNCTION("""COMPUTED_VALUE"""),33115.6666666666)</f>
        <v>33115.666666666599</v>
      </c>
      <c r="B2718" s="1">
        <f ca="1">IFERROR(__xludf.DUMMYFUNCTION("""COMPUTED_VALUE"""),318.71)</f>
        <v>318.70999999999998</v>
      </c>
    </row>
    <row r="2719" spans="1:2">
      <c r="A2719" s="3">
        <f ca="1">IFERROR(__xludf.DUMMYFUNCTION("""COMPUTED_VALUE"""),33116.6666666666)</f>
        <v>33116.666666666599</v>
      </c>
      <c r="B2719" s="1">
        <f ca="1">IFERROR(__xludf.DUMMYFUNCTION("""COMPUTED_VALUE"""),322.56)</f>
        <v>322.56</v>
      </c>
    </row>
    <row r="2720" spans="1:2">
      <c r="A2720" s="3">
        <f ca="1">IFERROR(__xludf.DUMMYFUNCTION("""COMPUTED_VALUE"""),33120.6666666666)</f>
        <v>33120.666666666599</v>
      </c>
      <c r="B2720" s="1">
        <f ca="1">IFERROR(__xludf.DUMMYFUNCTION("""COMPUTED_VALUE"""),323.09)</f>
        <v>323.08999999999997</v>
      </c>
    </row>
    <row r="2721" spans="1:2">
      <c r="A2721" s="3">
        <f ca="1">IFERROR(__xludf.DUMMYFUNCTION("""COMPUTED_VALUE"""),33121.6666666666)</f>
        <v>33121.666666666599</v>
      </c>
      <c r="B2721" s="1">
        <f ca="1">IFERROR(__xludf.DUMMYFUNCTION("""COMPUTED_VALUE"""),324.39)</f>
        <v>324.39</v>
      </c>
    </row>
    <row r="2722" spans="1:2">
      <c r="A2722" s="3">
        <f ca="1">IFERROR(__xludf.DUMMYFUNCTION("""COMPUTED_VALUE"""),33122.6666666666)</f>
        <v>33122.666666666599</v>
      </c>
      <c r="B2722" s="1">
        <f ca="1">IFERROR(__xludf.DUMMYFUNCTION("""COMPUTED_VALUE"""),320.46)</f>
        <v>320.45999999999998</v>
      </c>
    </row>
    <row r="2723" spans="1:2">
      <c r="A2723" s="3">
        <f ca="1">IFERROR(__xludf.DUMMYFUNCTION("""COMPUTED_VALUE"""),33123.6666666666)</f>
        <v>33123.666666666599</v>
      </c>
      <c r="B2723" s="1">
        <f ca="1">IFERROR(__xludf.DUMMYFUNCTION("""COMPUTED_VALUE"""),323.4)</f>
        <v>323.39999999999998</v>
      </c>
    </row>
    <row r="2724" spans="1:2">
      <c r="A2724" s="3">
        <f ca="1">IFERROR(__xludf.DUMMYFUNCTION("""COMPUTED_VALUE"""),33126.6666666666)</f>
        <v>33126.666666666599</v>
      </c>
      <c r="B2724" s="1">
        <f ca="1">IFERROR(__xludf.DUMMYFUNCTION("""COMPUTED_VALUE"""),321.63)</f>
        <v>321.63</v>
      </c>
    </row>
    <row r="2725" spans="1:2">
      <c r="A2725" s="3">
        <f ca="1">IFERROR(__xludf.DUMMYFUNCTION("""COMPUTED_VALUE"""),33127.6666666666)</f>
        <v>33127.666666666599</v>
      </c>
      <c r="B2725" s="1">
        <f ca="1">IFERROR(__xludf.DUMMYFUNCTION("""COMPUTED_VALUE"""),321.04)</f>
        <v>321.04000000000002</v>
      </c>
    </row>
    <row r="2726" spans="1:2">
      <c r="A2726" s="3">
        <f ca="1">IFERROR(__xludf.DUMMYFUNCTION("""COMPUTED_VALUE"""),33128.6666666666)</f>
        <v>33128.666666666599</v>
      </c>
      <c r="B2726" s="1">
        <f ca="1">IFERROR(__xludf.DUMMYFUNCTION("""COMPUTED_VALUE"""),322.54)</f>
        <v>322.54000000000002</v>
      </c>
    </row>
    <row r="2727" spans="1:2">
      <c r="A2727" s="3">
        <f ca="1">IFERROR(__xludf.DUMMYFUNCTION("""COMPUTED_VALUE"""),33129.6666666666)</f>
        <v>33129.666666666599</v>
      </c>
      <c r="B2727" s="1">
        <f ca="1">IFERROR(__xludf.DUMMYFUNCTION("""COMPUTED_VALUE"""),318.65)</f>
        <v>318.64999999999998</v>
      </c>
    </row>
    <row r="2728" spans="1:2">
      <c r="A2728" s="3">
        <f ca="1">IFERROR(__xludf.DUMMYFUNCTION("""COMPUTED_VALUE"""),33130.6666666666)</f>
        <v>33130.666666666599</v>
      </c>
      <c r="B2728" s="1">
        <f ca="1">IFERROR(__xludf.DUMMYFUNCTION("""COMPUTED_VALUE"""),316.83)</f>
        <v>316.83</v>
      </c>
    </row>
    <row r="2729" spans="1:2">
      <c r="A2729" s="3">
        <f ca="1">IFERROR(__xludf.DUMMYFUNCTION("""COMPUTED_VALUE"""),33133.6666666666)</f>
        <v>33133.666666666599</v>
      </c>
      <c r="B2729" s="1">
        <f ca="1">IFERROR(__xludf.DUMMYFUNCTION("""COMPUTED_VALUE"""),317.77)</f>
        <v>317.77</v>
      </c>
    </row>
    <row r="2730" spans="1:2">
      <c r="A2730" s="3">
        <f ca="1">IFERROR(__xludf.DUMMYFUNCTION("""COMPUTED_VALUE"""),33134.6666666666)</f>
        <v>33134.666666666599</v>
      </c>
      <c r="B2730" s="1">
        <f ca="1">IFERROR(__xludf.DUMMYFUNCTION("""COMPUTED_VALUE"""),318.6)</f>
        <v>318.60000000000002</v>
      </c>
    </row>
    <row r="2731" spans="1:2">
      <c r="A2731" s="3">
        <f ca="1">IFERROR(__xludf.DUMMYFUNCTION("""COMPUTED_VALUE"""),33135.6666666666)</f>
        <v>33135.666666666599</v>
      </c>
      <c r="B2731" s="1">
        <f ca="1">IFERROR(__xludf.DUMMYFUNCTION("""COMPUTED_VALUE"""),316.6)</f>
        <v>316.60000000000002</v>
      </c>
    </row>
    <row r="2732" spans="1:2">
      <c r="A2732" s="3">
        <f ca="1">IFERROR(__xludf.DUMMYFUNCTION("""COMPUTED_VALUE"""),33136.6666666666)</f>
        <v>33136.666666666599</v>
      </c>
      <c r="B2732" s="1">
        <f ca="1">IFERROR(__xludf.DUMMYFUNCTION("""COMPUTED_VALUE"""),311.48)</f>
        <v>311.48</v>
      </c>
    </row>
    <row r="2733" spans="1:2">
      <c r="A2733" s="3">
        <f ca="1">IFERROR(__xludf.DUMMYFUNCTION("""COMPUTED_VALUE"""),33137.6666666666)</f>
        <v>33137.666666666599</v>
      </c>
      <c r="B2733" s="1">
        <f ca="1">IFERROR(__xludf.DUMMYFUNCTION("""COMPUTED_VALUE"""),311.32)</f>
        <v>311.32</v>
      </c>
    </row>
    <row r="2734" spans="1:2">
      <c r="A2734" s="3">
        <f ca="1">IFERROR(__xludf.DUMMYFUNCTION("""COMPUTED_VALUE"""),33140.6666666666)</f>
        <v>33140.666666666599</v>
      </c>
      <c r="B2734" s="1">
        <f ca="1">IFERROR(__xludf.DUMMYFUNCTION("""COMPUTED_VALUE"""),304.59)</f>
        <v>304.58999999999997</v>
      </c>
    </row>
    <row r="2735" spans="1:2">
      <c r="A2735" s="3">
        <f ca="1">IFERROR(__xludf.DUMMYFUNCTION("""COMPUTED_VALUE"""),33141.6666666666)</f>
        <v>33141.666666666599</v>
      </c>
      <c r="B2735" s="1">
        <f ca="1">IFERROR(__xludf.DUMMYFUNCTION("""COMPUTED_VALUE"""),308.26)</f>
        <v>308.26</v>
      </c>
    </row>
    <row r="2736" spans="1:2">
      <c r="A2736" s="3">
        <f ca="1">IFERROR(__xludf.DUMMYFUNCTION("""COMPUTED_VALUE"""),33142.6666666666)</f>
        <v>33142.666666666599</v>
      </c>
      <c r="B2736" s="1">
        <f ca="1">IFERROR(__xludf.DUMMYFUNCTION("""COMPUTED_VALUE"""),305.06)</f>
        <v>305.06</v>
      </c>
    </row>
    <row r="2737" spans="1:2">
      <c r="A2737" s="3">
        <f ca="1">IFERROR(__xludf.DUMMYFUNCTION("""COMPUTED_VALUE"""),33143.6666666666)</f>
        <v>33143.666666666599</v>
      </c>
      <c r="B2737" s="1">
        <f ca="1">IFERROR(__xludf.DUMMYFUNCTION("""COMPUTED_VALUE"""),300.97)</f>
        <v>300.97000000000003</v>
      </c>
    </row>
    <row r="2738" spans="1:2">
      <c r="A2738" s="3">
        <f ca="1">IFERROR(__xludf.DUMMYFUNCTION("""COMPUTED_VALUE"""),33144.6666666666)</f>
        <v>33144.666666666599</v>
      </c>
      <c r="B2738" s="1">
        <f ca="1">IFERROR(__xludf.DUMMYFUNCTION("""COMPUTED_VALUE"""),306.05)</f>
        <v>306.05</v>
      </c>
    </row>
    <row r="2739" spans="1:2">
      <c r="A2739" s="3">
        <f ca="1">IFERROR(__xludf.DUMMYFUNCTION("""COMPUTED_VALUE"""),33147.6666666666)</f>
        <v>33147.666666666599</v>
      </c>
      <c r="B2739" s="1">
        <f ca="1">IFERROR(__xludf.DUMMYFUNCTION("""COMPUTED_VALUE"""),314.94)</f>
        <v>314.94</v>
      </c>
    </row>
    <row r="2740" spans="1:2">
      <c r="A2740" s="3">
        <f ca="1">IFERROR(__xludf.DUMMYFUNCTION("""COMPUTED_VALUE"""),33148.6666666666)</f>
        <v>33148.666666666599</v>
      </c>
      <c r="B2740" s="1">
        <f ca="1">IFERROR(__xludf.DUMMYFUNCTION("""COMPUTED_VALUE"""),315.21)</f>
        <v>315.20999999999998</v>
      </c>
    </row>
    <row r="2741" spans="1:2">
      <c r="A2741" s="3">
        <f ca="1">IFERROR(__xludf.DUMMYFUNCTION("""COMPUTED_VALUE"""),33149.6666666666)</f>
        <v>33149.666666666599</v>
      </c>
      <c r="B2741" s="1">
        <f ca="1">IFERROR(__xludf.DUMMYFUNCTION("""COMPUTED_VALUE"""),311.4)</f>
        <v>311.39999999999998</v>
      </c>
    </row>
    <row r="2742" spans="1:2">
      <c r="A2742" s="3">
        <f ca="1">IFERROR(__xludf.DUMMYFUNCTION("""COMPUTED_VALUE"""),33150.6666666666)</f>
        <v>33150.666666666599</v>
      </c>
      <c r="B2742" s="1">
        <f ca="1">IFERROR(__xludf.DUMMYFUNCTION("""COMPUTED_VALUE"""),312.69)</f>
        <v>312.69</v>
      </c>
    </row>
    <row r="2743" spans="1:2">
      <c r="A2743" s="3">
        <f ca="1">IFERROR(__xludf.DUMMYFUNCTION("""COMPUTED_VALUE"""),33151.6666666666)</f>
        <v>33151.666666666599</v>
      </c>
      <c r="B2743" s="1">
        <f ca="1">IFERROR(__xludf.DUMMYFUNCTION("""COMPUTED_VALUE"""),311.5)</f>
        <v>311.5</v>
      </c>
    </row>
    <row r="2744" spans="1:2">
      <c r="A2744" s="3">
        <f ca="1">IFERROR(__xludf.DUMMYFUNCTION("""COMPUTED_VALUE"""),33154.6666666666)</f>
        <v>33154.666666666599</v>
      </c>
      <c r="B2744" s="1">
        <f ca="1">IFERROR(__xludf.DUMMYFUNCTION("""COMPUTED_VALUE"""),313.48)</f>
        <v>313.48</v>
      </c>
    </row>
    <row r="2745" spans="1:2">
      <c r="A2745" s="3">
        <f ca="1">IFERROR(__xludf.DUMMYFUNCTION("""COMPUTED_VALUE"""),33155.6666666666)</f>
        <v>33155.666666666599</v>
      </c>
      <c r="B2745" s="1">
        <f ca="1">IFERROR(__xludf.DUMMYFUNCTION("""COMPUTED_VALUE"""),305.1)</f>
        <v>305.10000000000002</v>
      </c>
    </row>
    <row r="2746" spans="1:2">
      <c r="A2746" s="3">
        <f ca="1">IFERROR(__xludf.DUMMYFUNCTION("""COMPUTED_VALUE"""),33156.6666666666)</f>
        <v>33156.666666666599</v>
      </c>
      <c r="B2746" s="1">
        <f ca="1">IFERROR(__xludf.DUMMYFUNCTION("""COMPUTED_VALUE"""),300.39)</f>
        <v>300.39</v>
      </c>
    </row>
    <row r="2747" spans="1:2">
      <c r="A2747" s="3">
        <f ca="1">IFERROR(__xludf.DUMMYFUNCTION("""COMPUTED_VALUE"""),33157.6666666666)</f>
        <v>33157.666666666599</v>
      </c>
      <c r="B2747" s="1">
        <f ca="1">IFERROR(__xludf.DUMMYFUNCTION("""COMPUTED_VALUE"""),295.46)</f>
        <v>295.45999999999998</v>
      </c>
    </row>
    <row r="2748" spans="1:2">
      <c r="A2748" s="3">
        <f ca="1">IFERROR(__xludf.DUMMYFUNCTION("""COMPUTED_VALUE"""),33158.6666666666)</f>
        <v>33158.666666666599</v>
      </c>
      <c r="B2748" s="1">
        <f ca="1">IFERROR(__xludf.DUMMYFUNCTION("""COMPUTED_VALUE"""),300.03)</f>
        <v>300.02999999999997</v>
      </c>
    </row>
    <row r="2749" spans="1:2">
      <c r="A2749" s="3">
        <f ca="1">IFERROR(__xludf.DUMMYFUNCTION("""COMPUTED_VALUE"""),33161.6666666666)</f>
        <v>33161.666666666599</v>
      </c>
      <c r="B2749" s="1">
        <f ca="1">IFERROR(__xludf.DUMMYFUNCTION("""COMPUTED_VALUE"""),303.23)</f>
        <v>303.23</v>
      </c>
    </row>
    <row r="2750" spans="1:2">
      <c r="A2750" s="3">
        <f ca="1">IFERROR(__xludf.DUMMYFUNCTION("""COMPUTED_VALUE"""),33162.6666666666)</f>
        <v>33162.666666666599</v>
      </c>
      <c r="B2750" s="1">
        <f ca="1">IFERROR(__xludf.DUMMYFUNCTION("""COMPUTED_VALUE"""),298.92)</f>
        <v>298.92</v>
      </c>
    </row>
    <row r="2751" spans="1:2">
      <c r="A2751" s="3">
        <f ca="1">IFERROR(__xludf.DUMMYFUNCTION("""COMPUTED_VALUE"""),33163.6666666666)</f>
        <v>33163.666666666599</v>
      </c>
      <c r="B2751" s="1">
        <f ca="1">IFERROR(__xludf.DUMMYFUNCTION("""COMPUTED_VALUE"""),298.76)</f>
        <v>298.76</v>
      </c>
    </row>
    <row r="2752" spans="1:2">
      <c r="A2752" s="3">
        <f ca="1">IFERROR(__xludf.DUMMYFUNCTION("""COMPUTED_VALUE"""),33164.6666666666)</f>
        <v>33164.666666666599</v>
      </c>
      <c r="B2752" s="1">
        <f ca="1">IFERROR(__xludf.DUMMYFUNCTION("""COMPUTED_VALUE"""),305.74)</f>
        <v>305.74</v>
      </c>
    </row>
    <row r="2753" spans="1:2">
      <c r="A2753" s="3">
        <f ca="1">IFERROR(__xludf.DUMMYFUNCTION("""COMPUTED_VALUE"""),33165.6666666666)</f>
        <v>33165.666666666599</v>
      </c>
      <c r="B2753" s="1">
        <f ca="1">IFERROR(__xludf.DUMMYFUNCTION("""COMPUTED_VALUE"""),312.48)</f>
        <v>312.48</v>
      </c>
    </row>
    <row r="2754" spans="1:2">
      <c r="A2754" s="3">
        <f ca="1">IFERROR(__xludf.DUMMYFUNCTION("""COMPUTED_VALUE"""),33168.6666666666)</f>
        <v>33168.666666666599</v>
      </c>
      <c r="B2754" s="1">
        <f ca="1">IFERROR(__xludf.DUMMYFUNCTION("""COMPUTED_VALUE"""),314.76)</f>
        <v>314.76</v>
      </c>
    </row>
    <row r="2755" spans="1:2">
      <c r="A2755" s="3">
        <f ca="1">IFERROR(__xludf.DUMMYFUNCTION("""COMPUTED_VALUE"""),33169.6666666666)</f>
        <v>33169.666666666599</v>
      </c>
      <c r="B2755" s="1">
        <f ca="1">IFERROR(__xludf.DUMMYFUNCTION("""COMPUTED_VALUE"""),312.36)</f>
        <v>312.36</v>
      </c>
    </row>
    <row r="2756" spans="1:2">
      <c r="A2756" s="3">
        <f ca="1">IFERROR(__xludf.DUMMYFUNCTION("""COMPUTED_VALUE"""),33170.6666666666)</f>
        <v>33170.666666666599</v>
      </c>
      <c r="B2756" s="1">
        <f ca="1">IFERROR(__xludf.DUMMYFUNCTION("""COMPUTED_VALUE"""),312.6)</f>
        <v>312.60000000000002</v>
      </c>
    </row>
    <row r="2757" spans="1:2">
      <c r="A2757" s="3">
        <f ca="1">IFERROR(__xludf.DUMMYFUNCTION("""COMPUTED_VALUE"""),33171.6666666666)</f>
        <v>33171.666666666599</v>
      </c>
      <c r="B2757" s="1">
        <f ca="1">IFERROR(__xludf.DUMMYFUNCTION("""COMPUTED_VALUE"""),310.17)</f>
        <v>310.17</v>
      </c>
    </row>
    <row r="2758" spans="1:2">
      <c r="A2758" s="3">
        <f ca="1">IFERROR(__xludf.DUMMYFUNCTION("""COMPUTED_VALUE"""),33172.6666666666)</f>
        <v>33172.666666666599</v>
      </c>
      <c r="B2758" s="1">
        <f ca="1">IFERROR(__xludf.DUMMYFUNCTION("""COMPUTED_VALUE"""),304.71)</f>
        <v>304.70999999999998</v>
      </c>
    </row>
    <row r="2759" spans="1:2">
      <c r="A2759" s="3">
        <f ca="1">IFERROR(__xludf.DUMMYFUNCTION("""COMPUTED_VALUE"""),33175.6666666666)</f>
        <v>33175.666666666599</v>
      </c>
      <c r="B2759" s="1">
        <f ca="1">IFERROR(__xludf.DUMMYFUNCTION("""COMPUTED_VALUE"""),301.88)</f>
        <v>301.88</v>
      </c>
    </row>
    <row r="2760" spans="1:2">
      <c r="A2760" s="3">
        <f ca="1">IFERROR(__xludf.DUMMYFUNCTION("""COMPUTED_VALUE"""),33176.6666666666)</f>
        <v>33176.666666666599</v>
      </c>
      <c r="B2760" s="1">
        <f ca="1">IFERROR(__xludf.DUMMYFUNCTION("""COMPUTED_VALUE"""),304.06)</f>
        <v>304.06</v>
      </c>
    </row>
    <row r="2761" spans="1:2">
      <c r="A2761" s="3">
        <f ca="1">IFERROR(__xludf.DUMMYFUNCTION("""COMPUTED_VALUE"""),33177.6666666666)</f>
        <v>33177.666666666599</v>
      </c>
      <c r="B2761" s="1">
        <f ca="1">IFERROR(__xludf.DUMMYFUNCTION("""COMPUTED_VALUE"""),304)</f>
        <v>304</v>
      </c>
    </row>
    <row r="2762" spans="1:2">
      <c r="A2762" s="3">
        <f ca="1">IFERROR(__xludf.DUMMYFUNCTION("""COMPUTED_VALUE"""),33178.6666666666)</f>
        <v>33178.666666666599</v>
      </c>
      <c r="B2762" s="1">
        <f ca="1">IFERROR(__xludf.DUMMYFUNCTION("""COMPUTED_VALUE"""),307.02)</f>
        <v>307.02</v>
      </c>
    </row>
    <row r="2763" spans="1:2">
      <c r="A2763" s="3">
        <f ca="1">IFERROR(__xludf.DUMMYFUNCTION("""COMPUTED_VALUE"""),33179.6666666666)</f>
        <v>33179.666666666599</v>
      </c>
      <c r="B2763" s="1">
        <f ca="1">IFERROR(__xludf.DUMMYFUNCTION("""COMPUTED_VALUE"""),311.85)</f>
        <v>311.85000000000002</v>
      </c>
    </row>
    <row r="2764" spans="1:2">
      <c r="A2764" s="3">
        <f ca="1">IFERROR(__xludf.DUMMYFUNCTION("""COMPUTED_VALUE"""),33182.6666666666)</f>
        <v>33182.666666666599</v>
      </c>
      <c r="B2764" s="1">
        <f ca="1">IFERROR(__xludf.DUMMYFUNCTION("""COMPUTED_VALUE"""),314.59)</f>
        <v>314.58999999999997</v>
      </c>
    </row>
    <row r="2765" spans="1:2">
      <c r="A2765" s="3">
        <f ca="1">IFERROR(__xludf.DUMMYFUNCTION("""COMPUTED_VALUE"""),33183.6666666666)</f>
        <v>33183.666666666599</v>
      </c>
      <c r="B2765" s="1">
        <f ca="1">IFERROR(__xludf.DUMMYFUNCTION("""COMPUTED_VALUE"""),311.62)</f>
        <v>311.62</v>
      </c>
    </row>
    <row r="2766" spans="1:2">
      <c r="A2766" s="3">
        <f ca="1">IFERROR(__xludf.DUMMYFUNCTION("""COMPUTED_VALUE"""),33184.6666666666)</f>
        <v>33184.666666666599</v>
      </c>
      <c r="B2766" s="1">
        <f ca="1">IFERROR(__xludf.DUMMYFUNCTION("""COMPUTED_VALUE"""),306.01)</f>
        <v>306.01</v>
      </c>
    </row>
    <row r="2767" spans="1:2">
      <c r="A2767" s="3">
        <f ca="1">IFERROR(__xludf.DUMMYFUNCTION("""COMPUTED_VALUE"""),33185.6666666666)</f>
        <v>33185.666666666599</v>
      </c>
      <c r="B2767" s="1">
        <f ca="1">IFERROR(__xludf.DUMMYFUNCTION("""COMPUTED_VALUE"""),307.61)</f>
        <v>307.61</v>
      </c>
    </row>
    <row r="2768" spans="1:2">
      <c r="A2768" s="3">
        <f ca="1">IFERROR(__xludf.DUMMYFUNCTION("""COMPUTED_VALUE"""),33186.6666666666)</f>
        <v>33186.666666666599</v>
      </c>
      <c r="B2768" s="1">
        <f ca="1">IFERROR(__xludf.DUMMYFUNCTION("""COMPUTED_VALUE"""),313.74)</f>
        <v>313.74</v>
      </c>
    </row>
    <row r="2769" spans="1:2">
      <c r="A2769" s="3">
        <f ca="1">IFERROR(__xludf.DUMMYFUNCTION("""COMPUTED_VALUE"""),33189.6666666666)</f>
        <v>33189.666666666599</v>
      </c>
      <c r="B2769" s="1">
        <f ca="1">IFERROR(__xludf.DUMMYFUNCTION("""COMPUTED_VALUE"""),319.48)</f>
        <v>319.48</v>
      </c>
    </row>
    <row r="2770" spans="1:2">
      <c r="A2770" s="3">
        <f ca="1">IFERROR(__xludf.DUMMYFUNCTION("""COMPUTED_VALUE"""),33190.6666666666)</f>
        <v>33190.666666666599</v>
      </c>
      <c r="B2770" s="1">
        <f ca="1">IFERROR(__xludf.DUMMYFUNCTION("""COMPUTED_VALUE"""),317.67)</f>
        <v>317.67</v>
      </c>
    </row>
    <row r="2771" spans="1:2">
      <c r="A2771" s="3">
        <f ca="1">IFERROR(__xludf.DUMMYFUNCTION("""COMPUTED_VALUE"""),33191.6666666666)</f>
        <v>33191.666666666599</v>
      </c>
      <c r="B2771" s="1">
        <f ca="1">IFERROR(__xludf.DUMMYFUNCTION("""COMPUTED_VALUE"""),320.4)</f>
        <v>320.39999999999998</v>
      </c>
    </row>
    <row r="2772" spans="1:2">
      <c r="A2772" s="3">
        <f ca="1">IFERROR(__xludf.DUMMYFUNCTION("""COMPUTED_VALUE"""),33192.6666666666)</f>
        <v>33192.666666666599</v>
      </c>
      <c r="B2772" s="1">
        <f ca="1">IFERROR(__xludf.DUMMYFUNCTION("""COMPUTED_VALUE"""),317.02)</f>
        <v>317.02</v>
      </c>
    </row>
    <row r="2773" spans="1:2">
      <c r="A2773" s="3">
        <f ca="1">IFERROR(__xludf.DUMMYFUNCTION("""COMPUTED_VALUE"""),33193.6666666666)</f>
        <v>33193.666666666599</v>
      </c>
      <c r="B2773" s="1">
        <f ca="1">IFERROR(__xludf.DUMMYFUNCTION("""COMPUTED_VALUE"""),317.12)</f>
        <v>317.12</v>
      </c>
    </row>
    <row r="2774" spans="1:2">
      <c r="A2774" s="3">
        <f ca="1">IFERROR(__xludf.DUMMYFUNCTION("""COMPUTED_VALUE"""),33196.6666666666)</f>
        <v>33196.666666666599</v>
      </c>
      <c r="B2774" s="1">
        <f ca="1">IFERROR(__xludf.DUMMYFUNCTION("""COMPUTED_VALUE"""),319.34)</f>
        <v>319.33999999999997</v>
      </c>
    </row>
    <row r="2775" spans="1:2">
      <c r="A2775" s="3">
        <f ca="1">IFERROR(__xludf.DUMMYFUNCTION("""COMPUTED_VALUE"""),33197.6666666666)</f>
        <v>33197.666666666599</v>
      </c>
      <c r="B2775" s="1">
        <f ca="1">IFERROR(__xludf.DUMMYFUNCTION("""COMPUTED_VALUE"""),315.31)</f>
        <v>315.31</v>
      </c>
    </row>
    <row r="2776" spans="1:2">
      <c r="A2776" s="3">
        <f ca="1">IFERROR(__xludf.DUMMYFUNCTION("""COMPUTED_VALUE"""),33198.6666666666)</f>
        <v>33198.666666666599</v>
      </c>
      <c r="B2776" s="1">
        <f ca="1">IFERROR(__xludf.DUMMYFUNCTION("""COMPUTED_VALUE"""),316.03)</f>
        <v>316.02999999999997</v>
      </c>
    </row>
    <row r="2777" spans="1:2">
      <c r="A2777" s="3">
        <f ca="1">IFERROR(__xludf.DUMMYFUNCTION("""COMPUTED_VALUE"""),33200.6666666666)</f>
        <v>33200.666666666599</v>
      </c>
      <c r="B2777" s="1">
        <f ca="1">IFERROR(__xludf.DUMMYFUNCTION("""COMPUTED_VALUE"""),315.1)</f>
        <v>315.10000000000002</v>
      </c>
    </row>
    <row r="2778" spans="1:2">
      <c r="A2778" s="3">
        <f ca="1">IFERROR(__xludf.DUMMYFUNCTION("""COMPUTED_VALUE"""),33203.6666666666)</f>
        <v>33203.666666666599</v>
      </c>
      <c r="B2778" s="1">
        <f ca="1">IFERROR(__xludf.DUMMYFUNCTION("""COMPUTED_VALUE"""),316.51)</f>
        <v>316.51</v>
      </c>
    </row>
    <row r="2779" spans="1:2">
      <c r="A2779" s="3">
        <f ca="1">IFERROR(__xludf.DUMMYFUNCTION("""COMPUTED_VALUE"""),33204.6666666666)</f>
        <v>33204.666666666599</v>
      </c>
      <c r="B2779" s="1">
        <f ca="1">IFERROR(__xludf.DUMMYFUNCTION("""COMPUTED_VALUE"""),318.1)</f>
        <v>318.10000000000002</v>
      </c>
    </row>
    <row r="2780" spans="1:2">
      <c r="A2780" s="3">
        <f ca="1">IFERROR(__xludf.DUMMYFUNCTION("""COMPUTED_VALUE"""),33205.6666666666)</f>
        <v>33205.666666666599</v>
      </c>
      <c r="B2780" s="1">
        <f ca="1">IFERROR(__xludf.DUMMYFUNCTION("""COMPUTED_VALUE"""),317.95)</f>
        <v>317.95</v>
      </c>
    </row>
    <row r="2781" spans="1:2">
      <c r="A2781" s="3">
        <f ca="1">IFERROR(__xludf.DUMMYFUNCTION("""COMPUTED_VALUE"""),33206.6666666666)</f>
        <v>33206.666666666599</v>
      </c>
      <c r="B2781" s="1">
        <f ca="1">IFERROR(__xludf.DUMMYFUNCTION("""COMPUTED_VALUE"""),316.42)</f>
        <v>316.42</v>
      </c>
    </row>
    <row r="2782" spans="1:2">
      <c r="A2782" s="3">
        <f ca="1">IFERROR(__xludf.DUMMYFUNCTION("""COMPUTED_VALUE"""),33207.6666666666)</f>
        <v>33207.666666666599</v>
      </c>
      <c r="B2782" s="1">
        <f ca="1">IFERROR(__xludf.DUMMYFUNCTION("""COMPUTED_VALUE"""),322.22)</f>
        <v>322.22000000000003</v>
      </c>
    </row>
    <row r="2783" spans="1:2">
      <c r="A2783" s="3">
        <f ca="1">IFERROR(__xludf.DUMMYFUNCTION("""COMPUTED_VALUE"""),33210.6666666666)</f>
        <v>33210.666666666599</v>
      </c>
      <c r="B2783" s="1">
        <f ca="1">IFERROR(__xludf.DUMMYFUNCTION("""COMPUTED_VALUE"""),324.1)</f>
        <v>324.10000000000002</v>
      </c>
    </row>
    <row r="2784" spans="1:2">
      <c r="A2784" s="3">
        <f ca="1">IFERROR(__xludf.DUMMYFUNCTION("""COMPUTED_VALUE"""),33211.6666666666)</f>
        <v>33211.666666666599</v>
      </c>
      <c r="B2784" s="1">
        <f ca="1">IFERROR(__xludf.DUMMYFUNCTION("""COMPUTED_VALUE"""),326.35)</f>
        <v>326.35000000000002</v>
      </c>
    </row>
    <row r="2785" spans="1:2">
      <c r="A2785" s="3">
        <f ca="1">IFERROR(__xludf.DUMMYFUNCTION("""COMPUTED_VALUE"""),33212.6666666666)</f>
        <v>33212.666666666599</v>
      </c>
      <c r="B2785" s="1">
        <f ca="1">IFERROR(__xludf.DUMMYFUNCTION("""COMPUTED_VALUE"""),329.92)</f>
        <v>329.92</v>
      </c>
    </row>
    <row r="2786" spans="1:2">
      <c r="A2786" s="3">
        <f ca="1">IFERROR(__xludf.DUMMYFUNCTION("""COMPUTED_VALUE"""),33213.6666666666)</f>
        <v>33213.666666666599</v>
      </c>
      <c r="B2786" s="1">
        <f ca="1">IFERROR(__xludf.DUMMYFUNCTION("""COMPUTED_VALUE"""),329.07)</f>
        <v>329.07</v>
      </c>
    </row>
    <row r="2787" spans="1:2">
      <c r="A2787" s="3">
        <f ca="1">IFERROR(__xludf.DUMMYFUNCTION("""COMPUTED_VALUE"""),33214.6666666666)</f>
        <v>33214.666666666599</v>
      </c>
      <c r="B2787" s="1">
        <f ca="1">IFERROR(__xludf.DUMMYFUNCTION("""COMPUTED_VALUE"""),327.75)</f>
        <v>327.75</v>
      </c>
    </row>
    <row r="2788" spans="1:2">
      <c r="A2788" s="3">
        <f ca="1">IFERROR(__xludf.DUMMYFUNCTION("""COMPUTED_VALUE"""),33217.6666666666)</f>
        <v>33217.666666666599</v>
      </c>
      <c r="B2788" s="1">
        <f ca="1">IFERROR(__xludf.DUMMYFUNCTION("""COMPUTED_VALUE"""),328.89)</f>
        <v>328.89</v>
      </c>
    </row>
    <row r="2789" spans="1:2">
      <c r="A2789" s="3">
        <f ca="1">IFERROR(__xludf.DUMMYFUNCTION("""COMPUTED_VALUE"""),33218.6666666666)</f>
        <v>33218.666666666599</v>
      </c>
      <c r="B2789" s="1">
        <f ca="1">IFERROR(__xludf.DUMMYFUNCTION("""COMPUTED_VALUE"""),326.44)</f>
        <v>326.44</v>
      </c>
    </row>
    <row r="2790" spans="1:2">
      <c r="A2790" s="3">
        <f ca="1">IFERROR(__xludf.DUMMYFUNCTION("""COMPUTED_VALUE"""),33219.6666666666)</f>
        <v>33219.666666666599</v>
      </c>
      <c r="B2790" s="1">
        <f ca="1">IFERROR(__xludf.DUMMYFUNCTION("""COMPUTED_VALUE"""),330.19)</f>
        <v>330.19</v>
      </c>
    </row>
    <row r="2791" spans="1:2">
      <c r="A2791" s="3">
        <f ca="1">IFERROR(__xludf.DUMMYFUNCTION("""COMPUTED_VALUE"""),33220.6666666666)</f>
        <v>33220.666666666599</v>
      </c>
      <c r="B2791" s="1">
        <f ca="1">IFERROR(__xludf.DUMMYFUNCTION("""COMPUTED_VALUE"""),329.34)</f>
        <v>329.34</v>
      </c>
    </row>
    <row r="2792" spans="1:2">
      <c r="A2792" s="3">
        <f ca="1">IFERROR(__xludf.DUMMYFUNCTION("""COMPUTED_VALUE"""),33221.6666666666)</f>
        <v>33221.666666666599</v>
      </c>
      <c r="B2792" s="1">
        <f ca="1">IFERROR(__xludf.DUMMYFUNCTION("""COMPUTED_VALUE"""),326.82)</f>
        <v>326.82</v>
      </c>
    </row>
    <row r="2793" spans="1:2">
      <c r="A2793" s="3">
        <f ca="1">IFERROR(__xludf.DUMMYFUNCTION("""COMPUTED_VALUE"""),33224.6666666666)</f>
        <v>33224.666666666599</v>
      </c>
      <c r="B2793" s="1">
        <f ca="1">IFERROR(__xludf.DUMMYFUNCTION("""COMPUTED_VALUE"""),326.02)</f>
        <v>326.02</v>
      </c>
    </row>
    <row r="2794" spans="1:2">
      <c r="A2794" s="3">
        <f ca="1">IFERROR(__xludf.DUMMYFUNCTION("""COMPUTED_VALUE"""),33225.6666666666)</f>
        <v>33225.666666666599</v>
      </c>
      <c r="B2794" s="1">
        <f ca="1">IFERROR(__xludf.DUMMYFUNCTION("""COMPUTED_VALUE"""),330.05)</f>
        <v>330.05</v>
      </c>
    </row>
    <row r="2795" spans="1:2">
      <c r="A2795" s="3">
        <f ca="1">IFERROR(__xludf.DUMMYFUNCTION("""COMPUTED_VALUE"""),33226.6666666666)</f>
        <v>33226.666666666599</v>
      </c>
      <c r="B2795" s="1">
        <f ca="1">IFERROR(__xludf.DUMMYFUNCTION("""COMPUTED_VALUE"""),330.2)</f>
        <v>330.2</v>
      </c>
    </row>
    <row r="2796" spans="1:2">
      <c r="A2796" s="3">
        <f ca="1">IFERROR(__xludf.DUMMYFUNCTION("""COMPUTED_VALUE"""),33227.6666666666)</f>
        <v>33227.666666666599</v>
      </c>
      <c r="B2796" s="1">
        <f ca="1">IFERROR(__xludf.DUMMYFUNCTION("""COMPUTED_VALUE"""),330.12)</f>
        <v>330.12</v>
      </c>
    </row>
    <row r="2797" spans="1:2">
      <c r="A2797" s="3">
        <f ca="1">IFERROR(__xludf.DUMMYFUNCTION("""COMPUTED_VALUE"""),33228.6666666666)</f>
        <v>33228.666666666599</v>
      </c>
      <c r="B2797" s="1">
        <f ca="1">IFERROR(__xludf.DUMMYFUNCTION("""COMPUTED_VALUE"""),331.75)</f>
        <v>331.75</v>
      </c>
    </row>
    <row r="2798" spans="1:2">
      <c r="A2798" s="3">
        <f ca="1">IFERROR(__xludf.DUMMYFUNCTION("""COMPUTED_VALUE"""),33231.6666666666)</f>
        <v>33231.666666666599</v>
      </c>
      <c r="B2798" s="1">
        <f ca="1">IFERROR(__xludf.DUMMYFUNCTION("""COMPUTED_VALUE"""),329.9)</f>
        <v>329.9</v>
      </c>
    </row>
    <row r="2799" spans="1:2">
      <c r="A2799" s="3">
        <f ca="1">IFERROR(__xludf.DUMMYFUNCTION("""COMPUTED_VALUE"""),33233.6666666666)</f>
        <v>33233.666666666599</v>
      </c>
      <c r="B2799" s="1">
        <f ca="1">IFERROR(__xludf.DUMMYFUNCTION("""COMPUTED_VALUE"""),330.85)</f>
        <v>330.85</v>
      </c>
    </row>
    <row r="2800" spans="1:2">
      <c r="A2800" s="3">
        <f ca="1">IFERROR(__xludf.DUMMYFUNCTION("""COMPUTED_VALUE"""),33234.6666666666)</f>
        <v>33234.666666666599</v>
      </c>
      <c r="B2800" s="1">
        <f ca="1">IFERROR(__xludf.DUMMYFUNCTION("""COMPUTED_VALUE"""),328.29)</f>
        <v>328.29</v>
      </c>
    </row>
    <row r="2801" spans="1:2">
      <c r="A2801" s="3">
        <f ca="1">IFERROR(__xludf.DUMMYFUNCTION("""COMPUTED_VALUE"""),33235.6666666666)</f>
        <v>33235.666666666599</v>
      </c>
      <c r="B2801" s="1">
        <f ca="1">IFERROR(__xludf.DUMMYFUNCTION("""COMPUTED_VALUE"""),328.72)</f>
        <v>328.72</v>
      </c>
    </row>
    <row r="2802" spans="1:2">
      <c r="A2802" s="3">
        <f ca="1">IFERROR(__xludf.DUMMYFUNCTION("""COMPUTED_VALUE"""),33238.6666666666)</f>
        <v>33238.666666666599</v>
      </c>
      <c r="B2802" s="1">
        <f ca="1">IFERROR(__xludf.DUMMYFUNCTION("""COMPUTED_VALUE"""),330.22)</f>
        <v>330.22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JNJ</vt:lpstr>
      <vt:lpstr>S&amp;P500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Grace</dc:creator>
  <cp:lastModifiedBy>Grace, Martin F</cp:lastModifiedBy>
  <dcterms:created xsi:type="dcterms:W3CDTF">2026-05-19T15:35:06Z</dcterms:created>
  <dcterms:modified xsi:type="dcterms:W3CDTF">2026-05-19T15:43:35Z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{12CF0781-F6B6-4AFA-A56A-85AC3AB326DA}</vt:lpwstr>
  </property>
</Properties>
</file>